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cbgroup.sharepoint.com/sites/zimaxxinc2-GerenciaVentas/Shared Documents/Gerencia Ventas (Adriana)/GERENCIA VENTAS  -ZIMAXX/Gestion Lista de Precios/PARA VENEZUELA/"/>
    </mc:Choice>
  </mc:AlternateContent>
  <xr:revisionPtr revIDLastSave="7255" documentId="13_ncr:1_{FD43CF10-5A27-4B50-A1F2-279191EC76E7}" xr6:coauthVersionLast="47" xr6:coauthVersionMax="47" xr10:uidLastSave="{356FA8CC-07D0-41F1-A26D-A4C300E406F9}"/>
  <bookViews>
    <workbookView xWindow="28680" yWindow="-120" windowWidth="29040" windowHeight="15840" xr2:uid="{0C8416FA-C763-49A1-AF35-B67AFE0C7EB9}"/>
  </bookViews>
  <sheets>
    <sheet name="Price Lis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9" i="3" l="1"/>
  <c r="I261" i="3"/>
  <c r="I107" i="3"/>
  <c r="I90" i="3"/>
  <c r="I2085" i="3"/>
  <c r="I1220" i="3"/>
  <c r="I2076" i="3"/>
  <c r="I2478" i="3"/>
  <c r="I2263" i="3"/>
  <c r="I2682" i="3"/>
  <c r="I606" i="3"/>
  <c r="I1280" i="3"/>
  <c r="I712" i="3"/>
  <c r="I519" i="3"/>
  <c r="I1255" i="3"/>
  <c r="I374" i="3"/>
  <c r="I531" i="3"/>
  <c r="I359" i="3"/>
  <c r="I2700" i="3"/>
  <c r="I1872" i="3"/>
  <c r="I586" i="3"/>
  <c r="I632" i="3"/>
  <c r="I426" i="3"/>
  <c r="I1223" i="3"/>
  <c r="I2549" i="3"/>
  <c r="I2217" i="3"/>
  <c r="I874" i="3"/>
  <c r="I2228" i="3"/>
  <c r="I334" i="3"/>
  <c r="I94" i="3"/>
  <c r="I2333" i="3"/>
  <c r="I608" i="3"/>
  <c r="I751" i="3"/>
  <c r="I51" i="3"/>
  <c r="I114" i="3"/>
  <c r="I1182" i="3"/>
  <c r="I2426" i="3"/>
  <c r="I1187" i="3"/>
  <c r="I2427" i="3"/>
  <c r="I1299" i="3"/>
  <c r="I2483" i="3"/>
  <c r="I866" i="3"/>
  <c r="I906" i="3"/>
  <c r="I1439" i="3"/>
  <c r="I2577" i="3"/>
  <c r="I867" i="3"/>
  <c r="I1958" i="3"/>
  <c r="I612" i="3"/>
  <c r="I1986" i="3"/>
  <c r="I423" i="3"/>
  <c r="I1168" i="3"/>
  <c r="I730" i="3"/>
  <c r="I160" i="3"/>
  <c r="I1024" i="3"/>
  <c r="I2585" i="3"/>
  <c r="I2576" i="3"/>
  <c r="I333" i="3"/>
  <c r="I1673" i="3"/>
  <c r="I2562" i="3"/>
  <c r="I666" i="3"/>
  <c r="I1103" i="3"/>
  <c r="I1050" i="3"/>
  <c r="I1146" i="3"/>
  <c r="I171" i="3"/>
  <c r="I1535" i="3"/>
  <c r="I2644" i="3"/>
  <c r="I2702" i="3"/>
  <c r="I1529" i="3"/>
  <c r="I1483" i="3"/>
  <c r="I2049" i="3"/>
  <c r="I2672" i="3"/>
  <c r="I1074" i="3"/>
  <c r="I2608" i="3"/>
  <c r="I2260" i="3"/>
  <c r="I37" i="3"/>
  <c r="I1161" i="3"/>
  <c r="I2041" i="3"/>
  <c r="I1202" i="3"/>
  <c r="I735" i="3"/>
  <c r="I1408" i="3"/>
  <c r="I495" i="3"/>
  <c r="I1579" i="3"/>
  <c r="I315" i="3"/>
  <c r="I2601" i="3"/>
  <c r="I1218" i="3"/>
  <c r="I1671" i="3"/>
  <c r="I2730" i="3"/>
  <c r="I1078" i="3"/>
  <c r="I976" i="3"/>
  <c r="I89" i="3"/>
  <c r="I1279" i="3"/>
  <c r="I2288" i="3"/>
  <c r="I1151" i="3"/>
  <c r="I259" i="3"/>
  <c r="I1010" i="3"/>
  <c r="I502" i="3"/>
  <c r="I2573" i="3"/>
  <c r="I681" i="3"/>
  <c r="I2211" i="3"/>
  <c r="I1607" i="3"/>
  <c r="I1300" i="3"/>
  <c r="I1871" i="3"/>
  <c r="I1925" i="3"/>
  <c r="I1787" i="3"/>
  <c r="I1903" i="3"/>
  <c r="I2026" i="3"/>
  <c r="I1242" i="3"/>
  <c r="I1877" i="3"/>
  <c r="I1987" i="3"/>
  <c r="I845" i="3"/>
  <c r="I2636" i="3"/>
  <c r="I887" i="3"/>
  <c r="I69" i="3"/>
  <c r="I1950" i="3"/>
  <c r="I76" i="3"/>
  <c r="I2446" i="3"/>
  <c r="I1395" i="3"/>
  <c r="I2010" i="3"/>
  <c r="I981" i="3"/>
  <c r="I1012" i="3"/>
  <c r="I326" i="3"/>
  <c r="I1042" i="3"/>
  <c r="I852" i="3"/>
  <c r="I356" i="3"/>
  <c r="I2396" i="3"/>
  <c r="I514" i="3"/>
  <c r="I1556" i="3"/>
  <c r="I290" i="3"/>
  <c r="I580" i="3"/>
  <c r="I1902" i="3"/>
  <c r="I154" i="3"/>
  <c r="I2541" i="3"/>
  <c r="I1239" i="3"/>
  <c r="I1526" i="3"/>
  <c r="I1062" i="3"/>
  <c r="I2569" i="3"/>
  <c r="I1533" i="3"/>
  <c r="I1393" i="3"/>
  <c r="I65" i="3"/>
  <c r="I618" i="3"/>
  <c r="I1040" i="3"/>
  <c r="I2525" i="3"/>
  <c r="I1707" i="3"/>
  <c r="I197" i="3"/>
  <c r="I907" i="3"/>
  <c r="I2696" i="3"/>
  <c r="I2552" i="3"/>
  <c r="I2561" i="3"/>
  <c r="I1400" i="3"/>
  <c r="I2409" i="3"/>
  <c r="I521" i="3"/>
  <c r="I1132" i="3"/>
  <c r="I1677" i="3"/>
  <c r="I2726" i="3"/>
  <c r="I862" i="3"/>
  <c r="I1518" i="3"/>
  <c r="I200" i="3"/>
  <c r="I1685" i="3"/>
  <c r="I603" i="3"/>
  <c r="I2291" i="3"/>
  <c r="I1143" i="3"/>
  <c r="I2664" i="3"/>
  <c r="I1571" i="3"/>
  <c r="I1726" i="3"/>
  <c r="I994" i="3"/>
  <c r="I897" i="3"/>
  <c r="I1111" i="3"/>
  <c r="I2240" i="3"/>
  <c r="I571" i="3"/>
  <c r="I365" i="3"/>
  <c r="I2627" i="3"/>
  <c r="I1415" i="3"/>
  <c r="I2387" i="3"/>
  <c r="I607" i="3"/>
  <c r="I192" i="3"/>
  <c r="I757" i="3"/>
  <c r="I1775" i="3"/>
  <c r="I1462" i="3"/>
  <c r="I319" i="3"/>
  <c r="I2219" i="3"/>
  <c r="I778" i="3"/>
  <c r="I1507" i="3"/>
  <c r="I1085" i="3"/>
  <c r="I1055" i="3"/>
  <c r="I1188" i="3"/>
  <c r="I822" i="3"/>
  <c r="I1788" i="3"/>
  <c r="I528" i="3"/>
  <c r="I1524" i="3"/>
  <c r="I456" i="3"/>
  <c r="I2004" i="3"/>
  <c r="I1425" i="3"/>
  <c r="I783" i="3"/>
  <c r="I855" i="3"/>
  <c r="I2315" i="3"/>
  <c r="I1882" i="3"/>
  <c r="I876" i="3"/>
  <c r="I1292" i="3"/>
  <c r="I940" i="3"/>
  <c r="I1509" i="3"/>
  <c r="I234" i="3"/>
  <c r="I343" i="3"/>
  <c r="I1485" i="3"/>
  <c r="I164" i="3"/>
  <c r="I989" i="3"/>
  <c r="I675" i="3"/>
  <c r="I2209" i="3"/>
  <c r="I1297" i="3"/>
  <c r="I2266" i="3"/>
  <c r="I1096" i="3"/>
  <c r="I1817" i="3"/>
  <c r="I1928" i="3"/>
  <c r="I1601" i="3"/>
  <c r="I2220" i="3"/>
  <c r="I2463" i="3"/>
  <c r="I1285" i="3"/>
  <c r="I1937" i="3"/>
  <c r="I98" i="3"/>
  <c r="I384" i="3"/>
  <c r="I2024" i="3"/>
  <c r="I704" i="3"/>
  <c r="I2720" i="3"/>
  <c r="I1995" i="3"/>
  <c r="I1520" i="3"/>
  <c r="I564" i="3"/>
  <c r="I1756" i="3"/>
  <c r="I2704" i="3"/>
  <c r="I1347" i="3"/>
  <c r="I1961" i="3"/>
  <c r="I1224" i="3"/>
  <c r="I1116" i="3"/>
  <c r="I548" i="3"/>
  <c r="I1015" i="3"/>
  <c r="I2376" i="3"/>
  <c r="I2006" i="3"/>
  <c r="I1667" i="3"/>
  <c r="I2469" i="3"/>
  <c r="I2192" i="3"/>
  <c r="I1696" i="3"/>
  <c r="I2079" i="3"/>
  <c r="I32" i="3"/>
  <c r="I1087" i="3"/>
  <c r="I2051" i="3"/>
  <c r="I1038" i="3"/>
  <c r="I744" i="3"/>
  <c r="I2144" i="3"/>
  <c r="I1426" i="3"/>
  <c r="I383" i="3"/>
  <c r="I180" i="3"/>
  <c r="I1662" i="3"/>
  <c r="I2364" i="3"/>
  <c r="I194" i="3"/>
  <c r="I828" i="3"/>
  <c r="I613" i="3"/>
  <c r="I79" i="3"/>
  <c r="I1365" i="3"/>
  <c r="I2227" i="3"/>
  <c r="I1118" i="3"/>
  <c r="I1065" i="3"/>
  <c r="I392" i="3"/>
  <c r="I1208" i="3"/>
  <c r="I2258" i="3"/>
  <c r="I982" i="3"/>
  <c r="I655" i="3"/>
  <c r="I2095" i="3"/>
  <c r="I1689" i="3"/>
  <c r="I2542" i="3"/>
  <c r="I221" i="3"/>
  <c r="I2086" i="3"/>
  <c r="I2500" i="3"/>
  <c r="I303" i="3"/>
  <c r="I2350" i="3"/>
  <c r="I2384" i="3"/>
  <c r="I115" i="3"/>
  <c r="I2599" i="3"/>
  <c r="I1316" i="3"/>
  <c r="I1970" i="3"/>
  <c r="I657" i="3"/>
  <c r="I1210" i="3"/>
  <c r="I2096" i="3"/>
  <c r="I637" i="3"/>
  <c r="I1706" i="3"/>
  <c r="I2530" i="3"/>
  <c r="I66" i="3"/>
  <c r="I743" i="3"/>
  <c r="I2649" i="3"/>
  <c r="I1697" i="3"/>
  <c r="I474" i="3"/>
  <c r="I1152" i="3"/>
  <c r="I2606" i="3"/>
  <c r="I1713" i="3"/>
  <c r="I2488" i="3"/>
  <c r="I1933" i="3"/>
  <c r="I92" i="3"/>
  <c r="I1786" i="3"/>
  <c r="I1412" i="3"/>
  <c r="I2626" i="3"/>
  <c r="I1884" i="3"/>
  <c r="I73" i="3"/>
  <c r="I1488" i="3"/>
  <c r="I2028" i="3"/>
  <c r="I801" i="3"/>
  <c r="I918" i="3"/>
  <c r="I574" i="3"/>
  <c r="I1755" i="3"/>
  <c r="I522" i="3"/>
  <c r="I1932" i="3"/>
  <c r="I1558" i="3"/>
  <c r="I2336" i="3"/>
  <c r="I2466" i="3"/>
  <c r="I678" i="3"/>
  <c r="I2299" i="3"/>
  <c r="I1163" i="3"/>
  <c r="I16" i="3"/>
  <c r="I1972" i="3"/>
  <c r="I2284" i="3"/>
  <c r="I1735" i="3"/>
  <c r="I2320" i="3"/>
  <c r="I1176" i="3"/>
  <c r="I879" i="3"/>
  <c r="I2717" i="3"/>
  <c r="I2058" i="3"/>
  <c r="I2098" i="3"/>
  <c r="I2524" i="3"/>
  <c r="I789" i="3"/>
  <c r="I1390" i="3"/>
  <c r="I1743" i="3"/>
  <c r="I1045" i="3"/>
  <c r="I1030" i="3"/>
  <c r="I2604" i="3"/>
  <c r="I1692" i="3"/>
  <c r="I1348" i="3"/>
  <c r="I373" i="3"/>
  <c r="I1376" i="3"/>
  <c r="I1848" i="3"/>
  <c r="I784" i="3"/>
  <c r="I407" i="3"/>
  <c r="I1921" i="3"/>
  <c r="I2307" i="3"/>
  <c r="I1409" i="3"/>
  <c r="I1489" i="3"/>
  <c r="I2061" i="3"/>
  <c r="I156" i="3"/>
  <c r="I1248" i="3"/>
  <c r="I1563" i="3"/>
  <c r="I937" i="3"/>
  <c r="I810" i="3"/>
  <c r="I225" i="3"/>
  <c r="I1236" i="3"/>
  <c r="I2400" i="3"/>
  <c r="I827" i="3"/>
  <c r="I177" i="3"/>
  <c r="I2420" i="3"/>
  <c r="I2080" i="3"/>
  <c r="I2398" i="3"/>
  <c r="I2586" i="3"/>
  <c r="I2033" i="3"/>
  <c r="I1694" i="3"/>
  <c r="I1920" i="3"/>
  <c r="I594" i="3"/>
  <c r="I1998" i="3"/>
  <c r="I1982" i="3"/>
  <c r="I1502" i="3"/>
  <c r="I2224" i="3"/>
  <c r="I2110" i="3"/>
  <c r="I2154" i="3"/>
  <c r="I1585" i="3"/>
  <c r="I592" i="3"/>
  <c r="I10" i="3"/>
  <c r="I1473" i="3"/>
  <c r="I1897" i="3"/>
  <c r="I2052" i="3"/>
  <c r="I2123" i="3"/>
  <c r="I2378" i="3"/>
  <c r="I1097" i="3"/>
  <c r="I2632" i="3"/>
  <c r="I461" i="3"/>
  <c r="I2225" i="3"/>
  <c r="I1049" i="3"/>
  <c r="I1676" i="3"/>
  <c r="I2361" i="3"/>
  <c r="I2419" i="3"/>
  <c r="I1244" i="3"/>
  <c r="I615" i="3"/>
  <c r="I131" i="3"/>
  <c r="I2661" i="3"/>
  <c r="I2165" i="3"/>
  <c r="I1486" i="3"/>
  <c r="I1615" i="3"/>
  <c r="I1544" i="3"/>
  <c r="I830" i="3"/>
  <c r="I865" i="3"/>
  <c r="I2563" i="3"/>
  <c r="I2527" i="3"/>
  <c r="I962" i="3"/>
  <c r="I75" i="3"/>
  <c r="I1555" i="3"/>
  <c r="I1561" i="3"/>
  <c r="I1783" i="3"/>
  <c r="I364" i="3"/>
  <c r="I582" i="3"/>
  <c r="I611" i="3"/>
  <c r="I2666" i="3"/>
  <c r="I1659" i="3"/>
  <c r="I2092" i="3"/>
  <c r="I2042" i="3"/>
  <c r="I668" i="3"/>
  <c r="I2287" i="3"/>
  <c r="I2014" i="3"/>
  <c r="I1414" i="3"/>
  <c r="I2188" i="3"/>
  <c r="I417" i="3"/>
  <c r="I2327" i="3"/>
  <c r="I2348" i="3"/>
  <c r="I1914" i="3"/>
  <c r="I155" i="3"/>
  <c r="I563" i="3"/>
  <c r="I930" i="3"/>
  <c r="I2579" i="3"/>
  <c r="I1541" i="3"/>
  <c r="I692" i="3"/>
  <c r="I1190" i="3"/>
  <c r="I1068" i="3"/>
  <c r="I1373" i="3"/>
  <c r="I1310" i="3"/>
  <c r="I2692" i="3"/>
  <c r="I184" i="3"/>
  <c r="I1211" i="3"/>
  <c r="I839" i="3"/>
  <c r="I2502" i="3"/>
  <c r="I1838" i="3"/>
  <c r="I1397" i="3"/>
  <c r="I1032" i="3"/>
  <c r="I1954" i="3"/>
  <c r="I1820" i="3"/>
  <c r="I2277" i="3"/>
  <c r="I831" i="3"/>
  <c r="I2594" i="3"/>
  <c r="I1940" i="3"/>
  <c r="I598" i="3"/>
  <c r="I2120" i="3"/>
  <c r="I2555" i="3"/>
  <c r="I1493" i="3"/>
  <c r="I2329" i="3"/>
  <c r="I660" i="3"/>
  <c r="I2292" i="3"/>
  <c r="I2274" i="3"/>
  <c r="I2215" i="3"/>
  <c r="I2180" i="3"/>
  <c r="I1728" i="3"/>
  <c r="I1095" i="3"/>
  <c r="I1908" i="3"/>
  <c r="I1572" i="3"/>
  <c r="I520" i="3"/>
  <c r="I694" i="3"/>
  <c r="I1832" i="3"/>
  <c r="I2423" i="3"/>
  <c r="I572" i="3"/>
  <c r="I127" i="3"/>
  <c r="I2674" i="3"/>
  <c r="I2015" i="3"/>
  <c r="I815" i="3"/>
  <c r="I411" i="3"/>
  <c r="I647" i="3"/>
  <c r="I447" i="3"/>
  <c r="I904" i="3"/>
  <c r="I661" i="3"/>
  <c r="I1209" i="3"/>
  <c r="I1858" i="3"/>
  <c r="I1565" i="3"/>
  <c r="I1203" i="3"/>
  <c r="I990" i="3"/>
  <c r="I1497" i="3"/>
  <c r="I1270" i="3"/>
  <c r="I1754" i="3"/>
  <c r="I280" i="3"/>
  <c r="I2116" i="3"/>
  <c r="I2368" i="3"/>
  <c r="I1000" i="3"/>
  <c r="I2064" i="3"/>
  <c r="I1362" i="3"/>
  <c r="I1931" i="3"/>
  <c r="I242" i="3"/>
  <c r="I1598" i="3"/>
  <c r="I134" i="3"/>
  <c r="I1847" i="3"/>
  <c r="I1661" i="3"/>
  <c r="I2407" i="3"/>
  <c r="I1142" i="3"/>
  <c r="I139" i="3"/>
  <c r="I96" i="3"/>
  <c r="I462" i="3"/>
  <c r="I545" i="3"/>
  <c r="I2390" i="3"/>
  <c r="I117" i="3"/>
  <c r="I1818" i="3"/>
  <c r="I1482" i="3"/>
  <c r="I2689" i="3"/>
  <c r="I243" i="3"/>
  <c r="I1516" i="3"/>
  <c r="I1328" i="3"/>
  <c r="I1898" i="3"/>
  <c r="I664" i="3"/>
  <c r="I149" i="3"/>
  <c r="I1307" i="3"/>
  <c r="I36" i="3"/>
  <c r="I1844" i="3"/>
  <c r="I503" i="3"/>
  <c r="I1582" i="3"/>
  <c r="I433" i="3"/>
  <c r="I745" i="3"/>
  <c r="I1999" i="3"/>
  <c r="I2617" i="3"/>
  <c r="I1753" i="3"/>
  <c r="I278" i="3"/>
  <c r="I1574" i="3"/>
  <c r="I483" i="3"/>
  <c r="I1618" i="3"/>
  <c r="I39" i="3"/>
  <c r="I939" i="3"/>
  <c r="I2222" i="3"/>
  <c r="I561" i="3"/>
  <c r="I1039" i="3"/>
  <c r="I2066" i="3"/>
  <c r="I1985" i="3"/>
  <c r="I1729" i="3"/>
  <c r="I1259" i="3"/>
  <c r="I2261" i="3"/>
  <c r="I812" i="3"/>
  <c r="I2007" i="3"/>
  <c r="I41" i="3"/>
  <c r="I1576" i="3"/>
  <c r="I2517" i="3"/>
  <c r="I536" i="3"/>
  <c r="I1472" i="3"/>
  <c r="I1992" i="3"/>
  <c r="I638" i="3"/>
  <c r="I360" i="3"/>
  <c r="I1546" i="3"/>
  <c r="I2011" i="3"/>
  <c r="I1288" i="3"/>
  <c r="I2078" i="3"/>
  <c r="I1983" i="3"/>
  <c r="I2354" i="3"/>
  <c r="I916" i="3"/>
  <c r="I2082" i="3"/>
  <c r="I33" i="3"/>
  <c r="I1599" i="3"/>
  <c r="I892" i="3"/>
  <c r="I332" i="3"/>
  <c r="I1907" i="3"/>
  <c r="I1724" i="3"/>
  <c r="I1276" i="3"/>
  <c r="I1658" i="3"/>
  <c r="I40" i="3"/>
  <c r="I1924" i="3"/>
  <c r="I1854" i="3"/>
  <c r="I821" i="3"/>
  <c r="I2009" i="3"/>
  <c r="I1008" i="3"/>
  <c r="I1542" i="3"/>
  <c r="I1800" i="3"/>
  <c r="I1793" i="3"/>
  <c r="I1718" i="3"/>
  <c r="I2404" i="3"/>
  <c r="I2603" i="3"/>
  <c r="I357" i="3"/>
  <c r="I1014" i="3"/>
  <c r="I1976" i="3"/>
  <c r="I2197" i="3"/>
  <c r="I2688" i="3"/>
  <c r="I2130" i="3"/>
  <c r="I1063" i="3"/>
  <c r="I2001" i="3"/>
  <c r="I1484" i="3"/>
  <c r="I2507" i="3"/>
  <c r="I1828" i="3"/>
  <c r="I633" i="3"/>
  <c r="I713" i="3"/>
  <c r="I1845" i="3"/>
  <c r="I1651" i="3"/>
  <c r="I1422" i="3"/>
  <c r="I2355" i="3"/>
  <c r="I737" i="3"/>
  <c r="I1295" i="3"/>
  <c r="I2445" i="3"/>
  <c r="I1665" i="3"/>
  <c r="I2087" i="3"/>
  <c r="I2134" i="3"/>
  <c r="I438" i="3"/>
  <c r="I1548" i="3"/>
  <c r="I517" i="3"/>
  <c r="I2176" i="3"/>
  <c r="I196" i="3"/>
  <c r="I724" i="3"/>
  <c r="I1411" i="3"/>
  <c r="I753" i="3"/>
  <c r="I2246" i="3"/>
  <c r="I2653" i="3"/>
  <c r="I1392" i="3"/>
  <c r="I1499" i="3"/>
  <c r="I252" i="3"/>
  <c r="I579" i="3"/>
  <c r="I898" i="3"/>
  <c r="I2650" i="3"/>
  <c r="I2654" i="3"/>
  <c r="I723" i="3"/>
  <c r="I829" i="3"/>
  <c r="I475" i="3"/>
  <c r="I1237" i="3"/>
  <c r="I645" i="3"/>
  <c r="I1510" i="3"/>
  <c r="I2600" i="3"/>
  <c r="I2548" i="3"/>
  <c r="I320" i="3"/>
  <c r="I2341" i="3"/>
  <c r="I30" i="3"/>
  <c r="I1440" i="3"/>
  <c r="I1130" i="3"/>
  <c r="I1492" i="3"/>
  <c r="I2314" i="3"/>
  <c r="I352" i="3"/>
  <c r="I2518" i="3"/>
  <c r="I1698" i="3"/>
  <c r="I1669" i="3"/>
  <c r="I2198" i="3"/>
  <c r="I1306" i="3"/>
  <c r="I1646" i="3"/>
  <c r="I1156" i="3"/>
  <c r="I805" i="3"/>
  <c r="I421" i="3"/>
  <c r="I1319" i="3"/>
  <c r="I2715" i="3"/>
  <c r="I2515" i="3"/>
  <c r="I1303" i="3"/>
  <c r="I453" i="3"/>
  <c r="I1708" i="3"/>
  <c r="I634" i="3"/>
  <c r="I816" i="3"/>
  <c r="I1022" i="3"/>
  <c r="I2247" i="3"/>
  <c r="I2278" i="3"/>
  <c r="I2365" i="3"/>
  <c r="I2113" i="3"/>
  <c r="I2189" i="3"/>
  <c r="I1494" i="3"/>
  <c r="I578" i="3"/>
  <c r="I2694" i="3"/>
  <c r="I1536" i="3"/>
  <c r="I1819" i="3"/>
  <c r="I441" i="3"/>
  <c r="I861" i="3"/>
  <c r="I109" i="3"/>
  <c r="I642" i="3"/>
  <c r="I2353" i="3"/>
  <c r="I2248" i="3"/>
  <c r="I330" i="3"/>
  <c r="I2103" i="3"/>
  <c r="I279" i="3"/>
  <c r="I1469" i="3"/>
  <c r="I1057" i="3"/>
  <c r="I1761" i="3"/>
  <c r="I1291" i="3"/>
  <c r="I1608" i="3"/>
  <c r="I457" i="3"/>
  <c r="I1710" i="3"/>
  <c r="I121" i="3"/>
  <c r="I1570" i="3"/>
  <c r="I1731" i="3"/>
  <c r="I791" i="3"/>
  <c r="I921" i="3"/>
  <c r="I2714" i="3"/>
  <c r="I656" i="3"/>
  <c r="I2459" i="3"/>
  <c r="I203" i="3"/>
  <c r="I2690" i="3"/>
  <c r="I837" i="3"/>
  <c r="I2194" i="3"/>
  <c r="I2310" i="3"/>
  <c r="I991" i="3"/>
  <c r="I1649" i="3"/>
  <c r="I1915" i="3"/>
  <c r="I1470" i="3"/>
  <c r="I1505" i="3"/>
  <c r="I1834" i="3"/>
  <c r="I143" i="3"/>
  <c r="I793" i="3"/>
  <c r="I941" i="3"/>
  <c r="I891" i="3"/>
  <c r="I2572" i="3"/>
  <c r="I2728" i="3"/>
  <c r="I1380" i="3"/>
  <c r="I2204" i="3"/>
  <c r="I1067" i="3"/>
  <c r="I2614" i="3"/>
  <c r="I2145" i="3"/>
  <c r="I1675" i="3"/>
  <c r="I1386" i="3"/>
  <c r="I929" i="3"/>
  <c r="I1366" i="3"/>
  <c r="I804" i="3"/>
  <c r="I1594" i="3"/>
  <c r="I824" i="3"/>
  <c r="I1804" i="3"/>
  <c r="I1678" i="3"/>
  <c r="I2023" i="3"/>
  <c r="I1076" i="3"/>
  <c r="I1221" i="3"/>
  <c r="I1420" i="3"/>
  <c r="I2413" i="3"/>
  <c r="I966" i="3"/>
  <c r="I2133" i="3"/>
  <c r="I85" i="3"/>
  <c r="I1459" i="3"/>
  <c r="I1806" i="3"/>
  <c r="I2181" i="3"/>
  <c r="I2029" i="3"/>
  <c r="I1088" i="3"/>
  <c r="I2560" i="3"/>
  <c r="I1957" i="3"/>
  <c r="I2107" i="3"/>
  <c r="I2429" i="3"/>
  <c r="I1453" i="3"/>
  <c r="I246" i="3"/>
  <c r="I2685" i="3"/>
  <c r="I1892" i="3"/>
  <c r="I371" i="3"/>
  <c r="I1060" i="3"/>
  <c r="I631" i="3"/>
  <c r="I2484" i="3"/>
  <c r="I673" i="3"/>
  <c r="I256" i="3"/>
  <c r="I2060" i="3"/>
  <c r="I1327" i="3"/>
  <c r="I760" i="3"/>
  <c r="I2168" i="3"/>
  <c r="I2551" i="3"/>
  <c r="I986" i="3"/>
  <c r="I1436" i="3"/>
  <c r="I1991" i="3"/>
  <c r="I1283" i="3"/>
  <c r="I1496" i="3"/>
  <c r="I191" i="3"/>
  <c r="I853" i="3"/>
  <c r="I267" i="3"/>
  <c r="I1177" i="3"/>
  <c r="I113" i="3"/>
  <c r="I2522" i="3"/>
  <c r="I1329" i="3"/>
  <c r="I1878" i="3"/>
  <c r="I1611" i="3"/>
  <c r="I1308" i="3"/>
  <c r="I1197" i="3"/>
  <c r="I2598" i="3"/>
  <c r="I1359" i="3"/>
  <c r="I2475" i="3"/>
  <c r="I1135" i="3"/>
  <c r="I995" i="3"/>
  <c r="I1519" i="3"/>
  <c r="I2205" i="3"/>
  <c r="I323" i="3"/>
  <c r="I1072" i="3"/>
  <c r="I1853" i="3"/>
  <c r="I1538" i="3"/>
  <c r="I2710" i="3"/>
  <c r="I2663" i="3"/>
  <c r="I2111" i="3"/>
  <c r="I2182" i="3"/>
  <c r="I1344" i="3"/>
  <c r="I168" i="3"/>
  <c r="I754" i="3"/>
  <c r="I1272" i="3"/>
  <c r="I610" i="3"/>
  <c r="I448" i="3"/>
  <c r="I848" i="3"/>
  <c r="I775" i="3"/>
  <c r="I1701" i="3"/>
  <c r="I832" i="3"/>
  <c r="I2319" i="3"/>
  <c r="I1843" i="3"/>
  <c r="I2539" i="3"/>
  <c r="I1169" i="3"/>
  <c r="I1150" i="3"/>
  <c r="I2200" i="3"/>
  <c r="I64" i="3"/>
  <c r="I841" i="3"/>
  <c r="I1637" i="3"/>
  <c r="I2177" i="3"/>
  <c r="I846" i="3"/>
  <c r="I909" i="3"/>
  <c r="I1371" i="3"/>
  <c r="I1653" i="3"/>
  <c r="I648" i="3"/>
  <c r="I551" i="3"/>
  <c r="I2618" i="3"/>
  <c r="I2591" i="3"/>
  <c r="I2162" i="3"/>
  <c r="I885" i="3"/>
  <c r="I2250" i="3"/>
  <c r="I787" i="3"/>
  <c r="I1975" i="3"/>
  <c r="I1446" i="3"/>
  <c r="I1474" i="3"/>
  <c r="I515" i="3"/>
  <c r="I1134" i="3"/>
  <c r="I950" i="3"/>
  <c r="I1815" i="3"/>
  <c r="I62" i="3"/>
  <c r="I478" i="3"/>
  <c r="I174" i="3"/>
  <c r="I467" i="3"/>
  <c r="I305" i="3"/>
  <c r="I851" i="3"/>
  <c r="I2115" i="3"/>
  <c r="I342" i="3"/>
  <c r="I1101" i="3"/>
  <c r="I1996" i="3"/>
  <c r="I943" i="3"/>
  <c r="I2372" i="3"/>
  <c r="I776" i="3"/>
  <c r="I215" i="3"/>
  <c r="I549" i="3"/>
  <c r="I310" i="3"/>
  <c r="I150" i="3"/>
  <c r="I182" i="3"/>
  <c r="I1036" i="3"/>
  <c r="I1073" i="3"/>
  <c r="I424" i="3"/>
  <c r="I1082" i="3"/>
  <c r="I1066" i="3"/>
  <c r="I1233" i="3"/>
  <c r="I362" i="3"/>
  <c r="I765" i="3"/>
  <c r="I2119" i="3"/>
  <c r="I717" i="3"/>
  <c r="I2520" i="3"/>
  <c r="I1034" i="3"/>
  <c r="I2406" i="3"/>
  <c r="I1117" i="3"/>
  <c r="I1885" i="3"/>
  <c r="I1943" i="3"/>
  <c r="I945" i="3"/>
  <c r="I2391" i="3"/>
  <c r="I349" i="3"/>
  <c r="I146" i="3"/>
  <c r="I590" i="3"/>
  <c r="I1759" i="3"/>
  <c r="I738" i="3"/>
  <c r="I1703" i="3"/>
  <c r="I1609" i="3"/>
  <c r="I1963" i="3"/>
  <c r="I2519" i="3"/>
  <c r="I2401" i="3"/>
  <c r="I2053" i="3"/>
  <c r="I964" i="3"/>
  <c r="I1725" i="3"/>
  <c r="I2020" i="3"/>
  <c r="I2132" i="3"/>
  <c r="I87" i="3"/>
  <c r="I35" i="3"/>
  <c r="I2575" i="3"/>
  <c r="I899" i="3"/>
  <c r="I2244" i="3"/>
  <c r="I2589" i="3"/>
  <c r="I88" i="3"/>
  <c r="I1026" i="3"/>
  <c r="I938" i="3"/>
  <c r="I896" i="3"/>
  <c r="I581" i="3"/>
  <c r="I952" i="3"/>
  <c r="I2273" i="3"/>
  <c r="I2455" i="3"/>
  <c r="I1964" i="3"/>
  <c r="I2504" i="3"/>
  <c r="I2235" i="3"/>
  <c r="I2679" i="3"/>
  <c r="I2105" i="3"/>
  <c r="I759" i="3"/>
  <c r="I2351" i="3"/>
  <c r="I1814" i="3"/>
  <c r="I29" i="3"/>
  <c r="I2210" i="3"/>
  <c r="I1490" i="3"/>
  <c r="I1173" i="3"/>
  <c r="I996" i="3"/>
  <c r="I255" i="3"/>
  <c r="I1893" i="3"/>
  <c r="I2480" i="3"/>
  <c r="I1021" i="3"/>
  <c r="I2570" i="3"/>
  <c r="I1171" i="3"/>
  <c r="I25" i="3"/>
  <c r="I133" i="3"/>
  <c r="I2610" i="3"/>
  <c r="I917" i="3"/>
  <c r="I2137" i="3"/>
  <c r="I901" i="3"/>
  <c r="I2232" i="3"/>
  <c r="I843" i="3"/>
  <c r="I965" i="3"/>
  <c r="I1687" i="3"/>
  <c r="I1090" i="3"/>
  <c r="I932" i="3"/>
  <c r="I1226" i="3"/>
  <c r="I919" i="3"/>
  <c r="I1947" i="3"/>
  <c r="I2662" i="3"/>
  <c r="I1466" i="3"/>
  <c r="I181" i="3"/>
  <c r="I676" i="3"/>
  <c r="I1543" i="3"/>
  <c r="I844" i="3"/>
  <c r="I1973" i="3"/>
  <c r="I49" i="3"/>
  <c r="I1455" i="3"/>
  <c r="I799" i="3"/>
  <c r="I1827" i="3"/>
  <c r="I617" i="3"/>
  <c r="I1282" i="3"/>
  <c r="I2587" i="3"/>
  <c r="I576" i="3"/>
  <c r="I813" i="3"/>
  <c r="I2505" i="3"/>
  <c r="I2057" i="3"/>
  <c r="I1355" i="3"/>
  <c r="I733" i="3"/>
  <c r="I2373" i="3"/>
  <c r="I884" i="3"/>
  <c r="I903" i="3"/>
  <c r="I2660" i="3"/>
  <c r="I81" i="3"/>
  <c r="I1468" i="3"/>
  <c r="I2389" i="3"/>
  <c r="I472" i="3"/>
  <c r="I1772" i="3"/>
  <c r="I529" i="3"/>
  <c r="I1663" i="3"/>
  <c r="I2533" i="3"/>
  <c r="I2456" i="3"/>
  <c r="I1195" i="3"/>
  <c r="I1610" i="3"/>
  <c r="I2451" i="3"/>
  <c r="I1883" i="3"/>
  <c r="I138" i="3"/>
  <c r="I1336" i="3"/>
  <c r="I2699" i="3"/>
  <c r="I1061" i="3"/>
  <c r="I523" i="3"/>
  <c r="I2498" i="3"/>
  <c r="I201" i="3"/>
  <c r="I1779" i="3"/>
  <c r="I649" i="3"/>
  <c r="I2179" i="3"/>
  <c r="I1500" i="3"/>
  <c r="I2118" i="3"/>
  <c r="I814" i="3"/>
  <c r="I140" i="3"/>
  <c r="I2669" i="3"/>
  <c r="I1904" i="3"/>
  <c r="I34" i="3"/>
  <c r="I978" i="3"/>
  <c r="I1650" i="3"/>
  <c r="I798" i="3"/>
  <c r="I2280" i="3"/>
  <c r="I1580" i="3"/>
  <c r="I1020" i="3"/>
  <c r="I1184" i="3"/>
  <c r="I116" i="3"/>
  <c r="I2068" i="3"/>
  <c r="I931" i="3"/>
  <c r="I2203" i="3"/>
  <c r="I1522" i="3"/>
  <c r="I2489" i="3"/>
  <c r="I1664" i="3"/>
  <c r="I742" i="3"/>
  <c r="I429" i="3"/>
  <c r="I2624" i="3"/>
  <c r="I2166" i="3"/>
  <c r="I166" i="3"/>
  <c r="I2602" i="3"/>
  <c r="I997" i="3"/>
  <c r="I975" i="3"/>
  <c r="I2535" i="3"/>
  <c r="I490" i="3"/>
  <c r="I1480" i="3"/>
  <c r="I158" i="3"/>
  <c r="I1765" i="3"/>
  <c r="I2164" i="3"/>
  <c r="I1906" i="3"/>
  <c r="I1346" i="3"/>
  <c r="I486" i="3"/>
  <c r="I718" i="3"/>
  <c r="I288" i="3"/>
  <c r="I1962" i="3"/>
  <c r="I2433" i="3"/>
  <c r="I179" i="3"/>
  <c r="I680" i="3"/>
  <c r="I193" i="3"/>
  <c r="I396" i="3"/>
  <c r="I1842" i="3"/>
  <c r="I2109" i="3"/>
  <c r="I1447" i="3"/>
  <c r="I1517" i="3"/>
  <c r="I1313" i="3"/>
  <c r="I83" i="3"/>
  <c r="I2122" i="3"/>
  <c r="I2037" i="3"/>
  <c r="I1144" i="3"/>
  <c r="I1880" i="3"/>
  <c r="I1990" i="3"/>
  <c r="I1337" i="3"/>
  <c r="I1234" i="3"/>
  <c r="I786" i="3"/>
  <c r="I665" i="3"/>
  <c r="I367" i="3"/>
  <c r="I1513" i="3"/>
  <c r="I1776" i="3"/>
  <c r="I1917" i="3"/>
  <c r="I1172" i="3"/>
  <c r="I2676" i="3"/>
  <c r="I123" i="3"/>
  <c r="I888" i="3"/>
  <c r="I231" i="3"/>
  <c r="I2725" i="3"/>
  <c r="I2117" i="3"/>
  <c r="I2352" i="3"/>
  <c r="I2643" i="3"/>
  <c r="I1133" i="3"/>
  <c r="I2339" i="3"/>
  <c r="I622" i="3"/>
  <c r="I2503" i="3"/>
  <c r="I1123" i="3"/>
  <c r="I1185" i="3"/>
  <c r="I768" i="3"/>
  <c r="I24" i="3"/>
  <c r="I1862" i="3"/>
  <c r="I2461" i="3"/>
  <c r="I487" i="3"/>
  <c r="I1179" i="3"/>
  <c r="I1391" i="3"/>
  <c r="I626" i="3"/>
  <c r="I58" i="3"/>
  <c r="I2723" i="3"/>
  <c r="I2375" i="3"/>
  <c r="I1577" i="3"/>
  <c r="I644" i="3"/>
  <c r="I2207" i="3"/>
  <c r="I1591" i="3"/>
  <c r="I2155" i="3"/>
  <c r="I1018" i="3"/>
  <c r="I2641" i="3"/>
  <c r="I1002" i="3"/>
  <c r="I103" i="3"/>
  <c r="I2067" i="3"/>
  <c r="I1227" i="3"/>
  <c r="I1715" i="3"/>
  <c r="I693" i="3"/>
  <c r="I1939" i="3"/>
  <c r="I1349" i="3"/>
  <c r="I803" i="3"/>
  <c r="I537" i="3"/>
  <c r="I1268" i="3"/>
  <c r="I689" i="3"/>
  <c r="I769" i="3"/>
  <c r="I959" i="3"/>
  <c r="I285" i="3"/>
  <c r="I470" i="3"/>
  <c r="I2490" i="3"/>
  <c r="I1225" i="3"/>
  <c r="I2183" i="3"/>
  <c r="I422" i="3"/>
  <c r="I301" i="3"/>
  <c r="I577" i="3"/>
  <c r="I1569" i="3"/>
  <c r="I1424" i="3"/>
  <c r="I880" i="3"/>
  <c r="I60" i="3"/>
  <c r="I1583" i="3"/>
  <c r="I409" i="3"/>
  <c r="I28" i="3"/>
  <c r="I554" i="3"/>
  <c r="I198" i="3"/>
  <c r="I1784" i="3"/>
  <c r="I2147" i="3"/>
  <c r="I1737" i="3"/>
  <c r="I481" i="3"/>
  <c r="I2363" i="3"/>
  <c r="I2093" i="3"/>
  <c r="I1265" i="3"/>
  <c r="I2635" i="3"/>
  <c r="I2647" i="3"/>
  <c r="I427" i="3"/>
  <c r="I524" i="3"/>
  <c r="I1498" i="3"/>
  <c r="I1704" i="3"/>
  <c r="I1128" i="3"/>
  <c r="I726" i="3"/>
  <c r="I412" i="3"/>
  <c r="I2677" i="3"/>
  <c r="I2125" i="3"/>
  <c r="I934" i="3"/>
  <c r="I2008" i="3"/>
  <c r="I1165" i="3"/>
  <c r="I2613" i="3"/>
  <c r="I1829" i="3"/>
  <c r="I145" i="3"/>
  <c r="I2418" i="3"/>
  <c r="I2328" i="3"/>
  <c r="I999" i="3"/>
  <c r="I1679" i="3"/>
  <c r="I808" i="3"/>
  <c r="I796" i="3"/>
  <c r="I159" i="3"/>
  <c r="I368" i="3"/>
  <c r="I1263" i="3"/>
  <c r="I1839" i="3"/>
  <c r="I687" i="3"/>
  <c r="I1345" i="3"/>
  <c r="I1746" i="3"/>
  <c r="I1258" i="3"/>
  <c r="I236" i="3"/>
  <c r="I1083" i="3"/>
  <c r="I1137" i="3"/>
  <c r="I2202" i="3"/>
  <c r="I338" i="3"/>
  <c r="I1861" i="3"/>
  <c r="I2149" i="3"/>
  <c r="I1102" i="3"/>
  <c r="I57" i="3"/>
  <c r="I452" i="3"/>
  <c r="I14" i="3"/>
  <c r="I1201" i="3"/>
  <c r="I1089" i="3"/>
  <c r="I341" i="3"/>
  <c r="I2175" i="3"/>
  <c r="I1281" i="3"/>
  <c r="I2257" i="3"/>
  <c r="I740" i="3"/>
  <c r="I1166" i="3"/>
  <c r="I2340" i="3"/>
  <c r="I559" i="3"/>
  <c r="I895" i="3"/>
  <c r="I508" i="3"/>
  <c r="I477" i="3"/>
  <c r="I2640" i="3"/>
  <c r="I662" i="3"/>
  <c r="I2410" i="3"/>
  <c r="I389" i="3"/>
  <c r="I67" i="3"/>
  <c r="I679" i="3"/>
  <c r="I2325" i="3"/>
  <c r="I1153" i="3"/>
  <c r="I2462" i="3"/>
  <c r="I291" i="3"/>
  <c r="I1260" i="3"/>
  <c r="I2516" i="3"/>
  <c r="I1198" i="3"/>
  <c r="I102" i="3"/>
  <c r="I112" i="3"/>
  <c r="I434" i="3"/>
  <c r="I449" i="3"/>
  <c r="I1886" i="3"/>
  <c r="I104" i="3"/>
  <c r="I1261" i="3"/>
  <c r="I2630" i="3"/>
  <c r="I1581" i="3"/>
  <c r="I1736" i="3"/>
  <c r="I2108" i="3"/>
  <c r="I2651" i="3"/>
  <c r="I2687" i="3"/>
  <c r="I1796" i="3"/>
  <c r="I1744" i="3"/>
  <c r="I187" i="3"/>
  <c r="I2039" i="3"/>
  <c r="I435" i="3"/>
  <c r="I587" i="3"/>
  <c r="I2638" i="3"/>
  <c r="I232" i="3"/>
  <c r="I1802" i="3"/>
  <c r="I1164" i="3"/>
  <c r="I1808" i="3"/>
  <c r="I780" i="3"/>
  <c r="I2046" i="3"/>
  <c r="I1741" i="3"/>
  <c r="I208" i="3"/>
  <c r="I2040" i="3"/>
  <c r="I1525" i="3"/>
  <c r="I762" i="3"/>
  <c r="I1644" i="3"/>
  <c r="I2386" i="3"/>
  <c r="I535" i="3"/>
  <c r="I2342" i="3"/>
  <c r="I1222" i="3"/>
  <c r="I1721" i="3"/>
  <c r="I2402" i="3"/>
  <c r="I1463" i="3"/>
  <c r="I2711" i="3"/>
  <c r="I900" i="3"/>
  <c r="I55" i="3"/>
  <c r="I2473" i="3"/>
  <c r="I1191" i="3"/>
  <c r="I309" i="3"/>
  <c r="I2712" i="3"/>
  <c r="I2554" i="3"/>
  <c r="I1478" i="3"/>
  <c r="I2486" i="3"/>
  <c r="I420" i="3"/>
  <c r="I1564" i="3"/>
  <c r="I336" i="3"/>
  <c r="I1521" i="3"/>
  <c r="I658" i="3"/>
  <c r="I1109" i="3"/>
  <c r="I1938" i="3"/>
  <c r="I361" i="3"/>
  <c r="I1294" i="3"/>
  <c r="I2612" i="3"/>
  <c r="I12" i="3"/>
  <c r="I756" i="3"/>
  <c r="I2131" i="3"/>
  <c r="I2659" i="3"/>
  <c r="I2091" i="3"/>
  <c r="I2501" i="3"/>
  <c r="I1876" i="3"/>
  <c r="I1566" i="3"/>
  <c r="I1630" i="3"/>
  <c r="I86" i="3"/>
  <c r="I1681" i="3"/>
  <c r="I1532" i="3"/>
  <c r="I573" i="3"/>
  <c r="I2405" i="3"/>
  <c r="I2621" i="3"/>
  <c r="I2633" i="3"/>
  <c r="I206" i="3"/>
  <c r="I382" i="3"/>
  <c r="I1363" i="3"/>
  <c r="I2148" i="3"/>
  <c r="I949" i="3"/>
  <c r="I1768" i="3"/>
  <c r="I1388" i="3"/>
  <c r="I170" i="3"/>
  <c r="I491" i="3"/>
  <c r="I2631" i="3"/>
  <c r="I1616" i="3"/>
  <c r="I2622" i="3"/>
  <c r="I1930" i="3"/>
  <c r="I1405" i="3"/>
  <c r="I1823" i="3"/>
  <c r="I910" i="3"/>
  <c r="I838" i="3"/>
  <c r="I91" i="3"/>
  <c r="I1054" i="3"/>
  <c r="I2201" i="3"/>
  <c r="I1560" i="3"/>
  <c r="I889" i="3"/>
  <c r="I2301" i="3"/>
  <c r="I1479" i="3"/>
  <c r="I2349" i="3"/>
  <c r="I569" i="3"/>
  <c r="I1821" i="3"/>
  <c r="I1003" i="3"/>
  <c r="I241" i="3"/>
  <c r="I1868" i="3"/>
  <c r="I1978" i="3"/>
  <c r="I2357" i="3"/>
  <c r="I1971" i="3"/>
  <c r="I1396" i="3"/>
  <c r="I2550" i="3"/>
  <c r="I2675" i="3"/>
  <c r="I2449" i="3"/>
  <c r="I228" i="3"/>
  <c r="I1099" i="3"/>
  <c r="I1016" i="3"/>
  <c r="I1445" i="3"/>
  <c r="I1984" i="3"/>
  <c r="I1825" i="3"/>
  <c r="I2030" i="3"/>
  <c r="I370" i="3"/>
  <c r="I2628" i="3"/>
  <c r="I1106" i="3"/>
  <c r="I2282" i="3"/>
  <c r="I1430" i="3"/>
  <c r="I1071" i="3"/>
  <c r="I2156" i="3"/>
  <c r="I1423" i="3"/>
  <c r="I639" i="3"/>
  <c r="I2718" i="3"/>
  <c r="I2568" i="3"/>
  <c r="I119" i="3"/>
  <c r="I257" i="3"/>
  <c r="I960" i="3"/>
  <c r="I1835" i="3"/>
  <c r="I878" i="3"/>
  <c r="I110" i="3"/>
  <c r="I1647" i="3"/>
  <c r="I1368" i="3"/>
  <c r="I2356" i="3"/>
  <c r="I1340" i="3"/>
  <c r="I295" i="3"/>
  <c r="I2509" i="3"/>
  <c r="I1070" i="3"/>
  <c r="I2293" i="3"/>
  <c r="I1712" i="3"/>
  <c r="I1801" i="3"/>
  <c r="I2032" i="3"/>
  <c r="I641" i="3"/>
  <c r="I2639" i="3"/>
  <c r="I1399" i="3"/>
  <c r="I2139" i="3"/>
  <c r="I1596" i="3"/>
  <c r="I1798" i="3"/>
  <c r="I216" i="3"/>
  <c r="I597" i="3"/>
  <c r="I378" i="3"/>
  <c r="I1035" i="3"/>
  <c r="I1312" i="3"/>
  <c r="I1895" i="3"/>
  <c r="I2063" i="3"/>
  <c r="I2596" i="3"/>
  <c r="I1840" i="3"/>
  <c r="I1523" i="3"/>
  <c r="I128" i="3"/>
  <c r="I296" i="3"/>
  <c r="I1927" i="3"/>
  <c r="I1017" i="3"/>
  <c r="I1960" i="3"/>
  <c r="I464" i="3"/>
  <c r="I2508" i="3"/>
  <c r="I928" i="3"/>
  <c r="I1231" i="3"/>
  <c r="I431" i="3"/>
  <c r="I2593" i="3"/>
  <c r="I2392" i="3"/>
  <c r="I1899" i="3"/>
  <c r="I871" i="3"/>
  <c r="I1434" i="3"/>
  <c r="I1025" i="3"/>
  <c r="I2701" i="3"/>
  <c r="I443" i="3"/>
  <c r="I1705" i="3"/>
  <c r="I774" i="3"/>
  <c r="I484" i="3"/>
  <c r="I764" i="3"/>
  <c r="I1584" i="3"/>
  <c r="I696" i="3"/>
  <c r="I1457" i="3"/>
  <c r="I1790" i="3"/>
  <c r="I1873" i="3"/>
  <c r="I2212" i="3"/>
  <c r="I1338" i="3"/>
  <c r="I1385" i="3"/>
  <c r="I621" i="3"/>
  <c r="I263" i="3"/>
  <c r="I397" i="3"/>
  <c r="I153" i="3"/>
  <c r="I1284" i="3"/>
  <c r="I2270" i="3"/>
  <c r="I721" i="3"/>
  <c r="I1816" i="3"/>
  <c r="I706" i="3"/>
  <c r="I2493" i="3"/>
  <c r="I1108" i="3"/>
  <c r="I2283" i="3"/>
  <c r="I1333" i="3"/>
  <c r="I1617" i="3"/>
  <c r="I2059" i="3"/>
  <c r="I2693" i="3"/>
  <c r="I688" i="3"/>
  <c r="I600" i="3"/>
  <c r="I59" i="3"/>
  <c r="I2716" i="3"/>
  <c r="I1988" i="3"/>
  <c r="I2265" i="3"/>
  <c r="I1274" i="3"/>
  <c r="I920" i="3"/>
  <c r="I1432" i="3"/>
  <c r="I2013" i="3"/>
  <c r="I1795" i="3"/>
  <c r="I265" i="3"/>
  <c r="I2706" i="3"/>
  <c r="I2521" i="3"/>
  <c r="I2216" i="3"/>
  <c r="I682" i="3"/>
  <c r="I663" i="3"/>
  <c r="I2529" i="3"/>
  <c r="I850" i="3"/>
  <c r="I126" i="3"/>
  <c r="I1540" i="3"/>
  <c r="I2256" i="3"/>
  <c r="I1427" i="3"/>
  <c r="I654" i="3"/>
  <c r="I1189" i="3"/>
  <c r="I369" i="3"/>
  <c r="I2005" i="3"/>
  <c r="I61" i="3"/>
  <c r="I1979" i="3"/>
  <c r="I2416" i="3"/>
  <c r="I911" i="3"/>
  <c r="I178" i="3"/>
  <c r="I2262" i="3"/>
  <c r="I405" i="3"/>
  <c r="I2173" i="3"/>
  <c r="I1874" i="3"/>
  <c r="I2476" i="3"/>
  <c r="I1079" i="3"/>
  <c r="I2485" i="3"/>
  <c r="I1401" i="3"/>
  <c r="I2457" i="3"/>
  <c r="I380" i="3"/>
  <c r="I2318" i="3"/>
  <c r="I748" i="3"/>
  <c r="I2303" i="3"/>
  <c r="I1777" i="3"/>
  <c r="I1631" i="3"/>
  <c r="I701" i="3"/>
  <c r="I476" i="3"/>
  <c r="I1377" i="3"/>
  <c r="I2268" i="3"/>
  <c r="I1007" i="3"/>
  <c r="I129" i="3"/>
  <c r="I496" i="3"/>
  <c r="I886" i="3"/>
  <c r="I2158" i="3"/>
  <c r="I720" i="3"/>
  <c r="I1944" i="3"/>
  <c r="I562" i="3"/>
  <c r="I2397" i="3"/>
  <c r="I763" i="3"/>
  <c r="I350" i="3"/>
  <c r="I547" i="3"/>
  <c r="I1324" i="3"/>
  <c r="I1654" i="3"/>
  <c r="I2289" i="3"/>
  <c r="I2724" i="3"/>
  <c r="I1738" i="3"/>
  <c r="I105" i="3"/>
  <c r="I1559" i="3"/>
  <c r="I2084" i="3"/>
  <c r="I818" i="3"/>
  <c r="I505" i="3"/>
  <c r="I432" i="3"/>
  <c r="I2233" i="3"/>
  <c r="I877" i="3"/>
  <c r="I958" i="3"/>
  <c r="I2264" i="3"/>
  <c r="I2070" i="3"/>
  <c r="I2394" i="3"/>
  <c r="I2296" i="3"/>
  <c r="I322" i="3"/>
  <c r="I2385" i="3"/>
  <c r="I2370" i="3"/>
  <c r="I47" i="3"/>
  <c r="I670" i="3"/>
  <c r="I968" i="3"/>
  <c r="I1612" i="3"/>
  <c r="I413" i="3"/>
  <c r="I2430" i="3"/>
  <c r="I84" i="3"/>
  <c r="I118" i="3"/>
  <c r="I2722" i="3"/>
  <c r="I471" i="3"/>
  <c r="I428" i="3"/>
  <c r="I186" i="3"/>
  <c r="I388" i="3"/>
  <c r="I1749" i="3"/>
  <c r="I1305" i="3"/>
  <c r="I1357" i="3"/>
  <c r="I2514" i="3"/>
  <c r="I2245" i="3"/>
  <c r="I2452" i="3"/>
  <c r="I1056" i="3"/>
  <c r="I2658" i="3"/>
  <c r="I1382" i="3"/>
  <c r="I507" i="3"/>
  <c r="I1918" i="3"/>
  <c r="I307" i="3"/>
  <c r="I595" i="3"/>
  <c r="I2191" i="3"/>
  <c r="I337" i="3"/>
  <c r="I2684" i="3"/>
  <c r="I2206" i="3"/>
  <c r="I1048" i="3"/>
  <c r="I1530" i="3"/>
  <c r="I2670" i="3"/>
  <c r="I2467" i="3"/>
  <c r="I1557" i="3"/>
  <c r="I325" i="3"/>
  <c r="I247" i="3"/>
  <c r="I466" i="3"/>
  <c r="I1199" i="3"/>
  <c r="I771" i="3"/>
  <c r="I2174" i="3"/>
  <c r="I1641" i="3"/>
  <c r="I2237" i="3"/>
  <c r="I2324" i="3"/>
  <c r="I1901" i="3"/>
  <c r="I1481" i="3"/>
  <c r="I212" i="3"/>
  <c r="I9" i="3"/>
  <c r="I2464" i="3"/>
  <c r="I2022" i="3"/>
  <c r="I1001" i="3"/>
  <c r="I1785" i="3"/>
  <c r="I1389" i="3"/>
  <c r="I516" i="3"/>
  <c r="I2334" i="3"/>
  <c r="I2634" i="3"/>
  <c r="I2615" i="3"/>
  <c r="I1381" i="3"/>
  <c r="I1228" i="3"/>
  <c r="I272" i="3"/>
  <c r="I385" i="3"/>
  <c r="I1682" i="3"/>
  <c r="I1454" i="3"/>
  <c r="I1511" i="3"/>
  <c r="I1325" i="3"/>
  <c r="I1315" i="3"/>
  <c r="I923" i="3"/>
  <c r="I141" i="3"/>
  <c r="I1442" i="3"/>
  <c r="I702" i="3"/>
  <c r="I1465" i="3"/>
  <c r="I1905" i="3"/>
  <c r="I993" i="3"/>
  <c r="I2151" i="3"/>
  <c r="I2607" i="3"/>
  <c r="I2583" i="3"/>
  <c r="I1052" i="3"/>
  <c r="I274" i="3"/>
  <c r="I1387" i="3"/>
  <c r="I379" i="3"/>
  <c r="I207" i="3"/>
  <c r="I213" i="3"/>
  <c r="I1780" i="3"/>
  <c r="I2170" i="3"/>
  <c r="I914" i="3"/>
  <c r="I849" i="3"/>
  <c r="I1364" i="3"/>
  <c r="I722" i="3"/>
  <c r="I552" i="3"/>
  <c r="I905" i="3"/>
  <c r="I790" i="3"/>
  <c r="I2422" i="3"/>
  <c r="I1869" i="3"/>
  <c r="I2540" i="3"/>
  <c r="I331" i="3"/>
  <c r="I1352" i="3"/>
  <c r="I2038" i="3"/>
  <c r="I1700" i="3"/>
  <c r="I2735" i="3"/>
  <c r="I1740" i="3"/>
  <c r="I1374" i="3"/>
  <c r="I2312" i="3"/>
  <c r="I2238" i="3"/>
  <c r="I1809" i="3"/>
  <c r="I328" i="3"/>
  <c r="I811" i="3"/>
  <c r="I2646" i="3"/>
  <c r="I1586" i="3"/>
  <c r="I1302" i="3"/>
  <c r="I2727" i="3"/>
  <c r="I2434" i="3"/>
  <c r="I1019" i="3"/>
  <c r="I1719" i="3"/>
  <c r="I2018" i="3"/>
  <c r="I2393" i="3"/>
  <c r="I1339" i="3"/>
  <c r="I277" i="3"/>
  <c r="I2513" i="3"/>
  <c r="I761" i="3"/>
  <c r="I161" i="3"/>
  <c r="I2157" i="3"/>
  <c r="I2021" i="3"/>
  <c r="I2477" i="3"/>
  <c r="I795" i="3"/>
  <c r="I1805" i="3"/>
  <c r="I1183" i="3"/>
  <c r="I1758" i="3"/>
  <c r="I2031" i="3"/>
  <c r="I558" i="3"/>
  <c r="I286" i="3"/>
  <c r="I2269" i="3"/>
  <c r="I95" i="3"/>
  <c r="I731" i="3"/>
  <c r="I1879" i="3"/>
  <c r="I2665" i="3"/>
  <c r="I1383" i="3"/>
  <c r="I963" i="3"/>
  <c r="I2163" i="3"/>
  <c r="I1568" i="3"/>
  <c r="I1196" i="3"/>
  <c r="I825" i="3"/>
  <c r="I1353" i="3"/>
  <c r="I2126" i="3"/>
  <c r="I459" i="3"/>
  <c r="I1642" i="3"/>
  <c r="I402" i="3"/>
  <c r="I1554" i="3"/>
  <c r="I266" i="3"/>
  <c r="I857" i="3"/>
  <c r="I439" i="3"/>
  <c r="I176" i="3"/>
  <c r="I1900" i="3"/>
  <c r="I1789" i="3"/>
  <c r="I2492" i="3"/>
  <c r="I518" i="3"/>
  <c r="I820" i="3"/>
  <c r="I1418" i="3"/>
  <c r="I1075" i="3"/>
  <c r="I1770" i="3"/>
  <c r="I1929" i="3"/>
  <c r="I1720" i="3"/>
  <c r="I222" i="3"/>
  <c r="I540" i="3"/>
  <c r="I1850" i="3"/>
  <c r="I17" i="3"/>
  <c r="I1023" i="3"/>
  <c r="I2465" i="3"/>
  <c r="I480" i="3"/>
  <c r="I1246" i="3"/>
  <c r="I1997" i="3"/>
  <c r="I2208" i="3"/>
  <c r="I2458" i="3"/>
  <c r="I2230" i="3"/>
  <c r="I283" i="3"/>
  <c r="I2431" i="3"/>
  <c r="I2035" i="3"/>
  <c r="I629" i="3"/>
  <c r="I1852" i="3"/>
  <c r="I747" i="3"/>
  <c r="I2167" i="3"/>
  <c r="I2358" i="3"/>
  <c r="I1460" i="3"/>
  <c r="I2190" i="3"/>
  <c r="I1504" i="3"/>
  <c r="I1271" i="3"/>
  <c r="I2048" i="3"/>
  <c r="I93" i="3"/>
  <c r="I987" i="3"/>
  <c r="I1952" i="3"/>
  <c r="I1212" i="3"/>
  <c r="I2187" i="3"/>
  <c r="I18" i="3"/>
  <c r="I1745" i="3"/>
  <c r="I2709" i="3"/>
  <c r="I1013" i="3"/>
  <c r="I2316" i="3"/>
  <c r="I463" i="3"/>
  <c r="I2454" i="3"/>
  <c r="I227" i="3"/>
  <c r="I947" i="3"/>
  <c r="I674" i="3"/>
  <c r="I1575" i="3"/>
  <c r="I2150" i="3"/>
  <c r="I1407" i="3"/>
  <c r="I157" i="3"/>
  <c r="I1240" i="3"/>
  <c r="I584" i="3"/>
  <c r="I2557" i="3"/>
  <c r="I403" i="3"/>
  <c r="I1354" i="3"/>
  <c r="I782" i="3"/>
  <c r="I1626" i="3"/>
  <c r="I2534" i="3"/>
  <c r="I2511" i="3"/>
  <c r="I130" i="3"/>
  <c r="I1824" i="3"/>
  <c r="I38" i="3"/>
  <c r="I2226" i="3"/>
  <c r="I513" i="3"/>
  <c r="I2271" i="3"/>
  <c r="I833" i="3"/>
  <c r="I2408" i="3"/>
  <c r="I1304" i="3"/>
  <c r="I244" i="3"/>
  <c r="I311" i="3"/>
  <c r="I2707" i="3"/>
  <c r="I683" i="3"/>
  <c r="I985" i="3"/>
  <c r="I479" i="3"/>
  <c r="I2537" i="3"/>
  <c r="I120" i="3"/>
  <c r="I1894" i="3"/>
  <c r="I1069" i="3"/>
  <c r="I501" i="3"/>
  <c r="I1404" i="3"/>
  <c r="I2526" i="3"/>
  <c r="I944" i="3"/>
  <c r="I1186" i="3"/>
  <c r="I1680" i="3"/>
  <c r="I817" i="3"/>
  <c r="I1910" i="3"/>
  <c r="I1155" i="3"/>
  <c r="I669" i="3"/>
  <c r="I1266" i="3"/>
  <c r="I604" i="3"/>
  <c r="I281" i="3"/>
  <c r="I781" i="3"/>
  <c r="I625" i="3"/>
  <c r="I175" i="3"/>
  <c r="I287" i="3"/>
  <c r="I1690" i="3"/>
  <c r="I1139" i="3"/>
  <c r="I2172" i="3"/>
  <c r="I1458" i="3"/>
  <c r="I251" i="3"/>
  <c r="I749" i="3"/>
  <c r="I1545" i="3"/>
  <c r="I1009" i="3"/>
  <c r="I13" i="3"/>
  <c r="I2381" i="3"/>
  <c r="I2559" i="3"/>
  <c r="I1638" i="3"/>
  <c r="I1059" i="3"/>
  <c r="I1077" i="3"/>
  <c r="I1935" i="3"/>
  <c r="I703" i="3"/>
  <c r="I2671" i="3"/>
  <c r="I538" i="3"/>
  <c r="I1941" i="3"/>
  <c r="I948" i="3"/>
  <c r="I499" i="3"/>
  <c r="I1896" i="3"/>
  <c r="I500" i="3"/>
  <c r="I741" i="3"/>
  <c r="I998" i="3"/>
  <c r="I935" i="3"/>
  <c r="I772" i="3"/>
  <c r="I2471" i="3"/>
  <c r="I591" i="3"/>
  <c r="I284" i="3"/>
  <c r="I204" i="3"/>
  <c r="I1487" i="3"/>
  <c r="I684" i="3"/>
  <c r="I1916" i="3"/>
  <c r="I2146" i="3"/>
  <c r="I299" i="3"/>
  <c r="I1600" i="3"/>
  <c r="I785" i="3"/>
  <c r="I826" i="3"/>
  <c r="I2101" i="3"/>
  <c r="I1993" i="3"/>
  <c r="I1621" i="3"/>
  <c r="I1841" i="3"/>
  <c r="I492" i="3"/>
  <c r="I2223" i="3"/>
  <c r="I2034" i="3"/>
  <c r="I653" i="3"/>
  <c r="I1752" i="3"/>
  <c r="I893" i="3"/>
  <c r="I1092" i="3"/>
  <c r="I436" i="3"/>
  <c r="I1989" i="3"/>
  <c r="I70" i="3"/>
  <c r="I2241" i="3"/>
  <c r="I957" i="3"/>
  <c r="I377" i="3"/>
  <c r="I511" i="3"/>
  <c r="I2290" i="3"/>
  <c r="I1945" i="3"/>
  <c r="I2330" i="3"/>
  <c r="I836" i="3"/>
  <c r="I1081" i="3"/>
  <c r="I20" i="3"/>
  <c r="I2681" i="3"/>
  <c r="I856" i="3"/>
  <c r="I1766" i="3"/>
  <c r="I136" i="3"/>
  <c r="I268" i="3"/>
  <c r="I1159" i="3"/>
  <c r="I245" i="3"/>
  <c r="I2043" i="3"/>
  <c r="I2251" i="3"/>
  <c r="I2143" i="3"/>
  <c r="I2185" i="3"/>
  <c r="I1811" i="3"/>
  <c r="I2625" i="3"/>
  <c r="I1129" i="3"/>
  <c r="I854" i="3"/>
  <c r="I2652" i="3"/>
  <c r="I1887" i="3"/>
  <c r="I1857" i="3"/>
  <c r="I1127" i="3"/>
  <c r="I1635" i="3"/>
  <c r="I80" i="3"/>
  <c r="I2128" i="3"/>
  <c r="I494" i="3"/>
  <c r="I2160" i="3"/>
  <c r="I2733" i="3"/>
  <c r="I807" i="3"/>
  <c r="I1330" i="3"/>
  <c r="I1648" i="3"/>
  <c r="I797" i="3"/>
  <c r="I1367" i="3"/>
  <c r="I1041" i="3"/>
  <c r="I1771" i="3"/>
  <c r="I715" i="3"/>
  <c r="I1552" i="3"/>
  <c r="I1807" i="3"/>
  <c r="I1965" i="3"/>
  <c r="I794" i="3"/>
  <c r="I2609" i="3"/>
  <c r="I348" i="3"/>
  <c r="I1148" i="3"/>
  <c r="I1625" i="3"/>
  <c r="I2294" i="3"/>
  <c r="I973" i="3"/>
  <c r="I1438" i="3"/>
  <c r="I1723" i="3"/>
  <c r="I1124" i="3"/>
  <c r="I167" i="3"/>
  <c r="I163" i="3"/>
  <c r="I404" i="3"/>
  <c r="I2337" i="3"/>
  <c r="I1207" i="3"/>
  <c r="I628" i="3"/>
  <c r="I1277" i="3"/>
  <c r="I1181" i="3"/>
  <c r="I1833" i="3"/>
  <c r="I211" i="3"/>
  <c r="I312" i="3"/>
  <c r="I936" i="3"/>
  <c r="I1301" i="3"/>
  <c r="I2399" i="3"/>
  <c r="I2648" i="3"/>
  <c r="I1289" i="3"/>
  <c r="I390" i="3"/>
  <c r="I1107" i="3"/>
  <c r="I2367" i="3"/>
  <c r="I643" i="3"/>
  <c r="I1911" i="3"/>
  <c r="I406" i="3"/>
  <c r="I1501" i="3"/>
  <c r="I1141" i="3"/>
  <c r="I1029" i="3"/>
  <c r="I147" i="3"/>
  <c r="I2713" i="3"/>
  <c r="I1515" i="3"/>
  <c r="I819" i="3"/>
  <c r="I908" i="3"/>
  <c r="I1369" i="3"/>
  <c r="I697" i="3"/>
  <c r="I229" i="3"/>
  <c r="I2497" i="3"/>
  <c r="I2171" i="3"/>
  <c r="I1456" i="3"/>
  <c r="I258" i="3"/>
  <c r="I1323" i="3"/>
  <c r="I78" i="3"/>
  <c r="I1475" i="3"/>
  <c r="I74" i="3"/>
  <c r="I1866" i="3"/>
  <c r="I1298" i="3"/>
  <c r="I616" i="3"/>
  <c r="I1361" i="3"/>
  <c r="I469" i="3"/>
  <c r="I1994" i="3"/>
  <c r="I1966" i="3"/>
  <c r="I230" i="3"/>
  <c r="I823" i="3"/>
  <c r="I189" i="3"/>
  <c r="I860" i="3"/>
  <c r="I2377" i="3"/>
  <c r="I1527" i="3"/>
  <c r="I71" i="3"/>
  <c r="I415" i="3"/>
  <c r="I1433" i="3"/>
  <c r="I339" i="3"/>
  <c r="I2491" i="3"/>
  <c r="I1830" i="3"/>
  <c r="I972" i="3"/>
  <c r="I881" i="3"/>
  <c r="I1592" i="3"/>
  <c r="I1443" i="3"/>
  <c r="I709" i="3"/>
  <c r="I2121" i="3"/>
  <c r="I565" i="3"/>
  <c r="I2309" i="3"/>
  <c r="I2017" i="3"/>
  <c r="I1379" i="3"/>
  <c r="I1890" i="3"/>
  <c r="I2196" i="3"/>
  <c r="I2254" i="3"/>
  <c r="I1512" i="3"/>
  <c r="I544" i="3"/>
  <c r="I2036" i="3"/>
  <c r="I902" i="3"/>
  <c r="I1977" i="3"/>
  <c r="I2153" i="3"/>
  <c r="I2558" i="3"/>
  <c r="I2259" i="3"/>
  <c r="I1528" i="3"/>
  <c r="I636" i="3"/>
  <c r="I302" i="3"/>
  <c r="I1856" i="3"/>
  <c r="I1627" i="3"/>
  <c r="I512" i="3"/>
  <c r="I1666" i="3"/>
  <c r="I363" i="3"/>
  <c r="I2374" i="3"/>
  <c r="I1216" i="3"/>
  <c r="I1813" i="3"/>
  <c r="I1912" i="3"/>
  <c r="I2437" i="3"/>
  <c r="I430" i="3"/>
  <c r="I2074" i="3"/>
  <c r="I386" i="3"/>
  <c r="I690" i="3"/>
  <c r="I599" i="3"/>
  <c r="I872" i="3"/>
  <c r="I1100" i="3"/>
  <c r="I2056" i="3"/>
  <c r="I2686" i="3"/>
  <c r="I1537" i="3"/>
  <c r="I2571" i="3"/>
  <c r="I2620" i="3"/>
  <c r="I1619" i="3"/>
  <c r="I2581" i="3"/>
  <c r="I1624" i="3"/>
  <c r="I1403" i="3"/>
  <c r="I1791" i="3"/>
  <c r="I979" i="3"/>
  <c r="I1084" i="3"/>
  <c r="I555" i="3"/>
  <c r="I2616" i="3"/>
  <c r="I329" i="3"/>
  <c r="I1410" i="3"/>
  <c r="I2721" i="3"/>
  <c r="I1826" i="3"/>
  <c r="I2298" i="3"/>
  <c r="I2695" i="3"/>
  <c r="I2054" i="3"/>
  <c r="I1428" i="3"/>
  <c r="I1980" i="3"/>
  <c r="I1634" i="3"/>
  <c r="I43" i="3"/>
  <c r="I2496" i="3"/>
  <c r="I1114" i="3"/>
  <c r="I504" i="3"/>
  <c r="I169" i="3"/>
  <c r="I541" i="3"/>
  <c r="I1341" i="3"/>
  <c r="I42" i="3"/>
  <c r="I2152" i="3"/>
  <c r="I2545" i="3"/>
  <c r="I1112" i="3"/>
  <c r="I725" i="3"/>
  <c r="I1889" i="3"/>
  <c r="I588" i="3"/>
  <c r="I1934" i="3"/>
  <c r="I1913" i="3"/>
  <c r="I1232" i="3"/>
  <c r="I623" i="3"/>
  <c r="I1351" i="3"/>
  <c r="I970" i="3"/>
  <c r="I1748" i="3"/>
  <c r="I924" i="3"/>
  <c r="I2229" i="3"/>
  <c r="I1633" i="3"/>
  <c r="I1547" i="3"/>
  <c r="I2680" i="3"/>
  <c r="I2281" i="3"/>
  <c r="I1605" i="3"/>
  <c r="I1674" i="3"/>
  <c r="I933" i="3"/>
  <c r="I2584" i="3"/>
  <c r="I1514" i="3"/>
  <c r="I1717" i="3"/>
  <c r="I1974" i="3"/>
  <c r="I1764" i="3"/>
  <c r="I1267" i="3"/>
  <c r="I2272" i="3"/>
  <c r="I1093" i="3"/>
  <c r="I750" i="3"/>
  <c r="I398" i="3"/>
  <c r="I1043" i="3"/>
  <c r="I446" i="3"/>
  <c r="I1064" i="3"/>
  <c r="I2300" i="3"/>
  <c r="I2100" i="3"/>
  <c r="I1969" i="3"/>
  <c r="I1763" i="3"/>
  <c r="I1803" i="3"/>
  <c r="I1205" i="3"/>
  <c r="I1252" i="3"/>
  <c r="I596" i="3"/>
  <c r="I568" i="3"/>
  <c r="I344" i="3"/>
  <c r="I1477" i="3"/>
  <c r="I2629" i="3"/>
  <c r="I23" i="3"/>
  <c r="I1794" i="3"/>
  <c r="I729" i="3"/>
  <c r="I2169" i="3"/>
  <c r="I2295" i="3"/>
  <c r="I1652" i="3"/>
  <c r="I282" i="3"/>
  <c r="I239" i="3"/>
  <c r="I100" i="3"/>
  <c r="I1860" i="3"/>
  <c r="I2141" i="3"/>
  <c r="I2112" i="3"/>
  <c r="I974" i="3"/>
  <c r="I1888" i="3"/>
  <c r="I2673" i="3"/>
  <c r="I314" i="3"/>
  <c r="I1891" i="3"/>
  <c r="I570" i="3"/>
  <c r="I2331" i="3"/>
  <c r="I269" i="3"/>
  <c r="I2142" i="3"/>
  <c r="I135" i="3"/>
  <c r="I455" i="3"/>
  <c r="I1639" i="3"/>
  <c r="I2218" i="3"/>
  <c r="I946" i="3"/>
  <c r="I444" i="3"/>
  <c r="I2580" i="3"/>
  <c r="I1926" i="3"/>
  <c r="I2512" i="3"/>
  <c r="I2338" i="3"/>
  <c r="I387" i="3"/>
  <c r="I1597" i="3"/>
  <c r="I961" i="3"/>
  <c r="I354" i="3"/>
  <c r="I883" i="3"/>
  <c r="I1326" i="3"/>
  <c r="I293" i="3"/>
  <c r="I602" i="3"/>
  <c r="I1044" i="3"/>
  <c r="I1080" i="3"/>
  <c r="I2719" i="3"/>
  <c r="I2642" i="3"/>
  <c r="I2195" i="3"/>
  <c r="I2186" i="3"/>
  <c r="I1033" i="3"/>
  <c r="I2243" i="3"/>
  <c r="I1875" i="3"/>
  <c r="I188" i="3"/>
  <c r="I770" i="3"/>
  <c r="I1419" i="3"/>
  <c r="I1881" i="3"/>
  <c r="I1160" i="3"/>
  <c r="I2432" i="3"/>
  <c r="I2016" i="3"/>
  <c r="I1870" i="3"/>
  <c r="I2252" i="3"/>
  <c r="I1595" i="3"/>
  <c r="I250" i="3"/>
  <c r="I1467" i="3"/>
  <c r="I2236" i="3"/>
  <c r="I414" i="3"/>
  <c r="I1037" i="3"/>
  <c r="I1534" i="3"/>
  <c r="I732" i="3"/>
  <c r="I992" i="3"/>
  <c r="I289" i="3"/>
  <c r="I788" i="3"/>
  <c r="I46" i="3"/>
  <c r="I2411" i="3"/>
  <c r="I1640" i="3"/>
  <c r="I550" i="3"/>
  <c r="I556" i="3"/>
  <c r="I1956" i="3"/>
  <c r="I2448" i="3"/>
  <c r="I27" i="3"/>
  <c r="I2047" i="3"/>
  <c r="I1194" i="3"/>
  <c r="I2595" i="3"/>
  <c r="I1683" i="3"/>
  <c r="I1449" i="3"/>
  <c r="I1655" i="3"/>
  <c r="I460" i="3"/>
  <c r="I97" i="3"/>
  <c r="I254" i="3"/>
  <c r="I1431" i="3"/>
  <c r="I2441" i="3"/>
  <c r="I2453" i="3"/>
  <c r="I1235" i="3"/>
  <c r="I2002" i="3"/>
  <c r="I530" i="3"/>
  <c r="I340" i="3"/>
  <c r="I1046" i="3"/>
  <c r="I1311" i="3"/>
  <c r="I1471" i="3"/>
  <c r="I298" i="3"/>
  <c r="I2050" i="3"/>
  <c r="I1178" i="3"/>
  <c r="I1174" i="3"/>
  <c r="I1622" i="3"/>
  <c r="I2395" i="3"/>
  <c r="I262" i="3"/>
  <c r="I912" i="3"/>
  <c r="I1269" i="3"/>
  <c r="I2345" i="3"/>
  <c r="I2360" i="3"/>
  <c r="I1859" i="3"/>
  <c r="I217" i="3"/>
  <c r="I148" i="3"/>
  <c r="I988" i="3"/>
  <c r="I2075" i="3"/>
  <c r="I50" i="3"/>
  <c r="I777" i="3"/>
  <c r="I758" i="3"/>
  <c r="I2323" i="3"/>
  <c r="I1593" i="3"/>
  <c r="I509" i="3"/>
  <c r="I800" i="3"/>
  <c r="I2359" i="3"/>
  <c r="I1006" i="3"/>
  <c r="I297" i="3"/>
  <c r="I699" i="3"/>
  <c r="I2403" i="3"/>
  <c r="I2388" i="3"/>
  <c r="I63" i="3"/>
  <c r="I1837" i="3"/>
  <c r="I2249" i="3"/>
  <c r="I2214" i="3"/>
  <c r="I1836" i="3"/>
  <c r="I1167" i="3"/>
  <c r="I601" i="3"/>
  <c r="I686" i="3"/>
  <c r="I969" i="3"/>
  <c r="I1602" i="3"/>
  <c r="I1441" i="3"/>
  <c r="I1113" i="3"/>
  <c r="I1587" i="3"/>
  <c r="I858" i="3"/>
  <c r="I1110" i="3"/>
  <c r="I1767" i="3"/>
  <c r="I82" i="3"/>
  <c r="I2447" i="3"/>
  <c r="I318" i="3"/>
  <c r="I868" i="3"/>
  <c r="I1461" i="3"/>
  <c r="I465" i="3"/>
  <c r="I2481" i="3"/>
  <c r="I199" i="3"/>
  <c r="I708" i="3"/>
  <c r="I651" i="3"/>
  <c r="I1309" i="3"/>
  <c r="I2003" i="3"/>
  <c r="I1919" i="3"/>
  <c r="I2415" i="3"/>
  <c r="I1623" i="3"/>
  <c r="I2668" i="3"/>
  <c r="I1553" i="3"/>
  <c r="I1550" i="3"/>
  <c r="I2234" i="3"/>
  <c r="I275" i="3"/>
  <c r="I2129" i="3"/>
  <c r="I2468" i="3"/>
  <c r="I2311" i="3"/>
  <c r="I394" i="3"/>
  <c r="I408" i="3"/>
  <c r="I2605" i="3"/>
  <c r="I667" i="3"/>
  <c r="I2136" i="3"/>
  <c r="I1672" i="3"/>
  <c r="I2567" i="3"/>
  <c r="I376" i="3"/>
  <c r="I2553" i="3"/>
  <c r="I2276" i="3"/>
  <c r="I2703" i="3"/>
  <c r="I2383" i="3"/>
  <c r="I2321" i="3"/>
  <c r="I205" i="3"/>
  <c r="I1157" i="3"/>
  <c r="I840" i="3"/>
  <c r="I137" i="3"/>
  <c r="I108" i="3"/>
  <c r="I2417" i="3"/>
  <c r="I253" i="3"/>
  <c r="I1317" i="3"/>
  <c r="I111" i="3"/>
  <c r="I2161" i="3"/>
  <c r="I1154" i="3"/>
  <c r="I2428" i="3"/>
  <c r="I2443" i="3"/>
  <c r="I1942" i="3"/>
  <c r="I583" i="3"/>
  <c r="I2536" i="3"/>
  <c r="I913" i="3"/>
  <c r="I534" i="3"/>
  <c r="I1098" i="3"/>
  <c r="I2731" i="3"/>
  <c r="I54" i="3"/>
  <c r="I566" i="3"/>
  <c r="I539" i="3"/>
  <c r="I173" i="3"/>
  <c r="I400" i="3"/>
  <c r="I2708" i="3"/>
  <c r="I1091" i="3"/>
  <c r="I1750" i="3"/>
  <c r="I1670" i="3"/>
  <c r="I863" i="3"/>
  <c r="I1257" i="3"/>
  <c r="I2304" i="3"/>
  <c r="I1709" i="3"/>
  <c r="I2472" i="3"/>
  <c r="I2566" i="3"/>
  <c r="I2732" i="3"/>
  <c r="I2308" i="3"/>
  <c r="I238" i="3"/>
  <c r="I351" i="3"/>
  <c r="I1508" i="3"/>
  <c r="I1247" i="3"/>
  <c r="I980" i="3"/>
  <c r="I2124" i="3"/>
  <c r="I1603" i="3"/>
  <c r="I700" i="3"/>
  <c r="I2532" i="3"/>
  <c r="I971" i="3"/>
  <c r="I890" i="3"/>
  <c r="I381" i="3"/>
  <c r="I2081" i="3"/>
  <c r="I1293" i="3"/>
  <c r="I1851" i="3"/>
  <c r="I2221" i="3"/>
  <c r="I1588" i="3"/>
  <c r="I1590" i="3"/>
  <c r="I1262" i="3"/>
  <c r="I410" i="3"/>
  <c r="I510" i="3"/>
  <c r="I2019" i="3"/>
  <c r="I806" i="3"/>
  <c r="I2332" i="3"/>
  <c r="I2242" i="3"/>
  <c r="I557" i="3"/>
  <c r="I451" i="3"/>
  <c r="I593" i="3"/>
  <c r="I2343" i="3"/>
  <c r="I240" i="3"/>
  <c r="I482" i="3"/>
  <c r="I922" i="3"/>
  <c r="I124" i="3"/>
  <c r="I2000" i="3"/>
  <c r="I2546" i="3"/>
  <c r="I1734" i="3"/>
  <c r="I2435" i="3"/>
  <c r="I324" i="3"/>
  <c r="I1378" i="3"/>
  <c r="I1451" i="3"/>
  <c r="I1027" i="3"/>
  <c r="I2691" i="3"/>
  <c r="I2460" i="3"/>
  <c r="I1287" i="3"/>
  <c r="I21" i="3"/>
  <c r="I589" i="3"/>
  <c r="I927" i="3"/>
  <c r="I1200" i="3"/>
  <c r="I1846" i="3"/>
  <c r="I2335" i="3"/>
  <c r="I1742" i="3"/>
  <c r="I620" i="3"/>
  <c r="I1506" i="3"/>
  <c r="I1264" i="3"/>
  <c r="I1105" i="3"/>
  <c r="I1051" i="3"/>
  <c r="I292" i="3"/>
  <c r="I2305" i="3"/>
  <c r="I1865" i="3"/>
  <c r="I752" i="3"/>
  <c r="I473" i="3"/>
  <c r="I1245" i="3"/>
  <c r="I151" i="3"/>
  <c r="I68" i="3"/>
  <c r="I1332" i="3"/>
  <c r="I418" i="3"/>
  <c r="I401" i="3"/>
  <c r="I1684" i="3"/>
  <c r="I734" i="3"/>
  <c r="I546" i="3"/>
  <c r="I1778" i="3"/>
  <c r="I2213" i="3"/>
  <c r="I1394" i="3"/>
  <c r="I1732" i="3"/>
  <c r="I2544" i="3"/>
  <c r="I710" i="3"/>
  <c r="I353" i="3"/>
  <c r="I1822" i="3"/>
  <c r="I1733" i="3"/>
  <c r="I2275" i="3"/>
  <c r="I425" i="3"/>
  <c r="I1959" i="3"/>
  <c r="I1656" i="3"/>
  <c r="I2326" i="3"/>
  <c r="I1229" i="3"/>
  <c r="I1953" i="3"/>
  <c r="I1031" i="3"/>
  <c r="I1406" i="3"/>
  <c r="I835" i="3"/>
  <c r="I210" i="3"/>
  <c r="I1342" i="3"/>
  <c r="I894" i="3"/>
  <c r="I1086" i="3"/>
  <c r="I1782" i="3"/>
  <c r="I195" i="3"/>
  <c r="I2089" i="3"/>
  <c r="I440" i="3"/>
  <c r="I122" i="3"/>
  <c r="I1476" i="3"/>
  <c r="I2279" i="3"/>
  <c r="I714" i="3"/>
  <c r="I172" i="3"/>
  <c r="I1334" i="3"/>
  <c r="I1243" i="3"/>
  <c r="I125" i="3"/>
  <c r="I2138" i="3"/>
  <c r="I1949" i="3"/>
  <c r="I1450" i="3"/>
  <c r="I2380" i="3"/>
  <c r="I2588" i="3"/>
  <c r="I1318" i="3"/>
  <c r="I627" i="3"/>
  <c r="I1693" i="3"/>
  <c r="I1417" i="3"/>
  <c r="I955" i="3"/>
  <c r="I44" i="3"/>
  <c r="I1799" i="3"/>
  <c r="I31" i="3"/>
  <c r="I605" i="3"/>
  <c r="I2438" i="3"/>
  <c r="I1946" i="3"/>
  <c r="I864" i="3"/>
  <c r="I2073" i="3"/>
  <c r="I2436" i="3"/>
  <c r="I142" i="3"/>
  <c r="I2184" i="3"/>
  <c r="I1204" i="3"/>
  <c r="I132" i="3"/>
  <c r="I346" i="3"/>
  <c r="I2313" i="3"/>
  <c r="I26" i="3"/>
  <c r="I977" i="3"/>
  <c r="I1214" i="3"/>
  <c r="I2506" i="3"/>
  <c r="I2623" i="3"/>
  <c r="I711" i="3"/>
  <c r="I1273" i="3"/>
  <c r="I1253" i="3"/>
  <c r="I468" i="3"/>
  <c r="I1727" i="3"/>
  <c r="I1769" i="3"/>
  <c r="I650" i="3"/>
  <c r="I2069" i="3"/>
  <c r="I1867" i="3"/>
  <c r="I1437" i="3"/>
  <c r="I1121" i="3"/>
  <c r="I1053" i="3"/>
  <c r="I1125" i="3"/>
  <c r="I2366" i="3"/>
  <c r="I165" i="3"/>
  <c r="I1951" i="3"/>
  <c r="I1849" i="3"/>
  <c r="I847" i="3"/>
  <c r="I1922" i="3"/>
  <c r="I183" i="3"/>
  <c r="I101" i="3"/>
  <c r="I1119" i="3"/>
  <c r="I2317" i="3"/>
  <c r="I2344" i="3"/>
  <c r="I416" i="3"/>
  <c r="I1714" i="3"/>
  <c r="I766" i="3"/>
  <c r="I209" i="3"/>
  <c r="I45" i="3"/>
  <c r="I1864" i="3"/>
  <c r="I355" i="3"/>
  <c r="I1645" i="3"/>
  <c r="I2255" i="3"/>
  <c r="I358" i="3"/>
  <c r="I1004" i="3"/>
  <c r="I1372" i="3"/>
  <c r="I1760" i="3"/>
  <c r="I635" i="3"/>
  <c r="I2450" i="3"/>
  <c r="I2347" i="3"/>
  <c r="I2178" i="3"/>
  <c r="I313" i="3"/>
  <c r="I1149" i="3"/>
  <c r="I2482" i="3"/>
  <c r="I1413" i="3"/>
  <c r="I1256" i="3"/>
  <c r="I11" i="3"/>
  <c r="I951" i="3"/>
  <c r="I1028" i="3"/>
  <c r="I1120" i="3"/>
  <c r="I2547" i="3"/>
  <c r="I1249" i="3"/>
  <c r="I327" i="3"/>
  <c r="I1402" i="3"/>
  <c r="I736" i="3"/>
  <c r="I1955" i="3"/>
  <c r="I399" i="3"/>
  <c r="I1206" i="3"/>
  <c r="I2678" i="3"/>
  <c r="I19" i="3"/>
  <c r="I527" i="3"/>
  <c r="I624" i="3"/>
  <c r="I1573" i="3"/>
  <c r="I1722" i="3"/>
  <c r="I2090" i="3"/>
  <c r="I870" i="3"/>
  <c r="I1384" i="3"/>
  <c r="I2193" i="3"/>
  <c r="I2102" i="3"/>
  <c r="I614" i="3"/>
  <c r="I345" i="3"/>
  <c r="I2538" i="3"/>
  <c r="I942" i="3"/>
  <c r="I497" i="3"/>
  <c r="I1981" i="3"/>
  <c r="I875" i="3"/>
  <c r="I2487" i="3"/>
  <c r="I2159" i="3"/>
  <c r="I2382" i="3"/>
  <c r="I1739" i="3"/>
  <c r="I1730" i="3"/>
  <c r="I2479" i="3"/>
  <c r="I2470" i="3"/>
  <c r="I419" i="3"/>
  <c r="I746" i="3"/>
  <c r="I2055" i="3"/>
  <c r="I882" i="3"/>
  <c r="I214" i="3"/>
  <c r="I792" i="3"/>
  <c r="I1774" i="3"/>
  <c r="I2083" i="3"/>
  <c r="I2597" i="3"/>
  <c r="I2077" i="3"/>
  <c r="I2578" i="3"/>
  <c r="I1429" i="3"/>
  <c r="I1936" i="3"/>
  <c r="I2565" i="3"/>
  <c r="I1812" i="3"/>
  <c r="I1398" i="3"/>
  <c r="I2528" i="3"/>
  <c r="I2439" i="3"/>
  <c r="I553" i="3"/>
  <c r="I1614" i="3"/>
  <c r="I445" i="3"/>
  <c r="I2734" i="3"/>
  <c r="I1238" i="3"/>
  <c r="I2592" i="3"/>
  <c r="I335" i="3"/>
  <c r="I2012" i="3"/>
  <c r="I809" i="3"/>
  <c r="I2371" i="3"/>
  <c r="I2444" i="3"/>
  <c r="I1716" i="3"/>
  <c r="I395" i="3"/>
  <c r="I1170" i="3"/>
  <c r="I1688" i="3"/>
  <c r="I1162" i="3"/>
  <c r="I1175" i="3"/>
  <c r="I458" i="3"/>
  <c r="I1331" i="3"/>
  <c r="I2379" i="3"/>
  <c r="I220" i="3"/>
  <c r="I1711" i="3"/>
  <c r="I1360" i="3"/>
  <c r="I2697" i="3"/>
  <c r="I698" i="3"/>
  <c r="I1444" i="3"/>
  <c r="I1531" i="3"/>
  <c r="I1567" i="3"/>
  <c r="I1251" i="3"/>
  <c r="I233" i="3"/>
  <c r="I2027" i="3"/>
  <c r="I15" i="3"/>
  <c r="I1321" i="3"/>
  <c r="I619" i="3"/>
  <c r="I925" i="3"/>
  <c r="I1370" i="3"/>
  <c r="I1606" i="3"/>
  <c r="I983" i="3"/>
  <c r="I1578" i="3"/>
  <c r="I1747" i="3"/>
  <c r="I1702" i="3"/>
  <c r="I1158" i="3"/>
  <c r="I260" i="3"/>
  <c r="I755" i="3"/>
  <c r="I2619" i="3"/>
  <c r="I1657" i="3"/>
  <c r="I1562" i="3"/>
  <c r="I953" i="3"/>
  <c r="I493" i="3"/>
  <c r="I842" i="3"/>
  <c r="I640" i="3"/>
  <c r="I685" i="3"/>
  <c r="I366" i="3"/>
  <c r="I52" i="3"/>
  <c r="I1058" i="3"/>
  <c r="I248" i="3"/>
  <c r="I454" i="3"/>
  <c r="I99" i="3"/>
  <c r="I218" i="3"/>
  <c r="I2322" i="3"/>
  <c r="I2556" i="3"/>
  <c r="I1180" i="3"/>
  <c r="I773" i="3"/>
  <c r="I630" i="3"/>
  <c r="I2531" i="3"/>
  <c r="I2657" i="3"/>
  <c r="I1115" i="3"/>
  <c r="I1589" i="3"/>
  <c r="I1320" i="3"/>
  <c r="I316" i="3"/>
  <c r="I2267" i="3"/>
  <c r="I1781" i="3"/>
  <c r="I276" i="3"/>
  <c r="I2705" i="3"/>
  <c r="I672" i="3"/>
  <c r="I767" i="3"/>
  <c r="I375" i="3"/>
  <c r="I2045" i="3"/>
  <c r="I1551" i="3"/>
  <c r="I1863" i="3"/>
  <c r="I190" i="3"/>
  <c r="I106" i="3"/>
  <c r="I1855" i="3"/>
  <c r="I2421" i="3"/>
  <c r="I1968" i="3"/>
  <c r="I152" i="3"/>
  <c r="I1147" i="3"/>
  <c r="I2590" i="3"/>
  <c r="I2729" i="3"/>
  <c r="I575" i="3"/>
  <c r="I48" i="3"/>
  <c r="I1343" i="3"/>
  <c r="I2424" i="3"/>
  <c r="I1356" i="3"/>
  <c r="I306" i="3"/>
  <c r="I235" i="3"/>
  <c r="I393" i="3"/>
  <c r="I321" i="3"/>
  <c r="I2297" i="3"/>
  <c r="I1230" i="3"/>
  <c r="I317" i="3"/>
  <c r="I2655" i="3"/>
  <c r="I954" i="3"/>
  <c r="I1217" i="3"/>
  <c r="I1613" i="3"/>
  <c r="I77" i="3"/>
  <c r="I1699" i="3"/>
  <c r="I1192" i="3"/>
  <c r="I585" i="3"/>
  <c r="I1620" i="3"/>
  <c r="I543" i="3"/>
  <c r="I1375" i="3"/>
  <c r="I1686" i="3"/>
  <c r="I2656" i="3"/>
  <c r="I2510" i="3"/>
  <c r="I659" i="3"/>
  <c r="I1628" i="3"/>
  <c r="I1792" i="3"/>
  <c r="I1215" i="3"/>
  <c r="I1421" i="3"/>
  <c r="I506" i="3"/>
  <c r="I1011" i="3"/>
  <c r="I1495" i="3"/>
  <c r="I347" i="3"/>
  <c r="I1948" i="3"/>
  <c r="I2523" i="3"/>
  <c r="I2094" i="3"/>
  <c r="I489" i="3"/>
  <c r="I1967" i="3"/>
  <c r="I525" i="3"/>
  <c r="I2346" i="3"/>
  <c r="I609" i="3"/>
  <c r="I2044" i="3"/>
  <c r="I2104" i="3"/>
  <c r="I707" i="3"/>
  <c r="I304" i="3"/>
  <c r="I1604" i="3"/>
  <c r="I1193" i="3"/>
  <c r="I273" i="3"/>
  <c r="I270" i="3"/>
  <c r="I560" i="3"/>
  <c r="I691" i="3"/>
  <c r="I2474" i="3"/>
  <c r="I2574" i="3"/>
  <c r="I485" i="3"/>
  <c r="I533" i="3"/>
  <c r="I223" i="3"/>
  <c r="I2369" i="3"/>
  <c r="I144" i="3"/>
  <c r="I2494" i="3"/>
  <c r="I705" i="3"/>
  <c r="I1290" i="3"/>
  <c r="I1275" i="3"/>
  <c r="I1831" i="3"/>
  <c r="I2253" i="3"/>
  <c r="I967" i="3"/>
  <c r="I391" i="3"/>
  <c r="I294" i="3"/>
  <c r="I1296" i="3"/>
  <c r="I1094" i="3"/>
  <c r="I984" i="3"/>
  <c r="I224" i="3"/>
  <c r="I56" i="3"/>
  <c r="I2440" i="3"/>
  <c r="I2412" i="3"/>
  <c r="I873" i="3"/>
  <c r="I1762" i="3"/>
  <c r="I1643" i="3"/>
  <c r="I2499" i="3"/>
  <c r="I695" i="3"/>
  <c r="I834" i="3"/>
  <c r="I437" i="3"/>
  <c r="I2072" i="3"/>
  <c r="I185" i="3"/>
  <c r="I2199" i="3"/>
  <c r="I442" i="3"/>
  <c r="I1549" i="3"/>
  <c r="I2611" i="3"/>
  <c r="I567" i="3"/>
  <c r="I226" i="3"/>
  <c r="I2062" i="3"/>
  <c r="I1335" i="3"/>
  <c r="I1435" i="3"/>
  <c r="I2071" i="3"/>
  <c r="I1923" i="3"/>
  <c r="I1773" i="3"/>
  <c r="I2097" i="3"/>
  <c r="I300" i="3"/>
  <c r="I1464" i="3"/>
  <c r="I219" i="3"/>
  <c r="I1286" i="3"/>
  <c r="I1241" i="3"/>
  <c r="I1314" i="3"/>
  <c r="I2414" i="3"/>
  <c r="I1126" i="3"/>
  <c r="I526" i="3"/>
  <c r="I1131" i="3"/>
  <c r="I237" i="3"/>
  <c r="I308" i="3"/>
  <c r="I372" i="3"/>
  <c r="I1797" i="3"/>
  <c r="I1145" i="3"/>
  <c r="I1122" i="3"/>
  <c r="I2683" i="3"/>
  <c r="I264" i="3"/>
  <c r="I202" i="3"/>
  <c r="I1358" i="3"/>
  <c r="I1503" i="3"/>
  <c r="I1668" i="3"/>
  <c r="I716" i="3"/>
  <c r="I1629" i="3"/>
  <c r="I53" i="3"/>
  <c r="I1350" i="3"/>
  <c r="I2286" i="3"/>
  <c r="I498" i="3"/>
  <c r="I542" i="3"/>
  <c r="I1416" i="3"/>
  <c r="I1491" i="3"/>
  <c r="I1219" i="3"/>
  <c r="I1047" i="3"/>
  <c r="I1250" i="3"/>
  <c r="I739" i="3"/>
  <c r="I1136" i="3"/>
  <c r="I2239" i="3"/>
  <c r="I2025" i="3"/>
  <c r="I2637" i="3"/>
  <c r="I450" i="3"/>
  <c r="I1213" i="3"/>
  <c r="I2442" i="3"/>
  <c r="I1636" i="3"/>
  <c r="I1138" i="3"/>
  <c r="I2106" i="3"/>
  <c r="I1757" i="3"/>
  <c r="I719" i="3"/>
  <c r="I2302" i="3"/>
  <c r="I2425" i="3"/>
  <c r="I1695" i="3"/>
  <c r="I2495" i="3"/>
  <c r="I1909" i="3"/>
  <c r="I1278" i="3"/>
  <c r="I249" i="3"/>
  <c r="I926" i="3"/>
  <c r="I2645" i="3"/>
  <c r="I2088" i="3"/>
  <c r="I2285" i="3"/>
  <c r="I915" i="3"/>
  <c r="I488" i="3"/>
  <c r="I1632" i="3"/>
  <c r="I2065" i="3"/>
  <c r="I2543" i="3"/>
  <c r="I1660" i="3"/>
  <c r="I162" i="3"/>
  <c r="I2306" i="3"/>
  <c r="I1691" i="3"/>
  <c r="I2099" i="3"/>
  <c r="I779" i="3"/>
  <c r="I22" i="3"/>
  <c r="I727" i="3"/>
  <c r="I1140" i="3"/>
  <c r="I2140" i="3"/>
  <c r="I2698" i="3"/>
  <c r="I2231" i="3"/>
  <c r="I2135" i="3"/>
  <c r="I72" i="3"/>
  <c r="I671" i="3"/>
  <c r="I532" i="3"/>
  <c r="I652" i="3"/>
  <c r="I646" i="3"/>
  <c r="I1322" i="3"/>
  <c r="I802" i="3"/>
  <c r="I1751" i="3"/>
  <c r="I271" i="3"/>
  <c r="I1810" i="3"/>
  <c r="I1452" i="3"/>
  <c r="I2582" i="3"/>
  <c r="I728" i="3"/>
  <c r="I2114" i="3"/>
  <c r="I677" i="3"/>
  <c r="I956" i="3"/>
  <c r="I2667" i="3"/>
  <c r="I1448" i="3"/>
  <c r="I859" i="3"/>
  <c r="I1254" i="3"/>
  <c r="I2362" i="3"/>
  <c r="I1104" i="3"/>
  <c r="I1539" i="3"/>
  <c r="I2127" i="3"/>
  <c r="I2564" i="3"/>
  <c r="I1005" i="3"/>
  <c r="I2" i="3" l="1"/>
  <c r="I3" i="3"/>
  <c r="I5" i="3"/>
  <c r="H2736" i="3"/>
  <c r="I6" i="3" l="1"/>
  <c r="I4" i="3"/>
  <c r="J6" i="3" l="1"/>
</calcChain>
</file>

<file path=xl/sharedStrings.xml><?xml version="1.0" encoding="utf-8"?>
<sst xmlns="http://schemas.openxmlformats.org/spreadsheetml/2006/main" count="12805" uniqueCount="7549">
  <si>
    <t>Zimaxx Inc,</t>
  </si>
  <si>
    <t>UPC</t>
  </si>
  <si>
    <t>Brand</t>
  </si>
  <si>
    <t>Qty</t>
  </si>
  <si>
    <t>Email: sales@zimaxx.com</t>
  </si>
  <si>
    <t>8251 NW 66 St, Miami, Fl 33166</t>
  </si>
  <si>
    <t>Title Product</t>
  </si>
  <si>
    <t>Type</t>
  </si>
  <si>
    <t>Price</t>
  </si>
  <si>
    <t>Sku</t>
  </si>
  <si>
    <t>Total Price</t>
  </si>
  <si>
    <t>Phone: (786)-245-5605</t>
  </si>
  <si>
    <t>Wholesale Perfume</t>
  </si>
  <si>
    <t>Flash Sale</t>
  </si>
  <si>
    <t>Available</t>
  </si>
  <si>
    <t>Pre Order</t>
  </si>
  <si>
    <t>Resumen de Compra</t>
  </si>
  <si>
    <t>SubTotal</t>
  </si>
  <si>
    <t>ZX_PE-AU-U-807712</t>
  </si>
  <si>
    <t>Armaf</t>
  </si>
  <si>
    <t>Odyssey Black Forest Desert Edition 3.4 Oz Unisex</t>
  </si>
  <si>
    <t>ZX_PE-LT-U-345817</t>
  </si>
  <si>
    <t>Lattafa</t>
  </si>
  <si>
    <t>Fakhar Platin 3.4 Oz Edp Unisex</t>
  </si>
  <si>
    <t>ZX_PE-AU-U-807705</t>
  </si>
  <si>
    <t>Odyssey Toffee Coffee Edition 3.4 Oz Unisex</t>
  </si>
  <si>
    <t>ZX_PE-LT-M-598901</t>
  </si>
  <si>
    <t>Fire On Ice 4.5 Oz Edp Men</t>
  </si>
  <si>
    <t>ZX_PE-LT-M-736937</t>
  </si>
  <si>
    <t>Set Badee Al Oud 2 Pcs 3.4 Oz Edp Body Spray 6.3 Oz Men</t>
  </si>
  <si>
    <t>ZX_PE-LT-U-592039</t>
  </si>
  <si>
    <t>Peace &amp; Love 3.4 Oz Edp Unisex</t>
  </si>
  <si>
    <t>ZX_PE-LT-W-349938</t>
  </si>
  <si>
    <t>Ana Abiyedh Scarlet 2.5 Oz Edp Women</t>
  </si>
  <si>
    <t>ZX_PE-LT-U-348085</t>
  </si>
  <si>
    <t>Set Pride 5X20Ml  Art Of Arabia Iii-Ajwaa-Al Qiam Gold-Masa-Brioche Vanille Unisex</t>
  </si>
  <si>
    <t>ZX_PE-LT-U-340645</t>
  </si>
  <si>
    <t>Qaed Al Fursan Untamed 3.0 Oz Edp Unisex</t>
  </si>
  <si>
    <t>ZX_PE-LT-U-349648</t>
  </si>
  <si>
    <t>Give Me Gourmand Whipped Pleasure 2.5 Oz Edp Unisex</t>
  </si>
  <si>
    <t>ZX_PE-AU-M-804179</t>
  </si>
  <si>
    <t>Set Odyssey Spectra 3.4 Oz Edp +3.4Bl+1.7Deo+8.4Shampoo Men</t>
  </si>
  <si>
    <t>ZX_PE-CK-W-162581</t>
  </si>
  <si>
    <t>Calvin Klein</t>
  </si>
  <si>
    <t>Mini Euphoria 0.50 Oz Edp Women</t>
  </si>
  <si>
    <t>ZX_PE-MA-M-735565</t>
  </si>
  <si>
    <t>Maison Alhambra</t>
  </si>
  <si>
    <t>Jean Lowe Fraiche 3.4 Oz Edp Men</t>
  </si>
  <si>
    <t>ZX_PE-PR-W-617173</t>
  </si>
  <si>
    <t>Paco Rabanne</t>
  </si>
  <si>
    <t>Lady Million Royal 2.7 Oz Edp Women</t>
  </si>
  <si>
    <t>ZX_PE-JM-U-043316</t>
  </si>
  <si>
    <t>Jo Milano</t>
  </si>
  <si>
    <t>Game Of Spades Opal 3.0 Oz Parfum Unisex</t>
  </si>
  <si>
    <t>ZX_PE-JM-U-043026</t>
  </si>
  <si>
    <t>Game Of Spades Boston 3.4 Oz Edp Unisex</t>
  </si>
  <si>
    <t>ZX_PE-MO-W-992225</t>
  </si>
  <si>
    <t>Moschino</t>
  </si>
  <si>
    <t>Mini Moschino I Love Love 0.17 Oz Edt Women</t>
  </si>
  <si>
    <t>ZX_PE-JM-W-043002</t>
  </si>
  <si>
    <t>Game Of Spades Queen 3.4 Oz Edp Women</t>
  </si>
  <si>
    <t>ZX_PE-LT-U-591964</t>
  </si>
  <si>
    <t>Art Of Arabia II 3.4 Oz Edp Unisex</t>
  </si>
  <si>
    <t>ZX_PE-VR-M-515346</t>
  </si>
  <si>
    <t>Viktor &amp; Rolf</t>
  </si>
  <si>
    <t>Spicebomb 3.0 Oz Edt Men</t>
  </si>
  <si>
    <t>ZX_PE-ADI-M-397498</t>
  </si>
  <si>
    <t>Adidas</t>
  </si>
  <si>
    <t>Ice Dive 3.4 Oz Edt Men</t>
  </si>
  <si>
    <t>ZX_PE-GU-W-327901</t>
  </si>
  <si>
    <t>Guess</t>
  </si>
  <si>
    <t>Forever 2.5 Oz Edp Women</t>
  </si>
  <si>
    <t>ZX_PE-AU-U-808665</t>
  </si>
  <si>
    <t>Scentasy Noir De Peche 3.4 Oz Edp Unisex</t>
  </si>
  <si>
    <t>ZX_PE-AR-W-028475</t>
  </si>
  <si>
    <t>Ariana Grande</t>
  </si>
  <si>
    <t>God Is A Woman 3.4 Oz Edp Women</t>
  </si>
  <si>
    <t>ZX_PE-LT-U-592763</t>
  </si>
  <si>
    <t>Art Of Wood 3.4 Oz Edp Unisex</t>
  </si>
  <si>
    <t>ZX_PE-JM-U-043477</t>
  </si>
  <si>
    <t>Game Of Spades Topaz 1.0 Oz Edp /1.0 Oz Emerald /1.0 Oz Diamond Unisex</t>
  </si>
  <si>
    <t>ZX_PE-PR-M-589678</t>
  </si>
  <si>
    <t>Invictus 6.8 Oz Edt Men</t>
  </si>
  <si>
    <t>ZX_PE-VR-W-000059</t>
  </si>
  <si>
    <t>Flowerbomb 3.4 Oz Edp Women</t>
  </si>
  <si>
    <t>ZX_PE-LT-U-592800</t>
  </si>
  <si>
    <t>Natural Oud 3.4 Oz Edp Unisex</t>
  </si>
  <si>
    <t>ZX_PE-DK-M-950321</t>
  </si>
  <si>
    <t>Donna Karan</t>
  </si>
  <si>
    <t>Energizing 3.4 Oz Edt Men</t>
  </si>
  <si>
    <t>ZX_PE-AH-M-130146</t>
  </si>
  <si>
    <t>Al Haramain</t>
  </si>
  <si>
    <t>Amber Oud Blue Edition 3.3 Oz Edp Men</t>
  </si>
  <si>
    <t>ZX_PE-ET-M-125536</t>
  </si>
  <si>
    <t>Elizabeth Taylor</t>
  </si>
  <si>
    <t>Passion 4.2 Oz Edc Men</t>
  </si>
  <si>
    <t>ZX_PE-RL-M-616886</t>
  </si>
  <si>
    <t>Ralph Lauren</t>
  </si>
  <si>
    <t>Set Mini Polo 4X0.50 Oz Men</t>
  </si>
  <si>
    <t>ZX_PE-V-M-890804</t>
  </si>
  <si>
    <t>Versace</t>
  </si>
  <si>
    <t>Eros Energy 3.4 Oz Edp Men</t>
  </si>
  <si>
    <t>ZX_PE-AR-W-029724</t>
  </si>
  <si>
    <t>Set Ari 3.4 Oz Edp &amp; 3.4 Oz Shower Gel &amp; 3.4 Oz Body Lotion Women</t>
  </si>
  <si>
    <t>ZX_PE-AH-M-130467</t>
  </si>
  <si>
    <t>Amber Oud Carbon Edition 2 Oz Edp Men</t>
  </si>
  <si>
    <t>ZX_PE-RL-M-416089</t>
  </si>
  <si>
    <t>Polo Red 2.5 Oz Edt Men</t>
  </si>
  <si>
    <t>ZX_PE-MB-M-074797</t>
  </si>
  <si>
    <t>Mont Blanc</t>
  </si>
  <si>
    <t>Legend 6.7 Oz Edt Men</t>
  </si>
  <si>
    <t>ZX_PE-AFN-W-070597</t>
  </si>
  <si>
    <t>Afnan</t>
  </si>
  <si>
    <t>Turathi Red  3.0 Edp Women</t>
  </si>
  <si>
    <t>ZX_PE-RL-M-416003</t>
  </si>
  <si>
    <t>Polo Red 4.2 Oz Edt Men</t>
  </si>
  <si>
    <t>ZX_PE-LT-U-591544</t>
  </si>
  <si>
    <t>Al Nashama 3.4 Oz Edp Unisex</t>
  </si>
  <si>
    <t>ZX_PE-MO-W-061327</t>
  </si>
  <si>
    <t>Cheap &amp; Chic 3.4 Oz Edt Women</t>
  </si>
  <si>
    <t>ZX_PE-DK-W-962157</t>
  </si>
  <si>
    <t>Set Be Delicious (4Pc ) 3.4Oz Edp/15 Ml Edp/ 3.4 Oz Body Lotion/Pouch Women</t>
  </si>
  <si>
    <t>ZX_PE-LT-U-340270</t>
  </si>
  <si>
    <t>Set Ana Abiyedh Rouge 3 Pcs 3.4 Oz Edp + 6.7 Oz Deo + 1.7 Oz Hairmist Unisex</t>
  </si>
  <si>
    <t>ZX_PE-CK-M-106752</t>
  </si>
  <si>
    <t>Obsession 6.7 Oz Edt Men</t>
  </si>
  <si>
    <t>ZX_PE-ZI-U-075639</t>
  </si>
  <si>
    <t>Zimaya</t>
  </si>
  <si>
    <t>Tiramisu Coco 3.4 Oz Edp Unisex</t>
  </si>
  <si>
    <t>ZX_PE-D-M-000510</t>
  </si>
  <si>
    <t>Davidoff</t>
  </si>
  <si>
    <t>Cool Water 1.35 Oz Edt Men</t>
  </si>
  <si>
    <t>ZX_PE-PR-W-555062</t>
  </si>
  <si>
    <t>Xs Black 2.7 Oz Edp Women</t>
  </si>
  <si>
    <t>ZX_PE-DG-M-403442</t>
  </si>
  <si>
    <t>Dolce &amp; Gabbana</t>
  </si>
  <si>
    <t>Set K  3 Pcs (3.3 Oz Edt ,1.69 Oz SG ,2.6 Oz Deo Stick) Men</t>
  </si>
  <si>
    <t>ZX_PE-TM-W-056655</t>
  </si>
  <si>
    <t>Thierry Mugler</t>
  </si>
  <si>
    <t>Angel 3.4 Oz Edp Women Refillable</t>
  </si>
  <si>
    <t>ZX_PE-GI-M-303166</t>
  </si>
  <si>
    <t>Givenchy</t>
  </si>
  <si>
    <t>Givenchy Pour Homme 3.3 Oz Edt Men</t>
  </si>
  <si>
    <t>ZX_PE-JM-U-248601</t>
  </si>
  <si>
    <t>Game Of Spades King 3.4 Oz Edp Unisex</t>
  </si>
  <si>
    <t>ZX_PE-DK-W-950147</t>
  </si>
  <si>
    <t>Extra Delicious 3.4 Oz Edp Women</t>
  </si>
  <si>
    <t>ZX_PE-JM-W-136549</t>
  </si>
  <si>
    <t>Jimmy Choo</t>
  </si>
  <si>
    <t>Rose Passion 3.4 Oz Edp Woman</t>
  </si>
  <si>
    <t>ZX_PE-CD-W-011687</t>
  </si>
  <si>
    <t>Christian Dior</t>
  </si>
  <si>
    <t>Poison 3.4 Oz Edt Women</t>
  </si>
  <si>
    <t>ZX_PE-GU-M-322111</t>
  </si>
  <si>
    <t>1981 Los Angeles 3.4 Oz Edt  Men</t>
  </si>
  <si>
    <t>ZX_PE-AH-W-813128</t>
  </si>
  <si>
    <t>Amber Oud Ultra Violet 2.0 Oz Edp Women</t>
  </si>
  <si>
    <t>ZX_PE-BS-W-621236</t>
  </si>
  <si>
    <t>Britney Spears</t>
  </si>
  <si>
    <t>Body Mist Curious 8.0 Oz Women</t>
  </si>
  <si>
    <t>ZX_PE-DIS-K-089560</t>
  </si>
  <si>
    <t>Disney</t>
  </si>
  <si>
    <t>Set Minnie 5.0 Oz Edt Women + 16.9 Oz Hand Soap</t>
  </si>
  <si>
    <t>ZX_PE-IM-M-974654</t>
  </si>
  <si>
    <t>Issey Miyake</t>
  </si>
  <si>
    <t>Fusion 3.4 Oz Edt Men</t>
  </si>
  <si>
    <t>ZX_PE-AU-U-181845</t>
  </si>
  <si>
    <t>Eter Magical Oud 3.4 Oz Edp Unisex</t>
  </si>
  <si>
    <t>ZX_PE-LT-W-344407</t>
  </si>
  <si>
    <t>Yara Collection 4 Pcs 0.17 Oz Edp Women</t>
  </si>
  <si>
    <t>ZX_PE-GI-M-399167</t>
  </si>
  <si>
    <t>Blue Label 3.3 Oz Edt Men</t>
  </si>
  <si>
    <t>ZX_PE-AFN-W-070573</t>
  </si>
  <si>
    <t>Turathi Purple  3.0 Edp Women</t>
  </si>
  <si>
    <t>ZX_PE-MA-W-590639</t>
  </si>
  <si>
    <t>Oasis 3.4 Oz Edp Women</t>
  </si>
  <si>
    <t>ZX_PE-CD-M-012219</t>
  </si>
  <si>
    <t>Fahrenheit 3.4 Oz Edt Men</t>
  </si>
  <si>
    <t>ZX_PE-AU-U-805787</t>
  </si>
  <si>
    <t>Odyssey Revolution Ultra 3.4 Oz Edp Unisex</t>
  </si>
  <si>
    <t>ZX_PE-V-W-804566</t>
  </si>
  <si>
    <t>Yellow Diamond 3.0 Oz Edt Women</t>
  </si>
  <si>
    <t>ZX_PE-TO-W-331647</t>
  </si>
  <si>
    <t>Tous</t>
  </si>
  <si>
    <t>Loveme Esmerald Elixir 3.0 Oz Edp Women</t>
  </si>
  <si>
    <t>ZX_PE-CH-M-106297</t>
  </si>
  <si>
    <t>Carolina Herrera</t>
  </si>
  <si>
    <t>Bad Boy Elixir 3.4 Oz Edp Men</t>
  </si>
  <si>
    <t>ZX_PE-AU-M-190687</t>
  </si>
  <si>
    <t>Body Spray Odyssey Tyrant 6.7 Oz Men</t>
  </si>
  <si>
    <t>ZX_PE-MO-M-889433</t>
  </si>
  <si>
    <t>Set Toy Boy ( 3 Pc ) 3.4 Edp / 3.4 Shower Gel / 0.34 Oz Edt Men</t>
  </si>
  <si>
    <t>ZX_PE-LT-W-345701</t>
  </si>
  <si>
    <t>Yara Moi  Pure Concentrated Perfume Oil 0.67 Oz Women</t>
  </si>
  <si>
    <t>ZX_PE-CK-W-602513</t>
  </si>
  <si>
    <t>Contradiction 3.4 Oz Edp Women</t>
  </si>
  <si>
    <t>ZX_PE-AH-W-131693</t>
  </si>
  <si>
    <t>Neroli Canvas 2.5 Oz Edp Women</t>
  </si>
  <si>
    <t>ZX_PE-GA-W-054559</t>
  </si>
  <si>
    <t>Giorgio Armani</t>
  </si>
  <si>
    <t>Aqua Di Gio 3.4 Oz Edt Women</t>
  </si>
  <si>
    <t>ZX_PE-BV-M-416101</t>
  </si>
  <si>
    <t>Bvlgari</t>
  </si>
  <si>
    <t>Man Terrae Essence 3.4 Oz Edp Men</t>
  </si>
  <si>
    <t>ZX_PE-V-W-876280</t>
  </si>
  <si>
    <t>Pour Home Dylan Purple 3.4 Oz Edp Women</t>
  </si>
  <si>
    <t>ZX_PE-LT-U-592176</t>
  </si>
  <si>
    <t>Ajwaa 3.0 Oz Edp Unisex</t>
  </si>
  <si>
    <t>ZX_PE-PE-M-004788</t>
  </si>
  <si>
    <t>Perry Ellis</t>
  </si>
  <si>
    <t>360 6.7 Oz Edt Men</t>
  </si>
  <si>
    <t>ZX_PE-GI-M-487383</t>
  </si>
  <si>
    <t>Gentleman Only 3.3 Oz Edt Men</t>
  </si>
  <si>
    <t>ZX_PE-LT-U-592749</t>
  </si>
  <si>
    <t>Brioche Vanille 3.4 Oz Edp Unisex</t>
  </si>
  <si>
    <t>ZX_PE-MB-M-154420</t>
  </si>
  <si>
    <t>Set Explorer Platinum 4Pc 3.3 Oz Edp ,3.3 Oz Shower Gel, 2 X 0.25 Oz Edp Men</t>
  </si>
  <si>
    <t>ZX_PE-JM-U-043422</t>
  </si>
  <si>
    <t>Game Of Spades Topaz Paris 3.0 Oz Edp Unisex</t>
  </si>
  <si>
    <t>ZX_PE-DIS-K-089836</t>
  </si>
  <si>
    <t>Set Minnie Zip Case + 3.4 Oz Edt Women + Lip Gloss</t>
  </si>
  <si>
    <t>ZX_PE-DG-W-188000</t>
  </si>
  <si>
    <t>Dolce Blue Jasmine 2.5 Oz Edp Women</t>
  </si>
  <si>
    <t>ZX_PE-AU-U-805664</t>
  </si>
  <si>
    <t>Odyssey Montagne Mountain 3.4 Oz Edp Unisex</t>
  </si>
  <si>
    <t>ZX_PE-LT-U-592183</t>
  </si>
  <si>
    <t>Niche Emarati Mughal Fort  3.4 Oz Edp Unisex</t>
  </si>
  <si>
    <t>ZX_PE-DK-W-950178</t>
  </si>
  <si>
    <t>Be Tempted 3.4 Oz Edp Women</t>
  </si>
  <si>
    <t>ZX_PE-LT-U-592008</t>
  </si>
  <si>
    <t>Art Of Nature I 3.4 Oz Unisex</t>
  </si>
  <si>
    <t>ZX_PE-MA-M-459257</t>
  </si>
  <si>
    <t>Kismet 3.4 Oz Edp Men</t>
  </si>
  <si>
    <t>ZX_PE-JP-W-049405</t>
  </si>
  <si>
    <t>Jean Paul Gaultier</t>
  </si>
  <si>
    <t>La Belle Parfum  1.7 Oz Edp Intense  Women</t>
  </si>
  <si>
    <t>ZX_PE-LT-U-593050</t>
  </si>
  <si>
    <t>Masa 3.4 Oz Edp Unisex</t>
  </si>
  <si>
    <t>ZX_PE-BD-U-007918</t>
  </si>
  <si>
    <t>Bond No.9</t>
  </si>
  <si>
    <t>Chelsea Nights 3.3 Oz Edp Unisex</t>
  </si>
  <si>
    <t>ZX_PE-L-M-459901</t>
  </si>
  <si>
    <t>Lacoste</t>
  </si>
  <si>
    <t>L.12.12 Blanc Eau Intense 1.6 Oz Edt Men</t>
  </si>
  <si>
    <t>ZX_PE-MB-M-032759</t>
  </si>
  <si>
    <t>Mini Legend 0.15 Oz Edt Men</t>
  </si>
  <si>
    <t>ZX_PE-AU-W-168112</t>
  </si>
  <si>
    <t>Miss Attitude Edp 3.4 oz Women</t>
  </si>
  <si>
    <t>ZX_PE-D-W-011714</t>
  </si>
  <si>
    <t>Tester Cool Water 3.4 Oz Edt Women</t>
  </si>
  <si>
    <t>ZX_PE-AH-U-130283</t>
  </si>
  <si>
    <t>Al Haramain Oudh Burma 2.0 Oz Edp Unisex</t>
  </si>
  <si>
    <t>ZX_PE-ZA-W-732526</t>
  </si>
  <si>
    <t>Zakat</t>
  </si>
  <si>
    <t>Amelia Rouge 3.4 Onz Edp Woman</t>
  </si>
  <si>
    <t>ZX_PE-AFN-M-070603</t>
  </si>
  <si>
    <t>Turathi Brown 3.0 Oz Edp Men</t>
  </si>
  <si>
    <t>ZX_PE-G-W-328799</t>
  </si>
  <si>
    <t>Gucci</t>
  </si>
  <si>
    <t>Rush 2.5 Oz Edt Women</t>
  </si>
  <si>
    <t>ZX_PE-BT-M-505631</t>
  </si>
  <si>
    <t>Bentley</t>
  </si>
  <si>
    <t>Azure 3.4 Oz Edt Men</t>
  </si>
  <si>
    <t>ZX_PE-DG-W-183029</t>
  </si>
  <si>
    <t>Dolce Lily 2.5 Oz Edt Women</t>
  </si>
  <si>
    <t>ZX_PE-DG-W-183807</t>
  </si>
  <si>
    <t>Dolce Violet  2.5 Oz Edt Women</t>
  </si>
  <si>
    <t>ZX_PE-LT-M-721238</t>
  </si>
  <si>
    <t>Set Raghba 3.4 Oz Edp Men + 1.7 Oz Edp Men</t>
  </si>
  <si>
    <t>ZX_PE-TO-W-333344</t>
  </si>
  <si>
    <t>Electro Touch 3.4 Oz Edp Women</t>
  </si>
  <si>
    <t>ZX_PE-PE-W-016118</t>
  </si>
  <si>
    <t>Set 360 Perry Ellis Mini  ( 4 Pc )X0.25 Oz ,360W / 360 Purple /360 Red / 360 Coral Women</t>
  </si>
  <si>
    <t>ZX_PE-MO-W-878642</t>
  </si>
  <si>
    <t>Mini Moschino Toy 2 Pearl 0.50 Oz Women</t>
  </si>
  <si>
    <t>ZX_PE-CK-M-196944</t>
  </si>
  <si>
    <t>In2U 5 Oz Edt Men</t>
  </si>
  <si>
    <t>ZX_PE-JP-M-012027</t>
  </si>
  <si>
    <t>Ultra Male 4.2 Oz Edt Men</t>
  </si>
  <si>
    <t>ZX_PE-UB-M-733508</t>
  </si>
  <si>
    <t>Cuba</t>
  </si>
  <si>
    <t>Prestige Classic 3.0 Oz Edt Men</t>
  </si>
  <si>
    <t>ZX_PE-GI-M-448780</t>
  </si>
  <si>
    <t>Gentleman Society 3.3 Oz Edp Men</t>
  </si>
  <si>
    <t>ZX_PE-PR-M-630035</t>
  </si>
  <si>
    <t>Phantom Intense 3.4 Oz Edp Men</t>
  </si>
  <si>
    <t>ZX_PE-LT-U-738696</t>
  </si>
  <si>
    <t>Al Areeq Gold 3.4 Oz Edp Unisex</t>
  </si>
  <si>
    <t>ZX_PE-CK-M-150458</t>
  </si>
  <si>
    <t>Obsesion Night 4.0 Oz Edt Men</t>
  </si>
  <si>
    <t>ZX_PE-MAN-U-194032</t>
  </si>
  <si>
    <t>Mancera</t>
  </si>
  <si>
    <t>Cedrat Boise Intense 4.0 Oz Edp Unisex</t>
  </si>
  <si>
    <t>ZX_PE-LT-U-064070</t>
  </si>
  <si>
    <t>Raghba Wood Intense 3.4 Oz Edp Unisex</t>
  </si>
  <si>
    <t>ZX_PE-LT-U-340287</t>
  </si>
  <si>
    <t>Set Rave Now 3 Pcs 3.4 Oz Edp + 6.7 Oz Deo + 1.7 Oz Hairmist Men</t>
  </si>
  <si>
    <t>ZX_PE-PR-M-576081</t>
  </si>
  <si>
    <t>Xs 3.4 Oz Edt Men</t>
  </si>
  <si>
    <t>ZX_PE-JM-W-075343</t>
  </si>
  <si>
    <t>Illicit Flower 3.4 Oz Edt Women</t>
  </si>
  <si>
    <t>ZX_PE-LT-U-598857</t>
  </si>
  <si>
    <t>Dynasty 3.5 Oz Edp Unisex</t>
  </si>
  <si>
    <t>ZX_PE-XJ-U-902584</t>
  </si>
  <si>
    <t>Xerjoff</t>
  </si>
  <si>
    <t>Erba Pura 3.4 Oz Edp Unisex</t>
  </si>
  <si>
    <t>ZX_PE-LT-W-349075</t>
  </si>
  <si>
    <t>Set Eclaire 2 Pcs 3.4 Oz Edp + 200Ml Perfumed Spray Women</t>
  </si>
  <si>
    <t>ZX_PE-AU-M-044712</t>
  </si>
  <si>
    <t>Club De Nuit Intense 3.6 Oz Edt Men</t>
  </si>
  <si>
    <t>ZX_PE-LT-W-730515</t>
  </si>
  <si>
    <t>Yara 3.4 Oz Edp Women</t>
  </si>
  <si>
    <t>ZX_PE-LT-M-340362</t>
  </si>
  <si>
    <t>Asad Bourbon 3.4 Oz Edp men</t>
  </si>
  <si>
    <t>ZX_PE-LT-W-340638</t>
  </si>
  <si>
    <t>Eclaire 3.4 Oz Edp Women</t>
  </si>
  <si>
    <t>ZX_PE-AFN-M-002338</t>
  </si>
  <si>
    <t>9 Pm 3.4 Oz Edp Men</t>
  </si>
  <si>
    <t>ZX_PE-LT-M-346548</t>
  </si>
  <si>
    <t>Asad Elixir 3.4 Oz Edp Men</t>
  </si>
  <si>
    <t>ZX_PE-LT-W-346531</t>
  </si>
  <si>
    <t>Yara Elixir 3.4 Oz Edp Women</t>
  </si>
  <si>
    <t>ZX_PE-AH-M-130498</t>
  </si>
  <si>
    <t>Amber Oud Gold Edition 4.0 Oz Edp Unisex</t>
  </si>
  <si>
    <t>ZX_PE-AU-M-149371</t>
  </si>
  <si>
    <t>Odyssey Mandarin Sky 3.4 Oz Edp Men</t>
  </si>
  <si>
    <t>ZX_PE-LT-U-593661</t>
  </si>
  <si>
    <t>Khamrah Qahwa 3.4 Oz Edp Unisex</t>
  </si>
  <si>
    <t>ZX_PE-AU-W-094151</t>
  </si>
  <si>
    <t>Club De Nuit 3.6 Oz Edp Women</t>
  </si>
  <si>
    <t>ZX_PE-AU-W-181944</t>
  </si>
  <si>
    <t>Club De Nuit Precieux Iv Extrait De Parfum 1.85 Oz Women</t>
  </si>
  <si>
    <t>ZX_PE-MO-W-839308</t>
  </si>
  <si>
    <t>Toy 2 3.4 Oz Edp Women</t>
  </si>
  <si>
    <t>ZX_PE-RA-M-331040</t>
  </si>
  <si>
    <t>Rasasi</t>
  </si>
  <si>
    <t>Hawas Ice 3.4 Oz Edp Men</t>
  </si>
  <si>
    <t>ZX_PE-LT-M-598864</t>
  </si>
  <si>
    <t>Habik 3.4 Oz Edp Men</t>
  </si>
  <si>
    <t>ZX_PE-MA-U-735794</t>
  </si>
  <si>
    <t>Lovely Cherie 2.7 Oz Edp Unisex</t>
  </si>
  <si>
    <t>ZX_PE-LT-U-349693</t>
  </si>
  <si>
    <t>Give Me Gourmand Berry On Top 2.5 Oz Edp Unisex</t>
  </si>
  <si>
    <t>ZX_PE-LT-U-349686</t>
  </si>
  <si>
    <t>Give Me Gourmand Mallow Madness 2.5 Oz Edp Unisex</t>
  </si>
  <si>
    <t>ZX_PE-LT-W-599168</t>
  </si>
  <si>
    <t>Yara Candy 3.4 Oz Edp Women</t>
  </si>
  <si>
    <t>ZX_PE-LT-U-342373</t>
  </si>
  <si>
    <t>Khamrah Dukhan 3.4 Oz Edp Unisex</t>
  </si>
  <si>
    <t>ZX_PE-LT-U-733875</t>
  </si>
  <si>
    <t>Badee Al Oud Amethyst 3.4 Oz Edp Unisex</t>
  </si>
  <si>
    <t>ZX_PE-AFN-M-002345</t>
  </si>
  <si>
    <t>9 Am 3.4 Oz Edp Unisex</t>
  </si>
  <si>
    <t>ZX_PE-LT-U-593142</t>
  </si>
  <si>
    <t>Badee Al Oud Sublime 3.4 Oz Edp Unisex</t>
  </si>
  <si>
    <t>ZX_PE-LT-M-456058</t>
  </si>
  <si>
    <t>Fakhar Silver 3.4 Oz Edp Unisex</t>
  </si>
  <si>
    <t>ZX_PE-AU-M-164176</t>
  </si>
  <si>
    <t>Club De Nuit Untold 3.4 Oz Edp Men</t>
  </si>
  <si>
    <t>ZX_PE-LT-M-450193</t>
  </si>
  <si>
    <t>Hayaati 3.4 Oz Edp Men</t>
  </si>
  <si>
    <t>ZX_PE-LT-U-455365</t>
  </si>
  <si>
    <t>Qaed Al Fursan 3.0  Oz edp Unisex</t>
  </si>
  <si>
    <t>ZX_PE-LT-W-593166</t>
  </si>
  <si>
    <t>Fakhar Gold Extrait 3.4 Oz Edp Women</t>
  </si>
  <si>
    <t>ZX_PE-LT-W-456041</t>
  </si>
  <si>
    <t>Fakhar Rose Gold 3.4 Oz Edp Women</t>
  </si>
  <si>
    <t>ZX_PE-LT-U-458328</t>
  </si>
  <si>
    <t>Badee Al Oud For Glory 3.4 Oz Edp Unisex</t>
  </si>
  <si>
    <t>ZX_PE-LT-U-341826</t>
  </si>
  <si>
    <t>Ana Abiyedh Coral 2.0 Oz Unisex</t>
  </si>
  <si>
    <t>ZX_PE-LT-M-599113</t>
  </si>
  <si>
    <t>His Confession 3.4 Oz Edp Men</t>
  </si>
  <si>
    <t>ZX_PE-LT-U-593135</t>
  </si>
  <si>
    <t>Badee Al Oud Honor And Glory 3.4 Oz Edp Unisex</t>
  </si>
  <si>
    <t>ZX_PE-AU-W-164169</t>
  </si>
  <si>
    <t>Club De Nuit Imperiale 3.6 Oz Edp Women</t>
  </si>
  <si>
    <t>ZX_PE-LT-W-591421</t>
  </si>
  <si>
    <t>Yara Moi 3.4 Oz Edp Women</t>
  </si>
  <si>
    <t>ZX_PE-RA-W-331019</t>
  </si>
  <si>
    <t>Hawas 3.4 Oz Edp Women</t>
  </si>
  <si>
    <t>ZX_PE-LT-U-590349</t>
  </si>
  <si>
    <t>Rave Now White 3.4 Oz Edp Unisex</t>
  </si>
  <si>
    <t>ZX_PE-AFN-U-075288</t>
  </si>
  <si>
    <t>9 Pm Rebel 3.4 Oz Edp Unisex</t>
  </si>
  <si>
    <t>ZX_PE-LT-U-591513</t>
  </si>
  <si>
    <t>Jasoor 3.4 Oz Edp Men</t>
  </si>
  <si>
    <t>ZX_PE-MO-M-845132</t>
  </si>
  <si>
    <t>Toy Boy 3.4 Oz Edp Men</t>
  </si>
  <si>
    <t>ZX_PE-MA-M-590615</t>
  </si>
  <si>
    <t>Glacier Pour Homme 3.4 Oz Edp Men</t>
  </si>
  <si>
    <t>ZX_PE-AU-U-132120</t>
  </si>
  <si>
    <t>Club De Nuit Milestone 3.6 Oz Edp Unisex</t>
  </si>
  <si>
    <t>ZX_PE-LT-U-598963</t>
  </si>
  <si>
    <t>Mayar Cherry Intense 3.4 Oz Edp Unisex</t>
  </si>
  <si>
    <t>ZX_PE-LT-U-737323</t>
  </si>
  <si>
    <t>Musaman 3.4 Oz Edp Unisex</t>
  </si>
  <si>
    <t>ZX_PE-LT-U-457895</t>
  </si>
  <si>
    <t>Hayaati Gold Elixir 3.4 Oz Edp Unisex</t>
  </si>
  <si>
    <t>ZX_PE-LT-U-598918</t>
  </si>
  <si>
    <t>Atheeri 3.4 Oz Edp Unisex</t>
  </si>
  <si>
    <t>ZX_PE-LT-W-599441</t>
  </si>
  <si>
    <t>Badee Al Oud Noble Blush Edp 3.4 Oz Women</t>
  </si>
  <si>
    <t>ZX_PE-LT-W-598352</t>
  </si>
  <si>
    <t>The Kingdom 3.4 Oz Edp Women</t>
  </si>
  <si>
    <t>ZX_PE-BHA-M-062516</t>
  </si>
  <si>
    <t>Bharara</t>
  </si>
  <si>
    <t>Rome Pour Homme 3.4 Oz Edp Men</t>
  </si>
  <si>
    <t>ZX_PE-MA-M-459363</t>
  </si>
  <si>
    <t>Salvo 3.4 Oz Edp Men</t>
  </si>
  <si>
    <t>ZX_PE-BHA-M-062035</t>
  </si>
  <si>
    <t>king 3.4 Oz Edp Men</t>
  </si>
  <si>
    <t>ZX_PE-BHA-W-062509</t>
  </si>
  <si>
    <t>Rome 3.4 Oz Edp Women</t>
  </si>
  <si>
    <t>ZX_PE-LT-U-598888</t>
  </si>
  <si>
    <t>Afeef 3.4 Oz Edp Unisex</t>
  </si>
  <si>
    <t>ZX_PE-AU-M-109313</t>
  </si>
  <si>
    <t>Odyssey Homme Black 3.4 Oz Edp Men</t>
  </si>
  <si>
    <t>ZX_PE-LT-M-734056</t>
  </si>
  <si>
    <t>Hayaati Al Maleky 3.4 Oz Edp Men</t>
  </si>
  <si>
    <t>ZX_PE-LT-W-598970</t>
  </si>
  <si>
    <t>Mayar Natural Intense 3.4 Oz Edp Women</t>
  </si>
  <si>
    <t>ZX_PE-AFN-U-076001</t>
  </si>
  <si>
    <t>Turathi Electric 3.4 Oz Edp Unisex</t>
  </si>
  <si>
    <t>ZX_PE-AU-U-136470</t>
  </si>
  <si>
    <t>Club De Nuit Sillage 3.6 Oz Edp Unisex</t>
  </si>
  <si>
    <t>ZX_PE-LT-M-340126</t>
  </si>
  <si>
    <t>Set Asad 3 Pcs Gift With 3.4 Oz Edp + 6.7 Oz Deo + 1.7 Oz Hairmis</t>
  </si>
  <si>
    <t>ZX_PE-LT-M-738221</t>
  </si>
  <si>
    <t>Al Qiam Silver 3.4 Oz Edp Men</t>
  </si>
  <si>
    <t>ZX_PE-LT-M-345138</t>
  </si>
  <si>
    <t>Set Hayaati 2 Pcs 3.4 Oz Edp + 6.7 Oz Perfumed Spray Men</t>
  </si>
  <si>
    <t>ZX_PE-AU-M-164152</t>
  </si>
  <si>
    <t>Club De Nuit Blue Iconic 3.4 Oz Edp Men</t>
  </si>
  <si>
    <t>ZX_PE-LT-U-738016</t>
  </si>
  <si>
    <t>Shaheen Gold 3.4 Oz Edp Unisex</t>
  </si>
  <si>
    <t>ZX_PE-LT-U-738498</t>
  </si>
  <si>
    <t>Emaan 3.4 Oz Edp Unisex</t>
  </si>
  <si>
    <t>ZX_PE-AH-U-814873</t>
  </si>
  <si>
    <t>Amber Oud Aqua Dubai Extrait De Parfum 3.38 Oz Unisex</t>
  </si>
  <si>
    <t>ZX_PE-LT-W-732496</t>
  </si>
  <si>
    <t>Mayar 3.4 Oz Edp Unisex</t>
  </si>
  <si>
    <t>ZX_PE-AH-U-131716</t>
  </si>
  <si>
    <t>Amber Oud Gold 2.0 Oz Edp Unisex</t>
  </si>
  <si>
    <t>ZX_PE-DM-M-761880</t>
  </si>
  <si>
    <t>Dumont</t>
  </si>
  <si>
    <t>Nitro Red 3.4 Oz Edp Men</t>
  </si>
  <si>
    <t>ZX_PE-LT-U-341222</t>
  </si>
  <si>
    <t>Set Badee Al Oud Sublime 3 Pcs 3.4 Oz Edp + 6.7 Oz Deo + 10 Oz Air Freshner Unisex</t>
  </si>
  <si>
    <t>ZX_PE-DI-M-291001</t>
  </si>
  <si>
    <t>Diesel</t>
  </si>
  <si>
    <t>Plus Plus 2.5 Oz Edt Men</t>
  </si>
  <si>
    <t>ZX_PE-LT-U-732489</t>
  </si>
  <si>
    <t>Ajwad 2.03 Oz Edp Unisex</t>
  </si>
  <si>
    <t>ZX_PE-AU-M-131024</t>
  </si>
  <si>
    <t>Club De Nuit Intense 6.8 Oz Edp Men</t>
  </si>
  <si>
    <t>ZX_PE-MA-M-590752</t>
  </si>
  <si>
    <t>Leonie Intense 3.4 Oz Edp Women</t>
  </si>
  <si>
    <t>ZX_PE-AFN-W-074373</t>
  </si>
  <si>
    <t>Set 9 Am Pour Femme 3.4 Oz Edp Shower Gel 5.0 Oz Body Mist 3.4 Oz Body Lotion 3.4 Oz Women</t>
  </si>
  <si>
    <t>ZX_PE-VX-M-217196</t>
  </si>
  <si>
    <t>Victorinox</t>
  </si>
  <si>
    <t>Swiss Army Red 3.4 Oz Edt Men</t>
  </si>
  <si>
    <t>ZX_PE-LT-M-592909</t>
  </si>
  <si>
    <t>Pride Vintage Radio 3.4 Oz Edp Men</t>
  </si>
  <si>
    <t>ZX_PE-LP-U-738665</t>
  </si>
  <si>
    <t>Ishq Al Shuyukh Gold 3.4 Oz Edp Unisex</t>
  </si>
  <si>
    <t>ZX_PE-LT-U-459707</t>
  </si>
  <si>
    <t>Confidential Private Gold 3.4 Oz Edp Unisex</t>
  </si>
  <si>
    <t>ZX_PE-LT-M-066722</t>
  </si>
  <si>
    <t>Ramz Silver 3.4 Oz Edp Men</t>
  </si>
  <si>
    <t>ZX_PE-DG-M-183579</t>
  </si>
  <si>
    <t>Light Blue Summer Vibes 4.2 Oz Edt Men</t>
  </si>
  <si>
    <t>ZX_PE-AFN-W-072591</t>
  </si>
  <si>
    <t>9 Am Pour Femme 3.4 Oz Edp Women</t>
  </si>
  <si>
    <t>ZX_PE-N-M-508027</t>
  </si>
  <si>
    <t>Nautica</t>
  </si>
  <si>
    <t>Blue 3.4 Oz Edt Men</t>
  </si>
  <si>
    <t>ZX_PE-AU-W-800942</t>
  </si>
  <si>
    <t>Island Bliss 3.4 Oz Edp Women</t>
  </si>
  <si>
    <t>ZX_PE-LT-W-738504</t>
  </si>
  <si>
    <t>Haya 3.4 Oz Edp Women</t>
  </si>
  <si>
    <t>ZX_PE-LT-U-737194</t>
  </si>
  <si>
    <t>Khamrah  3.4 Oz Edp Unisex</t>
  </si>
  <si>
    <t>ZX_PE-AU-M-151596</t>
  </si>
  <si>
    <t>Club De Nuit 3.6 Oz Edt Men</t>
  </si>
  <si>
    <t>ZX_PE-GU-M-320704</t>
  </si>
  <si>
    <t>Gold 2.5 Oz Edt Men</t>
  </si>
  <si>
    <t>ZX_PE-LT-M-341239</t>
  </si>
  <si>
    <t>Set Khamrah Khamrah 3 Pcs 3.4 Oz Edp 6.7 Oz Deo 10.1 Oz Air Freshner Men</t>
  </si>
  <si>
    <t>ZX_PE-LT-U-066715</t>
  </si>
  <si>
    <t>Ramz  Gold 3.4 Oz Edp Unisex</t>
  </si>
  <si>
    <t>ZX_PE-AU-M-105247</t>
  </si>
  <si>
    <t>Set Club de Nuit Intense 4 Pzas Edt 3.4 Oz</t>
  </si>
  <si>
    <t>ZX_PE-LT-U-598789</t>
  </si>
  <si>
    <t>Victoria 3.4 Oz Edp Unisex</t>
  </si>
  <si>
    <t>ZX_PE-PH-W-521601</t>
  </si>
  <si>
    <t>Paris Hilton</t>
  </si>
  <si>
    <t>Just Me 3.4 Oz Edp Women</t>
  </si>
  <si>
    <t>ZX_PE-V-M-845354</t>
  </si>
  <si>
    <t>Eros Flame 3.4 Oz Edp Men</t>
  </si>
  <si>
    <t>ZX_PE-LT-U-593685</t>
  </si>
  <si>
    <t>Rave</t>
  </si>
  <si>
    <t>Now Pink 3.4 Oz Edp Women</t>
  </si>
  <si>
    <t>ZX_PE-LT-W-594552</t>
  </si>
  <si>
    <t>Yara Tous 3.4 Oz Edp Women</t>
  </si>
  <si>
    <t>ZX_PE-BS-W-567442</t>
  </si>
  <si>
    <t>Circus Fantasy 3.3 Oz Edp Women</t>
  </si>
  <si>
    <t>ZX_PE-LT-W-738177</t>
  </si>
  <si>
    <t>Tharwah Gold 3.4 Oz Edp Women</t>
  </si>
  <si>
    <t>ZX_PE-RA-M-331033</t>
  </si>
  <si>
    <t>Hawas Black 3.4 Oz Edp Men</t>
  </si>
  <si>
    <t>ZX_PE-AU-M-102260</t>
  </si>
  <si>
    <t>Ventana 3.4 Oz Edp Men</t>
  </si>
  <si>
    <t>ZX_PE-RA-U-331057</t>
  </si>
  <si>
    <t>Hawas Elixir 3.4 Oz Edp Unisex</t>
  </si>
  <si>
    <t>ZX_PE-BN-M-003017</t>
  </si>
  <si>
    <t>United Colors of Benetton</t>
  </si>
  <si>
    <t>Cold 3.3 Oz Edt Men</t>
  </si>
  <si>
    <t>ZX_PE-LT-W-345749</t>
  </si>
  <si>
    <t>Set Yara Collection 4 Pc 0.85 Oz Edp Women</t>
  </si>
  <si>
    <t>ZX_PE-BS-W-256346</t>
  </si>
  <si>
    <t>Fantasy Sheer 3.4 Oz Edt Women</t>
  </si>
  <si>
    <t>ZX_PE-LT-U-066890</t>
  </si>
  <si>
    <t>Ana Abiyedh 2.0 Oz Edp Unisex</t>
  </si>
  <si>
    <t>ZX_PE-AU-M-804360</t>
  </si>
  <si>
    <t>Odyssey Dubai Chocolat Gourman Edition 3.4 Oz Edp Men</t>
  </si>
  <si>
    <t>ZX_PE-PH-W-581391</t>
  </si>
  <si>
    <t>Ruby Rush 3.4 Oz Edp Women</t>
  </si>
  <si>
    <t>ZX_PE-BN-M-810028</t>
  </si>
  <si>
    <t>Paradiso Inferno Blue 3.3 Oz Edt Men</t>
  </si>
  <si>
    <t>ZX_PE-LT-U-591520</t>
  </si>
  <si>
    <t>Liam Blue Shine 3.4 Oz Edp Unisex</t>
  </si>
  <si>
    <t>ZX_PE-AU-W-163902</t>
  </si>
  <si>
    <t>Tag Donna Colorata 3.4 Oz Edp Women</t>
  </si>
  <si>
    <t>ZX_PE-MA-U-591629</t>
  </si>
  <si>
    <t>Sceptre Bronzite 3.4 Oz Edp Unisex</t>
  </si>
  <si>
    <t>ZX_PE-MA-U-459325</t>
  </si>
  <si>
    <t>Philos Centro 3.4 Oz Edp Unisex</t>
  </si>
  <si>
    <t>ZX_PE-MB-M-058728</t>
  </si>
  <si>
    <t>Emblem 3.4 Oz Edt Men</t>
  </si>
  <si>
    <t>ZX_PE-BS-W-552875</t>
  </si>
  <si>
    <t>Hidden Fantasy 3.3 Oz Edp Women</t>
  </si>
  <si>
    <t>ZX_PE-FW-U-370187</t>
  </si>
  <si>
    <t>Fragrance World</t>
  </si>
  <si>
    <t>Essence De Blanc Unisex 3.4 Oz Edp Unisex</t>
  </si>
  <si>
    <t>ZX_PE-LP-W-738276</t>
  </si>
  <si>
    <t>Nebras 3.4 Oz Edp Women</t>
  </si>
  <si>
    <t>ZX_PE-CQ-W-156893</t>
  </si>
  <si>
    <t>Clinique</t>
  </si>
  <si>
    <t>Happy 3.4 Oz Parfum Women</t>
  </si>
  <si>
    <t>ZX_PE-LT-M-593722</t>
  </si>
  <si>
    <t>Atlas 1.85 Oz Edp Men</t>
  </si>
  <si>
    <t>ZX_PE-LT-W-599489</t>
  </si>
  <si>
    <t>Habik 3.4 Oz Edp Women</t>
  </si>
  <si>
    <t>ZX_PE-MA-W-599212</t>
  </si>
  <si>
    <t>Eclat De Lune 3.4 Oz Extrait De Parfum Women</t>
  </si>
  <si>
    <t>ZX_PE-GU-W-321411</t>
  </si>
  <si>
    <t>Girl Belle 3.4 Oz Edt Women</t>
  </si>
  <si>
    <t>ZX_PE-GA-W-907690</t>
  </si>
  <si>
    <t>My Way 3 Oz Edp Women</t>
  </si>
  <si>
    <t>ZX_PE-MA-W-599243</t>
  </si>
  <si>
    <t>Athena 3.4 Oz Edp Women</t>
  </si>
  <si>
    <t>ZX_PE-IM-M-311365</t>
  </si>
  <si>
    <t>Leau Dissey Pour Homme 4.2 Oz Edt Men</t>
  </si>
  <si>
    <t>ZX_PE-LT-U-591506</t>
  </si>
  <si>
    <t>Emeer 3.4 Oz Edp Unisex</t>
  </si>
  <si>
    <t>ZX_PE-PE-M-000513</t>
  </si>
  <si>
    <t>360 Black 3.3 Oz Edt Men</t>
  </si>
  <si>
    <t>ZX_PE-FW-M-375694</t>
  </si>
  <si>
    <t>Liquid Brun Avenue 3.4 Oz Edp Men</t>
  </si>
  <si>
    <t>ZX_PE-HB-M-255668</t>
  </si>
  <si>
    <t>Hugo Boss</t>
  </si>
  <si>
    <t>Boss # 6 Tonic 3.4 Oz Edt Men</t>
  </si>
  <si>
    <t>ZX_PE-CK-W-601400</t>
  </si>
  <si>
    <t>Eternity 3.4 Oz Edp Women</t>
  </si>
  <si>
    <t>ZX_PE-AU-M-593036</t>
  </si>
  <si>
    <t>Pisa 3.4 Oz Edp Men</t>
  </si>
  <si>
    <t>ZX_PE-LT-U-593159</t>
  </si>
  <si>
    <t>Musaman White Intense 3.4 Oz Edp Unisex</t>
  </si>
  <si>
    <t>ZX_PE-BS-W-094665</t>
  </si>
  <si>
    <t>Fantasy Midnight 3.3 Oz Edp Women</t>
  </si>
  <si>
    <t>ZX_PE-AH-U-813036</t>
  </si>
  <si>
    <t>Amber Oud Ruby 3.3 Oz Edp Unisex</t>
  </si>
  <si>
    <t>ZX_PE-LT-M-730317</t>
  </si>
  <si>
    <t>Victorioso 3.4 Oz  Edp Men</t>
  </si>
  <si>
    <t>ZX_PE-CH-M-865583</t>
  </si>
  <si>
    <t>212 Sexy 3.4 Oz Edt Men</t>
  </si>
  <si>
    <t>ZX_PE-PH-W-580554</t>
  </si>
  <si>
    <t>Luxe Rush 3.4 Oz Edp Women</t>
  </si>
  <si>
    <t>ZX_PE-RA-W-339206</t>
  </si>
  <si>
    <t>Hawas Eclat 3.4 Oz Edp Women</t>
  </si>
  <si>
    <t>ZX_PE-PH-W-533369</t>
  </si>
  <si>
    <t>Can Can 3.4 Oz Edp Women</t>
  </si>
  <si>
    <t>ZX_PE-L-M-149082</t>
  </si>
  <si>
    <t>L.12.12 Blanc 3.3 Oz Edt Men</t>
  </si>
  <si>
    <t>ZX_PE-PR-M-007921</t>
  </si>
  <si>
    <t>One Million 3.4 Oz Edt Men</t>
  </si>
  <si>
    <t>ZX_PE-AFN-W-072607</t>
  </si>
  <si>
    <t>9 Pm Pour Femme 3.4 Oz Edp Women</t>
  </si>
  <si>
    <t>ZX_PE-VX-M-127600</t>
  </si>
  <si>
    <t>Swiss Army Altitude 3.4 Oz Edt Men</t>
  </si>
  <si>
    <t>ZX_PE-DG-W-183739</t>
  </si>
  <si>
    <t>Devotion 3.4 Oz Edp Women</t>
  </si>
  <si>
    <t>ZX_PE-CH-W-865439</t>
  </si>
  <si>
    <t>212 Sexy 3.4 Oz Edp Women</t>
  </si>
  <si>
    <t>ZX_PE-AFN-U-076704</t>
  </si>
  <si>
    <t>Rare Reef 3.4 Oz Unisex Edp</t>
  </si>
  <si>
    <t>ZX_PE-GU-W-329844</t>
  </si>
  <si>
    <t>Set Guess For Women (4 Pc) 2.5 Oz Edp / 3.4 Oz Body Lotion / 15 Ml / Pouch</t>
  </si>
  <si>
    <t>ZX_PE-AR-W-500060</t>
  </si>
  <si>
    <t>Mod Blush 3.4 Oz Edp Women</t>
  </si>
  <si>
    <t>ZX_PE-MA-W-590721</t>
  </si>
  <si>
    <t>Reyna 3.4 Oz Edp Women</t>
  </si>
  <si>
    <t>ZX_PE-N-M-904016</t>
  </si>
  <si>
    <t>Classic 3.4 Oz Edt Men</t>
  </si>
  <si>
    <t>ZX_PE-PH-W-517482</t>
  </si>
  <si>
    <t>Paris Hilton 3.4 Oz Edp Women</t>
  </si>
  <si>
    <t>ZX_PE-AU-W-800959</t>
  </si>
  <si>
    <t>Yum Yum 3.4 Oz Edp Women</t>
  </si>
  <si>
    <t>ZX_PE-BS-W-065405</t>
  </si>
  <si>
    <t>Fantasy 3.4 Oz Edp Women</t>
  </si>
  <si>
    <t>ZX_PE-HB-M-351100</t>
  </si>
  <si>
    <t>Bottled 3.4 Oz Edt Men</t>
  </si>
  <si>
    <t>ZX_PE-HB-M-130934</t>
  </si>
  <si>
    <t>Xy 3.4 Oz Edt Men</t>
  </si>
  <si>
    <t>ZX_PE-PR-M-515660</t>
  </si>
  <si>
    <t>Invictus 3.4 Oz Edt Men</t>
  </si>
  <si>
    <t>ZX_PE-VA-M-732209</t>
  </si>
  <si>
    <t>Valentino</t>
  </si>
  <si>
    <t>Uomo 3.4 Oz Edt Men</t>
  </si>
  <si>
    <t>ZX_PE-HB-M-352060</t>
  </si>
  <si>
    <t>Bottled Night 3.3 Oz Edt Men</t>
  </si>
  <si>
    <t>ZX_PE-AU-W-151084</t>
  </si>
  <si>
    <t>Club De Nuit 6.8 Oz Edp Women</t>
  </si>
  <si>
    <t>ZX_PE-CH-M-043844</t>
  </si>
  <si>
    <t>212 Vip Black 3.4 Oz Edp Men</t>
  </si>
  <si>
    <t>ZX_PE-VA-W-761445</t>
  </si>
  <si>
    <t>Donna Born In Roma 3.4 Oz Edp Women</t>
  </si>
  <si>
    <t>ZX_PE-N-M-930722</t>
  </si>
  <si>
    <t>Blue Sail 3.4 Oz Edt Men</t>
  </si>
  <si>
    <t>ZX_PE-N-M-938230</t>
  </si>
  <si>
    <t>Voyage N-83 3.4 Oz Edt Men</t>
  </si>
  <si>
    <t>ZX_PE-YL-W-648425</t>
  </si>
  <si>
    <t>Yves Saint Laurent</t>
  </si>
  <si>
    <t>Libre 3.0 Oz Edp Women</t>
  </si>
  <si>
    <t>ZX_PE-DG-M-020516</t>
  </si>
  <si>
    <t>Light Blue 4.2 Oz Edt Men</t>
  </si>
  <si>
    <t>ZX_PE-IM-W-300161</t>
  </si>
  <si>
    <t>Leau Dissey 3.3 Oz Edt Women</t>
  </si>
  <si>
    <t>ZX_PE-LT-W-340034</t>
  </si>
  <si>
    <t>Set Yara Moi 3.4 Oz + 6.8 Oz Deo + 1.7 Oz Hairmist Edp Women</t>
  </si>
  <si>
    <t>ZX_PE-AU-M-094182</t>
  </si>
  <si>
    <t>Hunter 3.4 Oz Edt Men</t>
  </si>
  <si>
    <t>ZX_PE-IM-M-486018</t>
  </si>
  <si>
    <t>Leau Dissey Pour Homme Intense 4.2 Oz Edt Men</t>
  </si>
  <si>
    <t>ZX_PE-AB-M-636268</t>
  </si>
  <si>
    <t>Antonio Banderas</t>
  </si>
  <si>
    <t>Blue Seduction 3.4 Oz Edt Men</t>
  </si>
  <si>
    <t>ZX_PE-LT-M-738085</t>
  </si>
  <si>
    <t>Winners Trophy Silver 3.4 Oz Edp Men</t>
  </si>
  <si>
    <t>ZX_PE-HB-M-766775</t>
  </si>
  <si>
    <t>Unlimited 3.4 Oz Edt Men</t>
  </si>
  <si>
    <t>ZX_PE-PH-M-519769</t>
  </si>
  <si>
    <t>Paris Hilton 3.4 Oz Edt Men</t>
  </si>
  <si>
    <t>ZX_PE-AR-W-501227</t>
  </si>
  <si>
    <t>Mod Vanilla 3.4 Oz Edp Women</t>
  </si>
  <si>
    <t>ZX_PE-RL-M-455338</t>
  </si>
  <si>
    <t>Polo Sport Fresh 4.2 Oz Edt Men</t>
  </si>
  <si>
    <t>ZX_PE-JM-U-043095</t>
  </si>
  <si>
    <t>Game Of Spades Full House 3.4 Oz Parfum Unisex</t>
  </si>
  <si>
    <t>ZX_PE-CH-W-865408</t>
  </si>
  <si>
    <t>212 Nyc 3.4 Oz Edt Women</t>
  </si>
  <si>
    <t>ZX_PE-AU-M-149388</t>
  </si>
  <si>
    <t>Odyssey Mega 3.4 Oz Edp Men</t>
  </si>
  <si>
    <t>ZX_PE-CD-M-250146</t>
  </si>
  <si>
    <t>Sauvage 3.4 Oz Edt Men</t>
  </si>
  <si>
    <t>ZX_PE-CH-M-991886</t>
  </si>
  <si>
    <t>Bad Boy 3.4 Oz Le Parfum Men</t>
  </si>
  <si>
    <t>ZX_PE-LT-M-590080</t>
  </si>
  <si>
    <t>Rave Intense Pure Desire 3.4 Oz Edp Men</t>
  </si>
  <si>
    <t>ZX_PE-VX-M-127679</t>
  </si>
  <si>
    <t>Black Steel 3.4 Oz Edt Men</t>
  </si>
  <si>
    <t>ZX_PE-LT-U-454429</t>
  </si>
  <si>
    <t>Ana Abiyedh Leather 2.0 Oz Edp Unisex</t>
  </si>
  <si>
    <t>ZX_PE-LT-U-592695</t>
  </si>
  <si>
    <t>Pride Affection 3.4 Oz Edp Unisex</t>
  </si>
  <si>
    <t>ZX_PE-PE-W-000575</t>
  </si>
  <si>
    <t>360 Red 3.3 Oz Edp Women</t>
  </si>
  <si>
    <t>ZX_PE-AR-W-024279</t>
  </si>
  <si>
    <t>Thank U Next 3.4 Oz Edp Women</t>
  </si>
  <si>
    <t>ZX_PE-IM-M-311358</t>
  </si>
  <si>
    <t>Leau Dissey Pour Homme 2.5 Oz Edt Men</t>
  </si>
  <si>
    <t>ZX_PE-ASD-U-456355</t>
  </si>
  <si>
    <t>Asdaaf</t>
  </si>
  <si>
    <t>Ameerat Al Arab 3.4 Oz Edp Unisex</t>
  </si>
  <si>
    <t>ZX_PE-GU-W-320117</t>
  </si>
  <si>
    <t>Seductive 2.5 Oz Edt Women</t>
  </si>
  <si>
    <t>ZX_PE-KP-W-312459</t>
  </si>
  <si>
    <t>Katy Perry</t>
  </si>
  <si>
    <t>Purr 3.4 Oz Edp Women</t>
  </si>
  <si>
    <t>ZX_PE-LT-U-592015</t>
  </si>
  <si>
    <t>Art Of Nature II 3.4 Oz Edp Unisex</t>
  </si>
  <si>
    <t>ZX_PE-CH-W-067895</t>
  </si>
  <si>
    <t>Ch 3.4 Oz Edt Women</t>
  </si>
  <si>
    <t>ZX_PE-AH-U-813074</t>
  </si>
  <si>
    <t>Gold Extreme 6.7 Oz Edp Unisex</t>
  </si>
  <si>
    <t>ZX_PE-PE-M-000551</t>
  </si>
  <si>
    <t>360 Red 3.4 Oz Edt Men</t>
  </si>
  <si>
    <t>ZX_PE-AFN-M-070580</t>
  </si>
  <si>
    <t>Turathi Blue 3.4 Oz Edp Men</t>
  </si>
  <si>
    <t>ZX_PE-PH-M-566947</t>
  </si>
  <si>
    <t>Gold Rush 3.4 Oz Edt Men</t>
  </si>
  <si>
    <t>ZX_PE-DM-M-761279</t>
  </si>
  <si>
    <t>Nitro Green 3.4 Oz Edp Men</t>
  </si>
  <si>
    <t>ZX_PE-AH-W-131617</t>
  </si>
  <si>
    <t>Amber Oud White Edition 2.0 Oz Edp Women</t>
  </si>
  <si>
    <t>ZX_PE-AR-W-023289</t>
  </si>
  <si>
    <t>Cloud 3.4 Oz Edp Women</t>
  </si>
  <si>
    <t>ZX_PE-PR-M-614523</t>
  </si>
  <si>
    <t>Invictus Victory Elixir Intense 3.4 Oz Edp Men</t>
  </si>
  <si>
    <t>ZX_PE-D-M-000572</t>
  </si>
  <si>
    <t>Cool Water 4.2 Oz Edt Men</t>
  </si>
  <si>
    <t>ZX_PE-MA-M-590592</t>
  </si>
  <si>
    <t>Glacier Le Noir 3.4 Oz Edp Men</t>
  </si>
  <si>
    <t>ZX_PE-VA-W-672054</t>
  </si>
  <si>
    <t>Born In Roma Coral Fantasy 3.4 Oz Edp Women</t>
  </si>
  <si>
    <t>ZX_PE-JM-U-248649</t>
  </si>
  <si>
    <t>Game Of Spades Wildcard 3.4 Oz Edp Unisex</t>
  </si>
  <si>
    <t>ZX_PE-AU-M-160734</t>
  </si>
  <si>
    <t>Odyssey Tyrant Special Edition 3.4 Oz Edp Men</t>
  </si>
  <si>
    <t>ZX_PE-CK-U-463359</t>
  </si>
  <si>
    <t>One Reflections 3.4 Oz Edt Unisex Limited Edition</t>
  </si>
  <si>
    <t>ZX_PE-PE-M-002302</t>
  </si>
  <si>
    <t>360 Red 6.7 Oz Edt Men</t>
  </si>
  <si>
    <t>ZX_PE-ZA-W-731611</t>
  </si>
  <si>
    <t>Z 25 3.4 Oz Edp Women</t>
  </si>
  <si>
    <t>ZX_PE-LT-M-738672</t>
  </si>
  <si>
    <t>Ishq Al Shuyukh Silver 3.4 Oz Edp Men</t>
  </si>
  <si>
    <t>ZX_PE-AFN-U-072836</t>
  </si>
  <si>
    <t>9 Am Dive 3.4 Oz Edp Unisex</t>
  </si>
  <si>
    <t>ZX_PE-FW-M-372730</t>
  </si>
  <si>
    <t>Spectre 2.7 Oz Edp Men</t>
  </si>
  <si>
    <t>ZX_PE-CH-W-777176</t>
  </si>
  <si>
    <t>212 Vip Rose 2.7 Oz Edp Women</t>
  </si>
  <si>
    <t>ZX_PE-V-W-270756</t>
  </si>
  <si>
    <t>Red Jeans 2.5 Oz Edt Women</t>
  </si>
  <si>
    <t>ZX_PE-LT-U-590868</t>
  </si>
  <si>
    <t>Ameerat Al Arab Prive Ros 3.4 Oz Edp Unisex</t>
  </si>
  <si>
    <t>ZX_PE-GU-W-320810</t>
  </si>
  <si>
    <t>Girl 3.4 Oz Edt Women</t>
  </si>
  <si>
    <t>ZX_PE-JP-M-062213</t>
  </si>
  <si>
    <t>Le Beau Le Parfum 2.5 Oz Edp Intense Men</t>
  </si>
  <si>
    <t>ZX_PE-PE-W-007963</t>
  </si>
  <si>
    <t>360 Purple 3.4 Oz Edp Women</t>
  </si>
  <si>
    <t>ZX_PE-LT-U-738191</t>
  </si>
  <si>
    <t>Ansaam Gold 3.4 Oz Edp Unisex</t>
  </si>
  <si>
    <t>ZX_PE-LT-M-342489</t>
  </si>
  <si>
    <t>Lail Maleki Moroccon Blue 3.4 Oz Edp Men</t>
  </si>
  <si>
    <t>ZX_PE-JM-U-248670</t>
  </si>
  <si>
    <t>Game Of Spades Royal 3.4 Oz Parfum Unisex</t>
  </si>
  <si>
    <t>ZX_PE-GA-W-347839</t>
  </si>
  <si>
    <t>My Way Intense 3.0 Oz Edp Women</t>
  </si>
  <si>
    <t>ZX_PE-LT-W-593180</t>
  </si>
  <si>
    <t>Hayaati Florence 3.4 Oz Edp Women</t>
  </si>
  <si>
    <t>ZX_PE-UB-M-732389</t>
  </si>
  <si>
    <t>Gold 3.4 Oz Edt Men</t>
  </si>
  <si>
    <t>ZX_PE-AR-W-504662</t>
  </si>
  <si>
    <t>Set Cloud 3.4 Oz Edp + 4 Oz Body Mist + 3.4 Oz Body Souffle Women</t>
  </si>
  <si>
    <t>ZX_PE-IM-M-867158</t>
  </si>
  <si>
    <t>Leau Dissey Pour Homme Sport 3.4 Oz Edt Men</t>
  </si>
  <si>
    <t>ZX_PE-HB-W-130729</t>
  </si>
  <si>
    <t>Xx 3.4 Oz Edt Women</t>
  </si>
  <si>
    <t>ZX_PE-VX-M-127686</t>
  </si>
  <si>
    <t>Tester Swiss Army  Classic 3.4 Oz Edt Men</t>
  </si>
  <si>
    <t>ZX_PE-AFN-M-074243</t>
  </si>
  <si>
    <t>Set 9 Am Dive Edp 3.4 Oz Shower Gel 5.0 Oz Deodorant 5.0 Oz Men</t>
  </si>
  <si>
    <t>ZX_PE-LT-U-591988</t>
  </si>
  <si>
    <t>Pride Art Of Arabia I 3.4 Oz Edp Unisex</t>
  </si>
  <si>
    <t>ZX_PE-BN-W-176725</t>
  </si>
  <si>
    <t>Hot Gold  3.4 Oz Edt Women</t>
  </si>
  <si>
    <t>ZX_PE-PH-W-525753</t>
  </si>
  <si>
    <t>Heiress 3.4 Oz Edp Women</t>
  </si>
  <si>
    <t>ZX_PE-GU-W-320513</t>
  </si>
  <si>
    <t>Guess 2.5 Oz Edp Women</t>
  </si>
  <si>
    <t>ZX_PE-HB-M-160584</t>
  </si>
  <si>
    <t>Boss Bottled Triumph Elixir 3.3 Oz Parfum Intense Men</t>
  </si>
  <si>
    <t>ZX_PE-BHA-W-062271</t>
  </si>
  <si>
    <t>Rose 3.4 Oz Edp Women</t>
  </si>
  <si>
    <t>ZX_PE-BHA-M-062264</t>
  </si>
  <si>
    <t>Onyx  3.4 Oz Edp Men</t>
  </si>
  <si>
    <t>ZX_PE-GA-W-381096</t>
  </si>
  <si>
    <t>Diamond 2.5 Oz Edt Women</t>
  </si>
  <si>
    <t>ZX_PE-PE-M-001176</t>
  </si>
  <si>
    <t>Perry Ellis 18 3.4 Oz Edt Men</t>
  </si>
  <si>
    <t>ZX_PE-GU-M-321695</t>
  </si>
  <si>
    <t>Seductive Homme 5.1 Oz Edt Men</t>
  </si>
  <si>
    <t>ZX_PE-RT-M-701787</t>
  </si>
  <si>
    <t>Reyane Tradition</t>
  </si>
  <si>
    <t>Insurrection Ii Sport 3.0 Oz Edt Men</t>
  </si>
  <si>
    <t>ZX_PE-HO-W-265319</t>
  </si>
  <si>
    <t>Hollister</t>
  </si>
  <si>
    <t>Free Wave 3.4 Oz Edp Women</t>
  </si>
  <si>
    <t>ZX_PE-DG-W-188291</t>
  </si>
  <si>
    <t>Devotion Intense  3.3 Oz Edp Women</t>
  </si>
  <si>
    <t>ZX_PE-BHA-W-062332</t>
  </si>
  <si>
    <t>Scarlet 3.4 Oz Edp Women</t>
  </si>
  <si>
    <t>ZX_PE-MB-M-118125</t>
  </si>
  <si>
    <t>Legend 3.3 Oz Edp Men</t>
  </si>
  <si>
    <t>ZX_PE-AU-M-109320</t>
  </si>
  <si>
    <t>Odyssey Homme White Edition 3.4 Oz Edp Men</t>
  </si>
  <si>
    <t>ZX_PE-D-W-011752</t>
  </si>
  <si>
    <t>Cool Water 3.4 Oz Edt Women</t>
  </si>
  <si>
    <t>ZX_PE-PH-W-557327</t>
  </si>
  <si>
    <t>Can Can Burlesque 3.4 Oz Edp Women</t>
  </si>
  <si>
    <t>ZX_PE-CK-W-402065</t>
  </si>
  <si>
    <t>One Shock 3.4 Oz Edt Women</t>
  </si>
  <si>
    <t>ZX_PE-HO-W-268013</t>
  </si>
  <si>
    <t>Festival Vibes 3.4 Oz Edp Women</t>
  </si>
  <si>
    <t>ZX_PE-AB-M-999332</t>
  </si>
  <si>
    <t>The Icon 3.4 Oz Edp Men</t>
  </si>
  <si>
    <t>ZX_PE-AB-M-913024</t>
  </si>
  <si>
    <t>Power Of Seduction 3.4 Oz Edt Men</t>
  </si>
  <si>
    <t>ZX_PE-AP-M-401705</t>
  </si>
  <si>
    <t>Antonio Puig</t>
  </si>
  <si>
    <t>Agua Brava 3.3 Oz Edc Men</t>
  </si>
  <si>
    <t>ZX_PE-AR-W-024194</t>
  </si>
  <si>
    <t>Body Mist Cloud 8.0 Oz Women</t>
  </si>
  <si>
    <t>ZX_PE-AR-W-025269</t>
  </si>
  <si>
    <t>Body Mist Thank U Next 8.0 Women Pink</t>
  </si>
  <si>
    <t>ZX_PE-RV-W-057993</t>
  </si>
  <si>
    <t>Revlon</t>
  </si>
  <si>
    <t>Ciara 2.3 Oz Edt Women</t>
  </si>
  <si>
    <t>ZX_PE-EMP-M-528518</t>
  </si>
  <si>
    <t>Emper</t>
  </si>
  <si>
    <t>Phantom My Hero 3.4 Oz Edp Men</t>
  </si>
  <si>
    <t>ZX_PE-JP-W-076838</t>
  </si>
  <si>
    <t>Divine 3.4 Oz Edp Women</t>
  </si>
  <si>
    <t>ZX_PE-P-M-759781</t>
  </si>
  <si>
    <t>Prada</t>
  </si>
  <si>
    <t>Luna Rossa Carbon 3.4 Oz Edt Men</t>
  </si>
  <si>
    <t>ZX_PE-SF-M-959554</t>
  </si>
  <si>
    <t>Salvatore Ferragamo</t>
  </si>
  <si>
    <t>Incanto Blue 3.4 Oz Edt Men</t>
  </si>
  <si>
    <t>ZX_PE-JD-W-342016</t>
  </si>
  <si>
    <t>Jesus Del Pozo</t>
  </si>
  <si>
    <t>Halloween 3.4 Oz Edt Women</t>
  </si>
  <si>
    <t>ZX_PE-BHA-M-062073</t>
  </si>
  <si>
    <t>Blue 3.4 Oz Edp Men</t>
  </si>
  <si>
    <t>ZX_PE-CH-M-057209</t>
  </si>
  <si>
    <t>Bad Boy Extreme 5.1 Oz Edp Men</t>
  </si>
  <si>
    <t>ZX_PE-LCH-W-527900</t>
  </si>
  <si>
    <t>Le Chameau</t>
  </si>
  <si>
    <t>Arabia Haya 3.4 Oz Edp Women</t>
  </si>
  <si>
    <t>ZX_PE-FW-M-375823</t>
  </si>
  <si>
    <t>Spectre Wraith 2.7 Oz Edp Men</t>
  </si>
  <si>
    <t>ZX_PE-LA-W-922975</t>
  </si>
  <si>
    <t>Lancome</t>
  </si>
  <si>
    <t>La Vie Est Belle Iris Absolue 3.4 Oz Edp Women</t>
  </si>
  <si>
    <t>ZX_PE-DK-W-004178</t>
  </si>
  <si>
    <t>Be Delicious 3.4 Oz Edp Women</t>
  </si>
  <si>
    <t>ZX_PE-V-M-872077</t>
  </si>
  <si>
    <t>Eros 3.4 Oz Parfum Men</t>
  </si>
  <si>
    <t>ZX_PE-DM-M-764171</t>
  </si>
  <si>
    <t>Nitro White 3.4 Oz Edp Men</t>
  </si>
  <si>
    <t>ZX_PE-AR-W-020301</t>
  </si>
  <si>
    <t>Ari 3.4 Oz Edp Women</t>
  </si>
  <si>
    <t>ZX_PE-AR-W-502798</t>
  </si>
  <si>
    <t>Cloud Pink 3.4 Oz Edp Women</t>
  </si>
  <si>
    <t>ZX_PE-JP-W-091251</t>
  </si>
  <si>
    <t>La Belle Paradise Garden 3.4 Oz Edp Women</t>
  </si>
  <si>
    <t>ZX_PE-JP-M-776757</t>
  </si>
  <si>
    <t>Jean Paul Gaultier Le Beau 2.5 Oz Edt Men</t>
  </si>
  <si>
    <t>ZX_PE-MB-W-113588</t>
  </si>
  <si>
    <t>Signature 3 Oz Edp Women</t>
  </si>
  <si>
    <t>ZX_PE-L-W-149440</t>
  </si>
  <si>
    <t>Touch Of Pink 3.0 Oz Edt Women</t>
  </si>
  <si>
    <t>ZX_PE-CI-M-511333</t>
  </si>
  <si>
    <t>Cristiano Ronaldo</t>
  </si>
  <si>
    <t>Cr7 Fearless 3.4 Oz Edt Men</t>
  </si>
  <si>
    <t>ZX_PE-AR-W-021711</t>
  </si>
  <si>
    <t>Sweet Like Candy 3.4 Oz Edp Women</t>
  </si>
  <si>
    <t>ZX_PE-JP-M-032278</t>
  </si>
  <si>
    <t>Le Male Le Parfum 2.5 Oz Edp Intense Men</t>
  </si>
  <si>
    <t>ZX_PE-P-M-768832</t>
  </si>
  <si>
    <t>Luna Rossa Ocean 3.4 Oz Edp Men</t>
  </si>
  <si>
    <t>ZX_PE-PR-W-010532</t>
  </si>
  <si>
    <t>Ultraviolet 2.7 Oz Edp Women</t>
  </si>
  <si>
    <t>ZX_PE-V-M-809196</t>
  </si>
  <si>
    <t>Eros 1.0 Oz Edt Men</t>
  </si>
  <si>
    <t>ZX_PE-HB-W-987569</t>
  </si>
  <si>
    <t>Hugo Extreme 2.5 Oz Edp Women</t>
  </si>
  <si>
    <t>ZX_PE-GU-W-320544</t>
  </si>
  <si>
    <t>Gold 2.5 Oz Edp Women</t>
  </si>
  <si>
    <t>ZX_PE-CK-M-196890</t>
  </si>
  <si>
    <t>In 2 U 3.4 Oz Edt Men</t>
  </si>
  <si>
    <t>ZX_PE-AH-U-813814</t>
  </si>
  <si>
    <t>Al haramain</t>
  </si>
  <si>
    <t>Detour Eco 3.4 Oz Edp Unisex</t>
  </si>
  <si>
    <t>ZX_PE-DM-M-764164</t>
  </si>
  <si>
    <t>Nitro Intense 3.4 Oz EDP for Men</t>
  </si>
  <si>
    <t>ZX_PE-NY-W-950208</t>
  </si>
  <si>
    <t>Tempted Eau So Blush 3.4 Oz Edp Women</t>
  </si>
  <si>
    <t>ZX_PE-V-M-260757</t>
  </si>
  <si>
    <t>Blue Jeans 2.5 Oz Edt Men</t>
  </si>
  <si>
    <t>ZX_PE-KP-W-191005</t>
  </si>
  <si>
    <t>Meow 3.4 Oz Edp Women</t>
  </si>
  <si>
    <t>ZX_PE-CK-W-196814</t>
  </si>
  <si>
    <t>In2U 3.4 Oz Edt Women</t>
  </si>
  <si>
    <t>ZX_PE-CH-M-002865</t>
  </si>
  <si>
    <t>Bad Boy 5.1 Oz Edp Men</t>
  </si>
  <si>
    <t>ZX_PE-CK-M-401341</t>
  </si>
  <si>
    <t>One Shock 3.4 Oz Edt Men</t>
  </si>
  <si>
    <t>ZX_PE-JP-M-076937</t>
  </si>
  <si>
    <t>Le Male Elixir 2.5 Oz Parfum Men</t>
  </si>
  <si>
    <t>ZX_PE-AU-W-188202</t>
  </si>
  <si>
    <t>Checkmate Queen 3.4 Oz  Edp Women</t>
  </si>
  <si>
    <t>ZX_PE-CK-W-162505</t>
  </si>
  <si>
    <t>Euphoria 3.3 Oz Edp Women</t>
  </si>
  <si>
    <t>ZX_PE-LA-W-169706</t>
  </si>
  <si>
    <t>La Vie Est Belle L'Elixir 3.4 Oz Edp Women Refillable</t>
  </si>
  <si>
    <t>ZX_PE-VA-W-732308</t>
  </si>
  <si>
    <t>Valentino Donna 3.4 Oz Edp Women</t>
  </si>
  <si>
    <t>ZX_PE-A-M-020409</t>
  </si>
  <si>
    <t>Azzaro</t>
  </si>
  <si>
    <t>Chorme 3.4 Oz Edt Men</t>
  </si>
  <si>
    <t>ZX_PE-CH-W-056752</t>
  </si>
  <si>
    <t>Good Girl Blush 2.7 Oz Edp Women</t>
  </si>
  <si>
    <t>ZX_PE-PR-W-588626</t>
  </si>
  <si>
    <t>Olympea Blossom 2.7 Oz Edp Women</t>
  </si>
  <si>
    <t>ZX_PE-CK-W-196876</t>
  </si>
  <si>
    <t>In2U 5 Oz Edt Women</t>
  </si>
  <si>
    <t>ZX_PE-HB-M-062483</t>
  </si>
  <si>
    <t>Hugo Jeans 2.5 Oz Edt Men</t>
  </si>
  <si>
    <t>ZX_PE-CI-M-510909</t>
  </si>
  <si>
    <t>Cr7 Game On 3.4 Oz Edt Men</t>
  </si>
  <si>
    <t>ZX_PE-RT-M-703125</t>
  </si>
  <si>
    <t>Insurrection Ii Emperor 3.0 Oz Edt Men</t>
  </si>
  <si>
    <t>ZX_PE-AU-M-102529</t>
  </si>
  <si>
    <t>El Cielo Pour Homme 3.4 Oz Edp Men</t>
  </si>
  <si>
    <t>ZX_PE-EMP-U-524893</t>
  </si>
  <si>
    <t>Stallion 53 By Emper 3.4 Oz Edp Unisex</t>
  </si>
  <si>
    <t>ZX_PE-AH-U-814910</t>
  </si>
  <si>
    <t>Amber Oud Night Dubai  3.4 Oz Edp Unisex</t>
  </si>
  <si>
    <t>ZX_PE-CK-M-107438</t>
  </si>
  <si>
    <t>One 6.7 Oz Edt Men</t>
  </si>
  <si>
    <t>ZX_PE-GI-M-439078</t>
  </si>
  <si>
    <t>Gentleman Reserve Privee 3.3 Oz Edp Men</t>
  </si>
  <si>
    <t>ZX_PE-CH-M-923245</t>
  </si>
  <si>
    <t>Bad Boy 3.4 Oz Edt Men</t>
  </si>
  <si>
    <t>ZX_PE-P-W-760164</t>
  </si>
  <si>
    <t>Paradoxe Refillable 3.0 Oz Edp Women</t>
  </si>
  <si>
    <t>ZX_PE-AU-M-094663</t>
  </si>
  <si>
    <t>Tres Nuit 3.4 Oz Edp Men</t>
  </si>
  <si>
    <t>ZX_PE-GU-M-321732</t>
  </si>
  <si>
    <t>Seductive Red 3.4 Oz Edt Men</t>
  </si>
  <si>
    <t>ZX_PE-MB-M-074827</t>
  </si>
  <si>
    <t>Legend Spirit 3.4 Oz Edt Men</t>
  </si>
  <si>
    <t>ZX_PE-V-W-993802</t>
  </si>
  <si>
    <t>Bright Crystal 1.0 Oz Edt Women</t>
  </si>
  <si>
    <t>ZX_PE-JM-U-588867</t>
  </si>
  <si>
    <t>Game Of Spades Rouge 3.4 Oz Extrait de Parfum Unisex</t>
  </si>
  <si>
    <t>ZX_PE-PCO-U-141711</t>
  </si>
  <si>
    <t>Paris Corner</t>
  </si>
  <si>
    <t>Pear Potion Emir 3.4 Oz Edp Unisex</t>
  </si>
  <si>
    <t>ZX_PE-RL-M-321794</t>
  </si>
  <si>
    <t>Polo Red 4.2 Oz Edp Men</t>
  </si>
  <si>
    <t>ZX_PE-HB-M-031415</t>
  </si>
  <si>
    <t>Dark Blue 2.5 Oz Edt Men</t>
  </si>
  <si>
    <t>ZX_PE-PH-W-565056</t>
  </si>
  <si>
    <t>Gold Rush 3.4 Oz Edp Women</t>
  </si>
  <si>
    <t>ZX_PE-LT-W-346128</t>
  </si>
  <si>
    <t>Yara 5Th Anniversary 2 Pcs Yara And Candy 3.4 Oz Women</t>
  </si>
  <si>
    <t>ZX_PE-L-M-149310</t>
  </si>
  <si>
    <t>Red 4.1 Oz Edt Men</t>
  </si>
  <si>
    <t>ZX_PE-JP-M-017206</t>
  </si>
  <si>
    <t>Le Beau 4.2 Oz Edt Men</t>
  </si>
  <si>
    <t>ZX_PE-PR-W-612635</t>
  </si>
  <si>
    <t>Olympea 2.7 Oz Edp Women</t>
  </si>
  <si>
    <t>ZX_PE-CH-M-954966</t>
  </si>
  <si>
    <t>Chic For Men 3.4 Oz Edt Men</t>
  </si>
  <si>
    <t>ZX_PE-MA-M-736579</t>
  </si>
  <si>
    <t>Kismet Magic 3.4 Oz Edp Men</t>
  </si>
  <si>
    <t>ZX_PE-AU-W-094977</t>
  </si>
  <si>
    <t>Club De Nuit Intense 3.6 Oz Edp Women</t>
  </si>
  <si>
    <t>ZX_PE-AFN-W-073949</t>
  </si>
  <si>
    <t>Supremacy Tapis Rouge 3.0 Oz Edp Women</t>
  </si>
  <si>
    <t>ZX_PE-CK-M-605514</t>
  </si>
  <si>
    <t>Eternity 3.4 Oz Edt Men</t>
  </si>
  <si>
    <t>ZX_PE-AU-M-181913</t>
  </si>
  <si>
    <t>Club De Nuit Precieux 1 Extrait De Parfum For Men  1.85 Oz</t>
  </si>
  <si>
    <t>ZX_PE-YL-W-776127</t>
  </si>
  <si>
    <t>Libre 3.0 Oz Le Parfum Women</t>
  </si>
  <si>
    <t>ZX_PE-AU-W-196467</t>
  </si>
  <si>
    <t>LionHeart 3.4 Oz Edp Women</t>
  </si>
  <si>
    <t>ZX_PE-EI-W-582206</t>
  </si>
  <si>
    <t>Billie Eilish</t>
  </si>
  <si>
    <t>Billie Eilish 3.4 Oz Edp Women</t>
  </si>
  <si>
    <t>ZX_PE-AU-M-168037</t>
  </si>
  <si>
    <t>Odyssey Mega 6.7 Edp Men</t>
  </si>
  <si>
    <t>ZX_PE-RL-M-032767</t>
  </si>
  <si>
    <t>Polo Black 4.2 Oz Edt Men</t>
  </si>
  <si>
    <t>ZX_PE-GU-W-320216</t>
  </si>
  <si>
    <t>Seductive Noir 2.5 Oz Edt Women</t>
  </si>
  <si>
    <t>ZX_PE-VR-M-659706</t>
  </si>
  <si>
    <t>Spicebomb Extreme 3 Oz EDP for Men</t>
  </si>
  <si>
    <t>ZX_PE-N-M-834032</t>
  </si>
  <si>
    <t>Voyage 6.7 Oz Edt Men</t>
  </si>
  <si>
    <t>ZX_PE-JM-U-043293</t>
  </si>
  <si>
    <t>Zodiac Scorpio 3.4 Oz Edp Unisex</t>
  </si>
  <si>
    <t>ZX_PE-JD-M-008578</t>
  </si>
  <si>
    <t>Jesus del Pozo</t>
  </si>
  <si>
    <t>Mystery 4.2 Oz Edp Men</t>
  </si>
  <si>
    <t>ZX_PE-TH-W-408032</t>
  </si>
  <si>
    <t>Tommy Hilfiger</t>
  </si>
  <si>
    <t>Now Girl 3.4 Oz Edt Women</t>
  </si>
  <si>
    <t>ZX_PE-CQ-W-881429</t>
  </si>
  <si>
    <t>Happy Heart 3.4 Oz Parfum Women</t>
  </si>
  <si>
    <t>ZX_PE-ZI-U-072904</t>
  </si>
  <si>
    <t>Grandeur 3.4 Oz  Edp Unisex</t>
  </si>
  <si>
    <t>ZX_PE-A-M-521307</t>
  </si>
  <si>
    <t>The Most Wanted Intense 3.4 Oz Edp Men</t>
  </si>
  <si>
    <t>ZX_PE-LT-M-542638</t>
  </si>
  <si>
    <t>Asad Zanzibar 3.4 Oz Men Edp</t>
  </si>
  <si>
    <t>ZX_PE-AFN-U-072980</t>
  </si>
  <si>
    <t>Set 9 Pm 3.4 Oz Edp Unisex + 6.07 Oz Shower Gel + 8.4 Oz Deo</t>
  </si>
  <si>
    <t>ZX_PE-DG-M-188116</t>
  </si>
  <si>
    <t>Light Blue 3.3 Oz Edt men</t>
  </si>
  <si>
    <t>ZX_PE-LT-U-590189</t>
  </si>
  <si>
    <t>Maahir Legacy 3.4 Oz Edp Unisex</t>
  </si>
  <si>
    <t>ZX_PE-OR-U-811568</t>
  </si>
  <si>
    <t>Orientica</t>
  </si>
  <si>
    <t>Royal Amber 2.7 Oz Edp Unisex</t>
  </si>
  <si>
    <t>ZX_PE-MA-M-730324</t>
  </si>
  <si>
    <t>Yeah 3.4 Oz Edp Men</t>
  </si>
  <si>
    <t>ZX_PE-V-M-813858</t>
  </si>
  <si>
    <t>Eros 6.8 Oz Edt Men</t>
  </si>
  <si>
    <t>ZX_PE-AE-W-120486</t>
  </si>
  <si>
    <t>Aeropostale</t>
  </si>
  <si>
    <t>Set Sweet Dream 3.4 Oz Body Mist &amp; Candle &amp; 3.0 Oz Body Lotion Women</t>
  </si>
  <si>
    <t>ZX_PE-K-W-420625</t>
  </si>
  <si>
    <t>Kenzo</t>
  </si>
  <si>
    <t>Amour 3.4 Oz Edp Women</t>
  </si>
  <si>
    <t>ZX_PE-DM-M-762870</t>
  </si>
  <si>
    <t>Nitro Platinum 3.4 Oz Edp Men</t>
  </si>
  <si>
    <t>ZX_PE-CK-U-537763</t>
  </si>
  <si>
    <t>One Gold 3.4 Oz Edt Unisex</t>
  </si>
  <si>
    <t>ZX_PE-BHA-W-947118</t>
  </si>
  <si>
    <t xml:space="preserve">Bharara </t>
  </si>
  <si>
    <t>Champagne Pink 3.4 Oz Edp Women</t>
  </si>
  <si>
    <t>ZX_PE-AB-W-034972</t>
  </si>
  <si>
    <t>The Icon Women 3.4 Oz Edp</t>
  </si>
  <si>
    <t>ZX_PE-LT-M-735411</t>
  </si>
  <si>
    <t>Asad 3.4 Oz Edp Men</t>
  </si>
  <si>
    <t>ZX_PE-N-M-758786</t>
  </si>
  <si>
    <t>Voyage Sport 3.3 Oz Edt Men</t>
  </si>
  <si>
    <t>ZX_PE-AH-U-131587</t>
  </si>
  <si>
    <t>Amber Oud Gold 6.7 Oz Edp Unisex</t>
  </si>
  <si>
    <t>ZX_PE-AU-M-163513</t>
  </si>
  <si>
    <t>Club de Nuit Urban Man Elixir 3.6 Oz Edp Men</t>
  </si>
  <si>
    <t>ZX_PE-ADI-M-397597</t>
  </si>
  <si>
    <t>Team Force 3.4 Oz Edt Men</t>
  </si>
  <si>
    <t>ZX_PE-OR-U-811513</t>
  </si>
  <si>
    <t>Amber Rouge 2.7 Oz Edp Unisex</t>
  </si>
  <si>
    <t>ZX_PE-LT-M-598345</t>
  </si>
  <si>
    <t>The Kingdom 3.4 Oz Edp Men</t>
  </si>
  <si>
    <t>ZX_PE-MA-U-459141</t>
  </si>
  <si>
    <t>Baroque Rouge 540 3.4 oz Edp Unisex</t>
  </si>
  <si>
    <t>ZX_PE-LA-W-286555</t>
  </si>
  <si>
    <t>La Vie Est Belle 3.4 Oz Edp Women</t>
  </si>
  <si>
    <t>ZX_PE-LT-W-599120</t>
  </si>
  <si>
    <t>Her Confession 3.4 Oz Edp Women</t>
  </si>
  <si>
    <t>ZX_PE-AU-M-102642</t>
  </si>
  <si>
    <t>Club De Nuit Urban Man 3.6 Oz Edp Men</t>
  </si>
  <si>
    <t>ZX_PE-JP-M-076944</t>
  </si>
  <si>
    <t>Le Male Elixir 4.2 Oz Parfum Men</t>
  </si>
  <si>
    <t>ZX_PE-AFN-U-000983</t>
  </si>
  <si>
    <t>Supremacy Gold 3.4 Oz Edp Unisex</t>
  </si>
  <si>
    <t>ZX_PE-LT-U-456485</t>
  </si>
  <si>
    <t>Rave Now Black 3.4 Oz Edp Unisex</t>
  </si>
  <si>
    <t>ZX_PE-EM-M-040588</t>
  </si>
  <si>
    <t>Emporio Armani Stronger With You  3.4 Oz Edt Men</t>
  </si>
  <si>
    <t>ZX_PE-MO-U-878611</t>
  </si>
  <si>
    <t>Toy 2 Pearl 3.4 Oz Edp Unisex</t>
  </si>
  <si>
    <t>ZX_PE-CD-M-368247</t>
  </si>
  <si>
    <t>Sauvage 3.4 Oz Edp Men</t>
  </si>
  <si>
    <t>ZX_PE-AH-U-130122</t>
  </si>
  <si>
    <t>Amber Oud Gold 3.4 Oz Edp Unisex</t>
  </si>
  <si>
    <t>ZX_PE-AU-W-801116</t>
  </si>
  <si>
    <t>Club De Nuit Maleka 3.6 Oz Edp Women</t>
  </si>
  <si>
    <t>ZX_PE-LT-U-735572</t>
  </si>
  <si>
    <t>Mohra Silky Rose 3.4 Oz Women</t>
  </si>
  <si>
    <t>ZX_PE-AH-M-813067</t>
  </si>
  <si>
    <t>Amber Oud Gold Edition Extreme 3.3 Oz Edp &amp; 0.3 Oz Edp Men</t>
  </si>
  <si>
    <t>ZX_PE-MO-W-864089</t>
  </si>
  <si>
    <t>Toy 2 Bubble Gum 3.4 Oz Edt Women</t>
  </si>
  <si>
    <t>ZX_PE-FW-U-372723</t>
  </si>
  <si>
    <t>Spectre Ghost 2.7 Oz Edp Unisex</t>
  </si>
  <si>
    <t>ZX_PE-AU-M-160727</t>
  </si>
  <si>
    <t>Odyssey Wild One 3.4 Oz Edp Men</t>
  </si>
  <si>
    <t>ZX_PE-LT-M-456379</t>
  </si>
  <si>
    <t>Asdaaf Andaleeb  3.4 Oz Edp Men</t>
  </si>
  <si>
    <t>ZX_PE-PR-M-614592</t>
  </si>
  <si>
    <t>Phantom Parfum 3.4 Oz Men</t>
  </si>
  <si>
    <t>ZX_PE-PR-W-599417</t>
  </si>
  <si>
    <t>Olympea Solar 2.7 Oz Women</t>
  </si>
  <si>
    <t>ZX_PE-AU-M-131017</t>
  </si>
  <si>
    <t>Club De Nuit Intense Parfum 5.1 Edp Men</t>
  </si>
  <si>
    <t>ZX_PE-L-W-228671</t>
  </si>
  <si>
    <t>Eau De French Panache 3.0 Oz Edt Women</t>
  </si>
  <si>
    <t>ZX_PE-AU-W-164336</t>
  </si>
  <si>
    <t>Club De Nuit Parfum Oil 18Ml Edp Women</t>
  </si>
  <si>
    <t>ZX_PE-CK-M-107407</t>
  </si>
  <si>
    <t>One 3.4 Oz Edt Men</t>
  </si>
  <si>
    <t>ZX_PE-AU-M-166132</t>
  </si>
  <si>
    <t>Odyssey Aqua 3.4 Oz Edp Men</t>
  </si>
  <si>
    <t>ZX_PE-MB-W-028424</t>
  </si>
  <si>
    <t>Individuel 2.5 Oz Edt Women</t>
  </si>
  <si>
    <t>ZX_PE-HB-M-623373</t>
  </si>
  <si>
    <t>Hugo Energise 2.5 Oz Edt Men</t>
  </si>
  <si>
    <t>ZX_PE-AU-M-163889</t>
  </si>
  <si>
    <t>Tag Uomo Rosso 3.4 Oz Edp Men</t>
  </si>
  <si>
    <t>ZX_PE-MO-W-807871</t>
  </si>
  <si>
    <t>Pink Bouquet 3.4 Oz Edt Women</t>
  </si>
  <si>
    <t>ZX_PE-LT-U-599458</t>
  </si>
  <si>
    <t>Najdia Intense 3.4 Oz Edp Unisex</t>
  </si>
  <si>
    <t>ZX_PE-CD-M-567572</t>
  </si>
  <si>
    <t>Sauvage Elixir 2.0 Oz Edp Men</t>
  </si>
  <si>
    <t>ZX_PE-GA-M-953696</t>
  </si>
  <si>
    <t>Acqua Di Gio Profondo 3.3 Oz Parfum Men</t>
  </si>
  <si>
    <t>ZX_PE-JP-M-065191</t>
  </si>
  <si>
    <t>Scandal Le Parfum 3.4 Oz Edp Intense Men</t>
  </si>
  <si>
    <t>ZX_PE-IM-M-485448</t>
  </si>
  <si>
    <t>Leau Dissey Pour Homme 6.7 Oz Edt Men</t>
  </si>
  <si>
    <t>ZX_PE-AU-M-189612</t>
  </si>
  <si>
    <t>Odyssey Aqua Edition 2.0 Oz Edp Men</t>
  </si>
  <si>
    <t>ZX_PE-AH-U-137275</t>
  </si>
  <si>
    <t>Detour Noir 3.4 Oz Edp Unisex</t>
  </si>
  <si>
    <t>ZX_PE-N-M-686833</t>
  </si>
  <si>
    <t>Voyage Heritage 3.4 Oz Edt Men</t>
  </si>
  <si>
    <t>ZX_PE-FW-U-488203</t>
  </si>
  <si>
    <t>Barakkat Rouge 540 3.3 Oz Edp Unisex</t>
  </si>
  <si>
    <t>ZX_PE-YL-M-898478</t>
  </si>
  <si>
    <t>Ysl Y 3.4 Oz Edp Men Intense</t>
  </si>
  <si>
    <t>ZX_PE-CH-W-838778</t>
  </si>
  <si>
    <t>212 Vip Rose 4.2 Oz Edp Women</t>
  </si>
  <si>
    <t>ZX_PE-GA-M-636513</t>
  </si>
  <si>
    <t>Armani Code 4.2 Oz Edt Men Refillable</t>
  </si>
  <si>
    <t>ZX_PE-BHA-M-062004</t>
  </si>
  <si>
    <t>Viking Dubai 3.4 Oz Edp Men</t>
  </si>
  <si>
    <t>ZX_PE-OR-U-158340</t>
  </si>
  <si>
    <t>Set  Mini Luxury Collection Royal Amber, Royal Blue, Velvet Gold, Saffron, Amber Rouge 7.5Ml (5Pcs)</t>
  </si>
  <si>
    <t>ZX_PE-AU-W-102246</t>
  </si>
  <si>
    <t>Le Parfait 3.4 Oz Edp Women</t>
  </si>
  <si>
    <t>ZX_PE-HO-W-261113</t>
  </si>
  <si>
    <t>Wave 2 3.4 Oz Edp Women</t>
  </si>
  <si>
    <t>ZX_PE-MA-M-590776</t>
  </si>
  <si>
    <t>Salvo Elixir 2.0 Oz Edp Men</t>
  </si>
  <si>
    <t>ZX_PE-MF-W-609160</t>
  </si>
  <si>
    <t>Maison Francis Kurkdjian</t>
  </si>
  <si>
    <t>Baccarat Rouge 540 Extrait De Parfum 6.8 Oz Women</t>
  </si>
  <si>
    <t>ZX_PE-CRE-M-251749</t>
  </si>
  <si>
    <t>Creed</t>
  </si>
  <si>
    <t>Absolu Aventus 2.5 Oz Edp Men</t>
  </si>
  <si>
    <t>ZX_PE-CRE-M-001114</t>
  </si>
  <si>
    <t>Aventus Men 3.4 Oz Edp Men</t>
  </si>
  <si>
    <t>ZX_PE-CRE-M-001275</t>
  </si>
  <si>
    <t>Aventus Cologne 3.3 Oz Men</t>
  </si>
  <si>
    <t>ZX_PE-CRE-M-001039</t>
  </si>
  <si>
    <t>Millesime Imperial 3.4 Oz Edp Men</t>
  </si>
  <si>
    <t>ZX_PE-CRE-M-561114</t>
  </si>
  <si>
    <t>Tester Aventus 3.4 Oz Edp Men</t>
  </si>
  <si>
    <t>ZX_PE-CHA-W-165203</t>
  </si>
  <si>
    <t>Chanel</t>
  </si>
  <si>
    <t>Coco Mademoiselle 3.4 Oz Edp Women</t>
  </si>
  <si>
    <t>ZX_PE-CD-M-428545</t>
  </si>
  <si>
    <t>Sauvage 6.8 Oz Edp Men</t>
  </si>
  <si>
    <t>ZX_PE-BD-W-000346</t>
  </si>
  <si>
    <t>Nuits De Noho 3.4 Oz Edp Women</t>
  </si>
  <si>
    <t>ZX_PE-CD-W-237116</t>
  </si>
  <si>
    <t>Jadore 5.0 Oz Edp Women</t>
  </si>
  <si>
    <t>ZX_PE-CD-M-321129</t>
  </si>
  <si>
    <t>Sauvage 6.7 Oz Edt Men</t>
  </si>
  <si>
    <t>ZX_PE-YL-M-128971</t>
  </si>
  <si>
    <t>Ysl Y 6.7 Oz Edp Men</t>
  </si>
  <si>
    <t>ZX_PE-JP-M-062190</t>
  </si>
  <si>
    <t>Le Beau Le Parfum 4.2 oz Edp Intense Men</t>
  </si>
  <si>
    <t>ZX_PE-P-W-961707</t>
  </si>
  <si>
    <t>Paradoxe Intense 3.0 Oz Edp Women</t>
  </si>
  <si>
    <t>ZX_PE-MF-U-616178</t>
  </si>
  <si>
    <t>Baccarat Rouge 540 Perfume Oil 2.4 oz Unisex</t>
  </si>
  <si>
    <t>ZX_PE-VA-M-790826</t>
  </si>
  <si>
    <t>Uomo Born In Roma Intense 3.4 Oz Edp Men</t>
  </si>
  <si>
    <t>ZX_PE-VA-W-790840</t>
  </si>
  <si>
    <t>Donna Born In Roma Intense 3.4 Oz Edp Women</t>
  </si>
  <si>
    <t>ZX_PE-VA-W-320701</t>
  </si>
  <si>
    <t>Set Donna Born In Roma 2 Pcs 1.7 Oz Edp 0.5 Oz Edp Women</t>
  </si>
  <si>
    <t>ZX_PE-GA-M-907521</t>
  </si>
  <si>
    <t>Acqua Di Gio 4.2 Oz Parfum Men</t>
  </si>
  <si>
    <t>ZX_PE-TF-U-117685</t>
  </si>
  <si>
    <t>Tom Ford</t>
  </si>
  <si>
    <t>Ombre Leather Parfum 1.7 Oz Edp Unisex</t>
  </si>
  <si>
    <t>ZX_PE-CD-W-296632</t>
  </si>
  <si>
    <t>Jadore 3.4 Oz Edt Women</t>
  </si>
  <si>
    <t>ZX_PE-CH-W-083659</t>
  </si>
  <si>
    <t>Good Girl Blush Elixir 2.7 Oz Women</t>
  </si>
  <si>
    <t>ZX_PE-CH-W-026342</t>
  </si>
  <si>
    <t>Good Girl 2.7 Oz Edp Women</t>
  </si>
  <si>
    <t>ZX_PE-GA-M-195089</t>
  </si>
  <si>
    <t>Armani Code 3.7 Oz Edp Men</t>
  </si>
  <si>
    <t>ZX_PE-JP-M-091275</t>
  </si>
  <si>
    <t>Le Beau Paradise Garden 4.2 Oz Edp Men</t>
  </si>
  <si>
    <t>ZX_PE-GA-M-865235</t>
  </si>
  <si>
    <t>Acqua Di Gio Profondo 4.2 Oz Edp Men</t>
  </si>
  <si>
    <t>ZX_PE-JP-M-032315</t>
  </si>
  <si>
    <t>Le Male Le Parfum 4.2 Oz Edp Intense Men</t>
  </si>
  <si>
    <t>ZX_PE-TF-U-117463</t>
  </si>
  <si>
    <t>Costa Azzurra 1.7 Oz Edp Unisex</t>
  </si>
  <si>
    <t>ZX_PE-VA-M-761469</t>
  </si>
  <si>
    <t>Uomo Born In Roma 3.4 Oz Edt Men</t>
  </si>
  <si>
    <t>ZX_PE-YL-M-050358</t>
  </si>
  <si>
    <t>Y 3.4 Oz Edp Men</t>
  </si>
  <si>
    <t>ZX_PE-BV-M-833700</t>
  </si>
  <si>
    <t>Pour Homme Extreme 3.4 Oz Edt Men</t>
  </si>
  <si>
    <t>ZX_PE-G-M-626383</t>
  </si>
  <si>
    <t>Guilty Black 3.0 Oz Edt Men</t>
  </si>
  <si>
    <t>ZX_PE-YL-W-258180</t>
  </si>
  <si>
    <t>Black Opium 3 Oz Edp Women</t>
  </si>
  <si>
    <t>ZX_PE-VA-W-790857</t>
  </si>
  <si>
    <t>Donna Born In Roma Intense 1.7 Oz Edp Women</t>
  </si>
  <si>
    <t>ZX_PE-VA-M-672412</t>
  </si>
  <si>
    <t>Born In Roma Coral Fantasy 3.4 Oz Edt Men</t>
  </si>
  <si>
    <t>ZX_PE-CD-M-368254</t>
  </si>
  <si>
    <t>Sauvage 2 Oz Edp Men</t>
  </si>
  <si>
    <t>ZX_PE-BV-W-420566</t>
  </si>
  <si>
    <t>Omnia Crystalline 3.4 Oz Edt Women</t>
  </si>
  <si>
    <t>ZX_PE-VA-W-761438</t>
  </si>
  <si>
    <t>Donna Born In Roma 1.7  Oze Dp Women</t>
  </si>
  <si>
    <t>ZX_PE-PR-M-599127</t>
  </si>
  <si>
    <t>Invictus Platinum 6.7 Oz Edp Men</t>
  </si>
  <si>
    <t>ZX_PE-GR-W-131408</t>
  </si>
  <si>
    <t>Guerlain</t>
  </si>
  <si>
    <t>Mon Guerlain 3.4 Oz Edp Women</t>
  </si>
  <si>
    <t>ZX_PE-TM-W-764926</t>
  </si>
  <si>
    <t>Angel Elixir 3.4 Oz Edp Women Refillable</t>
  </si>
  <si>
    <t>ZX_PE-A-M-258073</t>
  </si>
  <si>
    <t>Forever Wanted Elixir Parfum 3.38 Oz Men</t>
  </si>
  <si>
    <t>ZX_PE-CH-M-024485</t>
  </si>
  <si>
    <t>Hot Hot Hot 3.4 Oz Edp Men</t>
  </si>
  <si>
    <t>ZX_PE-CR-M-502100</t>
  </si>
  <si>
    <t>Cartier</t>
  </si>
  <si>
    <t>Declaration Men 5.0 Oz Edt Men</t>
  </si>
  <si>
    <t>ZX_PE-G-W-481005</t>
  </si>
  <si>
    <t>Bloom 3.3 Oz Edp Women</t>
  </si>
  <si>
    <t>ZX_PE-EM-M-219579</t>
  </si>
  <si>
    <t>Emporio Armani Stronger With You 3.3 Oz Parfum Men</t>
  </si>
  <si>
    <t>ZX_PE-MM-M-932105</t>
  </si>
  <si>
    <t>Maison Margiela</t>
  </si>
  <si>
    <t>Replica Jazz Club 3.4 Oz Edt</t>
  </si>
  <si>
    <t>ZX_PE-BV-M-413858</t>
  </si>
  <si>
    <t>Man In Black Men 3.4 Oz Edp Men</t>
  </si>
  <si>
    <t>ZX_PE-MT-M-457354</t>
  </si>
  <si>
    <t>Montale</t>
  </si>
  <si>
    <t>Arabians Tonka 3.4 Oz Edp Women</t>
  </si>
  <si>
    <t>ZX_PE-BV-M-402739</t>
  </si>
  <si>
    <t>Blv 3.4 Oz Edt Men</t>
  </si>
  <si>
    <t>ZX_PE-LA-W-235500</t>
  </si>
  <si>
    <t>Hypnose 2.5 Oz Edp Women</t>
  </si>
  <si>
    <t>ZX_PE-GA-M-225718</t>
  </si>
  <si>
    <t>Emporio Armani Stronger With You Intensely 3.4 Oz Edp Men</t>
  </si>
  <si>
    <t>ZX_PE-LA-W-992054</t>
  </si>
  <si>
    <t>La Vie Est Belle Intensement 3.4 Oz Edp Women</t>
  </si>
  <si>
    <t>ZX_PE-G-W-395089</t>
  </si>
  <si>
    <t>Guilty Love Edition 3.0 Edt Women</t>
  </si>
  <si>
    <t>ZX_PE-JP-W-006408</t>
  </si>
  <si>
    <t>Scandal 2.7 Oz Edp Women</t>
  </si>
  <si>
    <t>ZX_PE-OR-U-270621</t>
  </si>
  <si>
    <t>Set Oud Saffron 2.8 Oz Edp Unisex</t>
  </si>
  <si>
    <t>ZX_PE-OR-U-158296</t>
  </si>
  <si>
    <t>Set  Oud Saffron 2.7 Oz +Mini +Atomizer + Bag</t>
  </si>
  <si>
    <t>ZX_PE-OR-U-158319</t>
  </si>
  <si>
    <t>Set  Royal Bleu 3 Pcs 2.7 Oz Edp + 0.25 Oz Mini Perfume + Pouch Bag</t>
  </si>
  <si>
    <t>ZX_PE-OR-U-158326</t>
  </si>
  <si>
    <t>Set  Velvet Gold 3 Pcs 2.7 Oz Edp Sp + 0.25 Oz Mini Perfume + Pouch Bag</t>
  </si>
  <si>
    <t>ZX_PE-CH-M-057056</t>
  </si>
  <si>
    <t>Bad Boy Extreme 3.4 Oz Edp Men</t>
  </si>
  <si>
    <t>ZX_PE-AJ-U-007479</t>
  </si>
  <si>
    <t>Ajmal</t>
  </si>
  <si>
    <t>Cuir Musc 3.4 Oz Edp Unisex</t>
  </si>
  <si>
    <t>ZX_PE-PR-M-588732</t>
  </si>
  <si>
    <t>Invictus Victory 3.4 Oz Edp Extreme Men</t>
  </si>
  <si>
    <t>ZX_PE-GA-M-662420</t>
  </si>
  <si>
    <t>Acqua Gio 4.2 Oz Edp Men Refillable</t>
  </si>
  <si>
    <t>ZX_PE-V-W-871230</t>
  </si>
  <si>
    <t>Set Yellow Diamond 3 Oz Edt &amp; Body Lotion 3.4 Oz &amp; Shower Gel 3.4 Oz Bag Women</t>
  </si>
  <si>
    <t>ZX_PE-P-M-544962</t>
  </si>
  <si>
    <t>Luna Rossa Sport 3.4 Oz Edt Men</t>
  </si>
  <si>
    <t>ZX_PE-V-M-846627</t>
  </si>
  <si>
    <t>Eros Flame 6.7 Oz Edp Men</t>
  </si>
  <si>
    <t>ZX_PE-PR-M-599110</t>
  </si>
  <si>
    <t>Invictus Platinium 3.4 Oz Edp Men</t>
  </si>
  <si>
    <t>ZX_PE-CH-M-028933</t>
  </si>
  <si>
    <t>Bad Boy Gold Fantasy 3.4 Oz Edt Men</t>
  </si>
  <si>
    <t>ZX_PE-VA-M-672122</t>
  </si>
  <si>
    <t>Born In Roma Coral Fantasy 1.7 Oz Edt Men</t>
  </si>
  <si>
    <t>ZX_PE-ARM-M-604833</t>
  </si>
  <si>
    <t>Code Le Parfum 2.5 Oz Edp Men</t>
  </si>
  <si>
    <t>ZX_PE-PR-W-608324</t>
  </si>
  <si>
    <t>Set Olympea 2.7 Oz Edp Women + 3.4 Oz Body Lotion</t>
  </si>
  <si>
    <t>ZX_PE-VA-W-073882</t>
  </si>
  <si>
    <t>Voce Viva 1.7 Oz Edp Women</t>
  </si>
  <si>
    <t>ZX_PE-JP-M-030885</t>
  </si>
  <si>
    <t>Scandal 3.4 Oz Edt Men</t>
  </si>
  <si>
    <t>ZX_PE-BHA-U-947705</t>
  </si>
  <si>
    <t>Niche Parfum 6.7 Oz Edp Unisex</t>
  </si>
  <si>
    <t>ZX_PE-AC-M-150029</t>
  </si>
  <si>
    <t>Acqua Di Parma</t>
  </si>
  <si>
    <t>Colonia Club 3.4 Oz Edc Men</t>
  </si>
  <si>
    <t>ZX_PE-OR-U-158289</t>
  </si>
  <si>
    <t>Set  Amber Rouge 2.7 + 7.5 Ml Mini Perfume + Pouch Bag (3Pcs)</t>
  </si>
  <si>
    <t>ZX_PE-PR-M-582297</t>
  </si>
  <si>
    <t>Phantom 3.4 Oz Edt Men</t>
  </si>
  <si>
    <t>ZX_PE-BV-W-402852</t>
  </si>
  <si>
    <t>Omnia Crystalline 2.2 Oz Edt Women</t>
  </si>
  <si>
    <t>ZX_PE-G-M-339047</t>
  </si>
  <si>
    <t>Guilty 3 Oz Edt Men</t>
  </si>
  <si>
    <t>ZX_PE-HE-M-009603</t>
  </si>
  <si>
    <t>Hermes</t>
  </si>
  <si>
    <t>Terre Dhermes 3.4 Oz Edt Men</t>
  </si>
  <si>
    <t>ZX_PE-G-W-524177</t>
  </si>
  <si>
    <t>Guilty Absolute 3 Oz Edp Women</t>
  </si>
  <si>
    <t>ZX_PE-JM-U-043354</t>
  </si>
  <si>
    <t>Game Of Spades Emerald 3.0 Oz Parfum Unisex</t>
  </si>
  <si>
    <t>ZX_PE-GA-M-636568</t>
  </si>
  <si>
    <t>Code 2.5 Oz Edt Men Refillable</t>
  </si>
  <si>
    <t>ZX_PE-VA-M-024784</t>
  </si>
  <si>
    <t>Uomo Born In Roma Green Stravaganza 1.7 Oz Edt Men</t>
  </si>
  <si>
    <t>ZX_PE-CH-W-026250</t>
  </si>
  <si>
    <t>Good Girl 1.7 Oz Edp Women</t>
  </si>
  <si>
    <t>ZX_PE-JM-W-141703</t>
  </si>
  <si>
    <t>I Want Choo Le Parfum 3.4 Oz  Women</t>
  </si>
  <si>
    <t>ZX_PE-CH-M-067925</t>
  </si>
  <si>
    <t>Ch 3.4 Oz Edt Men</t>
  </si>
  <si>
    <t>ZX_PE-JM-U-248694</t>
  </si>
  <si>
    <t>Game Of Spades Jackpot 3.4 Oz Edp Unisex</t>
  </si>
  <si>
    <t>ZX_PE-GA-M-058878</t>
  </si>
  <si>
    <t>Acqua Di Gio 3.4 Oz Edt Men</t>
  </si>
  <si>
    <t>ZX_PE-MT-W-450065</t>
  </si>
  <si>
    <t>Intense Cafe 3.4 Oz Edp Women</t>
  </si>
  <si>
    <t>ZX_PE-AC-M-270024</t>
  </si>
  <si>
    <t>Colonia Pura 3.4 Oz Edc Men</t>
  </si>
  <si>
    <t>ZX_PE-CH-M-056660</t>
  </si>
  <si>
    <t>ZX_PE-P-M-478755</t>
  </si>
  <si>
    <t>Luna Rossa 3.4 Oz Edt Men</t>
  </si>
  <si>
    <t>ZX_PE-G-M-912076</t>
  </si>
  <si>
    <t>Guilty 3.0 Oz Edt Men</t>
  </si>
  <si>
    <t>ZX_PE-AU-M-164299</t>
  </si>
  <si>
    <t>Cdn Iconic 6.8 Oz Edp Men</t>
  </si>
  <si>
    <t>ZX_PE-BHA-M-062141</t>
  </si>
  <si>
    <t>King Parfum 3.4 Oz Men</t>
  </si>
  <si>
    <t>ZX_PE-NR-W-844858</t>
  </si>
  <si>
    <t>Narciso Rodriguez</t>
  </si>
  <si>
    <t>Rouge 3 Oz Edp Women</t>
  </si>
  <si>
    <t>ZX_PE-BV-M-403897</t>
  </si>
  <si>
    <t>Man Wood Neroli 3.4 Oz Edp Men</t>
  </si>
  <si>
    <t>ZX_PE-JP-M-076203</t>
  </si>
  <si>
    <t>Le Male Pride 4.2 Oz Edt Men Limited Edit 2023</t>
  </si>
  <si>
    <t>ZX_PE-BHA-M-947668</t>
  </si>
  <si>
    <t>King 6.7 Oz Edp Men</t>
  </si>
  <si>
    <t>ZX_PE-BHA-M-947514</t>
  </si>
  <si>
    <t>Set King 4 Pcs Set 3.4 Oz Edp &amp; 5.0 Oz Body Lotion &amp; 3.4 Oz After Shave &amp; 5.0 Oz Shower Gel Men</t>
  </si>
  <si>
    <t>ZX_PE-YL-M-375079</t>
  </si>
  <si>
    <t>L'Homme La Nuit 3.3 Oz Edt Men</t>
  </si>
  <si>
    <t>ZX_PE-GI-W-411685</t>
  </si>
  <si>
    <t>L'Interdit Intense 1.7 Oz Edp Women</t>
  </si>
  <si>
    <t>ZX_PE-OR-U-158050</t>
  </si>
  <si>
    <t>Amber Noir 2.8 Oz Edp Unisex</t>
  </si>
  <si>
    <t>ZX_PE-K-W-404182</t>
  </si>
  <si>
    <t>Flower 3.4 Oz Edp Women</t>
  </si>
  <si>
    <t>ZX_PE-V-M-801619</t>
  </si>
  <si>
    <t>Pour Hommee 6.7 Edt Edt Men</t>
  </si>
  <si>
    <t>ZX_PE-GA-W-225671</t>
  </si>
  <si>
    <t>In Love With You 3.4 Oz Edp Women</t>
  </si>
  <si>
    <t>ZX_PE-CH-M-043868</t>
  </si>
  <si>
    <t>212 Nyc 3.4 Oz Edt Men</t>
  </si>
  <si>
    <t>ZX_PE-BHA-M-062011</t>
  </si>
  <si>
    <t>Viking Cairo  3.4 Oz Edp Men</t>
  </si>
  <si>
    <t>ZX_PE-CH-W-972168</t>
  </si>
  <si>
    <t>Good Girl Supreme 1.7 Oz Edp Women</t>
  </si>
  <si>
    <t>ZX_PE-V-W-070462</t>
  </si>
  <si>
    <t>Crystal Noir 3 Oz Edp Women</t>
  </si>
  <si>
    <t>ZX_PE-GI-W-432918</t>
  </si>
  <si>
    <t>Ysatis 3.4 Oz Edt Women</t>
  </si>
  <si>
    <t>ZX_PE-HB-W-298924</t>
  </si>
  <si>
    <t>The Scent 3.4 Oz Edp Women</t>
  </si>
  <si>
    <t>ZX_PE-BHA-M-947538</t>
  </si>
  <si>
    <t>Don 3.4 Oz Edp Men</t>
  </si>
  <si>
    <t>ZX_PE-RL-M-047240</t>
  </si>
  <si>
    <t>Polo Blue 6.8 Oz Edt Men</t>
  </si>
  <si>
    <t>ZX_PE-GI-W-394643</t>
  </si>
  <si>
    <t>Hot Couture 3.4 Oz Edp Women</t>
  </si>
  <si>
    <t>ZX_PE-BV-W-415623</t>
  </si>
  <si>
    <t>Omnia Floral 2.2 Oz Edp Women</t>
  </si>
  <si>
    <t>ZX_PE-GI-W-428041</t>
  </si>
  <si>
    <t>L'Interdit Rouge 1.7 Oz Edp Women</t>
  </si>
  <si>
    <t>ZX_PE-V-M-861224</t>
  </si>
  <si>
    <t>Eros 3.4 Oz Edp Men</t>
  </si>
  <si>
    <t>ZX_PE-NR-M-999251</t>
  </si>
  <si>
    <t>Bleu Noir Extreme 3.3 Oz Edt Men</t>
  </si>
  <si>
    <t>ZX_PE-NR-M-807655</t>
  </si>
  <si>
    <t>Bleu Noir 3.4 Oz Edp Men</t>
  </si>
  <si>
    <t>ZX_PE-GI-M-425002</t>
  </si>
  <si>
    <t>Gentleman Boisee 2.0 Oz Edp Men</t>
  </si>
  <si>
    <t>ZX_PE-NR-W-818750</t>
  </si>
  <si>
    <t>Fleur Musc 3.3 Oz Edp Women</t>
  </si>
  <si>
    <t>ZX_PE-CH-W-934234</t>
  </si>
  <si>
    <t>Carolina Herrera 3.4 Oz Edp Women</t>
  </si>
  <si>
    <t>ZX_PE-DG-M-180356</t>
  </si>
  <si>
    <t>Light Blue 6.7 Oz Edt Men</t>
  </si>
  <si>
    <t>ZX_PE-BHA-U-062349</t>
  </si>
  <si>
    <t>Chocolate 3.4 Oz Edp Unisex</t>
  </si>
  <si>
    <t>ZX_PE-AH-U-133451</t>
  </si>
  <si>
    <t>Amber Oud Private Edition Unisex 4.0 Oz Edp</t>
  </si>
  <si>
    <t>ZX_PE-VA-M-732230</t>
  </si>
  <si>
    <t>Uomo 1.7 Oz Edt Men</t>
  </si>
  <si>
    <t>ZX_PE-RL-M-859251</t>
  </si>
  <si>
    <t>Polo Blue 4.2 Oz Edp Men</t>
  </si>
  <si>
    <t>ZX_PE-MO-M-893836</t>
  </si>
  <si>
    <t>Set moschino Toy Boy 3.4 Oz Men</t>
  </si>
  <si>
    <t>ZX_PE-V-M-803132</t>
  </si>
  <si>
    <t>Eau Fraiche 6.7 Oz Edt Men</t>
  </si>
  <si>
    <t>ZX_PE-DG-W-032816</t>
  </si>
  <si>
    <t>Light Blue Intense 3.4 Oz Edp Women</t>
  </si>
  <si>
    <t>ZX_PE-BHA-U-062042</t>
  </si>
  <si>
    <t>Niche 3.4 Oz Edp Unisex</t>
  </si>
  <si>
    <t>ZX_PE-V-M-809219</t>
  </si>
  <si>
    <t>Eros 3.4 Oz Edt Men</t>
  </si>
  <si>
    <t>ZX_PE-L-M-896045</t>
  </si>
  <si>
    <t>L.12.12 Pure White 5.9 Oz Edt Men</t>
  </si>
  <si>
    <t>ZX_PE-V-W-827343</t>
  </si>
  <si>
    <t>Eros 3.4 Oz Edt Women</t>
  </si>
  <si>
    <t>ZX_PE-GI-W-396180</t>
  </si>
  <si>
    <t>Ange Ou Demon 1.7 Oz Edp Women</t>
  </si>
  <si>
    <t>ZX_PE-HB-M-220897</t>
  </si>
  <si>
    <t>Infinite 3.3 Oz Edp Men</t>
  </si>
  <si>
    <t>ZX_PE-JM-U-043286</t>
  </si>
  <si>
    <t>Zodiac libra 3.4 Oz Edp Unisex</t>
  </si>
  <si>
    <t>ZX_PE-GI-M-012136</t>
  </si>
  <si>
    <t>Gentlemen Only 3.4 Oz Edt Men</t>
  </si>
  <si>
    <t>ZX_PE-PR-W-594603</t>
  </si>
  <si>
    <t>Fame 1.0 Oz Edp Women</t>
  </si>
  <si>
    <t>ZX_PE-BHA-W-062059</t>
  </si>
  <si>
    <t>Niche Femme 3.4 Oz Edp Women</t>
  </si>
  <si>
    <t>ZX_PE-LT-U-592145</t>
  </si>
  <si>
    <t>Niche Emarati Al Jawhara  3.4 Oz Edp Unisex</t>
  </si>
  <si>
    <t>ZX_PE-AR-W-028611</t>
  </si>
  <si>
    <t>Cloud Intense 3.4 Oz Edp Women</t>
  </si>
  <si>
    <t>ZX_PE-DG-W-020233</t>
  </si>
  <si>
    <t>Light Blue 3.3 Oz Edt Women</t>
  </si>
  <si>
    <t>ZX_PE-HB-M-828535</t>
  </si>
  <si>
    <t>Boss # 6 3.4 Oz Edp Men</t>
  </si>
  <si>
    <t>ZX_PE-K-W-427204</t>
  </si>
  <si>
    <t>Flower 3.3 Oz Edp  Women Refillable</t>
  </si>
  <si>
    <t>ZX_PE-V-W-071469</t>
  </si>
  <si>
    <t>Crystal Noir 3.0 Oz Edt Women</t>
  </si>
  <si>
    <t>ZX_PE-YL-M-003842</t>
  </si>
  <si>
    <t>Kouros 1.6 Oz Edt Men</t>
  </si>
  <si>
    <t>ZX_PE-BHA-M-062066</t>
  </si>
  <si>
    <t>Double Blue 3.4 Oz Edp Men</t>
  </si>
  <si>
    <t>ZX_PE-IM-M-132158</t>
  </si>
  <si>
    <t>L'Eau Majeure D'Issey 5.0 Oz Edt Men</t>
  </si>
  <si>
    <t>ZX_PE-DG-W-183661</t>
  </si>
  <si>
    <t>Queen 3.4 Oz Edp Women</t>
  </si>
  <si>
    <t>ZX_PE-AU-U-180251</t>
  </si>
  <si>
    <t>Club De Nuit Oud Edp 3.5 Oz Unisex</t>
  </si>
  <si>
    <t>ZX_PE-MB-M-083287</t>
  </si>
  <si>
    <t>Legend Spirit 6.7 Oz Edt Men</t>
  </si>
  <si>
    <t>ZX_PE-C-W-775047</t>
  </si>
  <si>
    <t>Cacharel</t>
  </si>
  <si>
    <t>Yes I Am 2.5 Oz Edp Women</t>
  </si>
  <si>
    <t>ZX_PE-JM-M-582064</t>
  </si>
  <si>
    <t>Raees Vert 3.4 Oz Edp Men</t>
  </si>
  <si>
    <t>ZX_PE-GI-M-395503</t>
  </si>
  <si>
    <t>Pi 3.3 Oz Edt Men</t>
  </si>
  <si>
    <t>ZX_PE-AU-W-165012</t>
  </si>
  <si>
    <t>Club Key Life 3.4 Oz Extrait De Parfum  Women</t>
  </si>
  <si>
    <t>ZX_PE-AU-W-165029</t>
  </si>
  <si>
    <t>Club Key Love 3.4 Oz Extrait De Parfum Women</t>
  </si>
  <si>
    <t>ZX_PE-GI-M-424999</t>
  </si>
  <si>
    <t>Gentlemen 2.0 Oz Edt Men</t>
  </si>
  <si>
    <t>ZX_PE-JM-M-582071</t>
  </si>
  <si>
    <t>Raees Gold 786 3.4 Oz Edp Men</t>
  </si>
  <si>
    <t>ZX_PE-NR-M-806054</t>
  </si>
  <si>
    <t>For Him Bleu Noir 3.3 Oz Edt Men</t>
  </si>
  <si>
    <t>ZX_PE-PR-M-515653</t>
  </si>
  <si>
    <t>Invictus 1.7 Oz Edt  Men</t>
  </si>
  <si>
    <t>ZX_PE-AU-U-165005</t>
  </si>
  <si>
    <t>Private Key To My Success 3.4 Oz Extrait Parfum Unisex</t>
  </si>
  <si>
    <t>ZX_PE-MB-M-101035</t>
  </si>
  <si>
    <t>Explorer 3.3 Oz Edp Men</t>
  </si>
  <si>
    <t>ZX_PE-CH-W-711804</t>
  </si>
  <si>
    <t>212 Vip 1.7 Oz Edp Women</t>
  </si>
  <si>
    <t>ZX_PE-AR-W-501623</t>
  </si>
  <si>
    <t>Set Ari 3.4 Oz Edp Women + 4.0 Body Mits + 3.4 Oz B/C</t>
  </si>
  <si>
    <t>ZX_PE-NC-W-207016</t>
  </si>
  <si>
    <t>Nina Ricci</t>
  </si>
  <si>
    <t>Lair Du Temps 3.4 Oz Edt Women</t>
  </si>
  <si>
    <t>ZX_PE-AU-M-195361</t>
  </si>
  <si>
    <t>Set Odyssey Mandarin 3.4 Oz 4Pc Edp Men</t>
  </si>
  <si>
    <t>ZX_PE-V-W-070264</t>
  </si>
  <si>
    <t>Crystal Noir 1.7 Oz Edp Women</t>
  </si>
  <si>
    <t>ZX_PE-MO-W-893850</t>
  </si>
  <si>
    <t>Set  MoschinoToy Boy Pearl 2 1.7 Oz  Women</t>
  </si>
  <si>
    <t>ZX_PE-CH-W-071601</t>
  </si>
  <si>
    <t>Chic 2.7 Oz Edp Women</t>
  </si>
  <si>
    <t>ZX_PE-MB-M-135818</t>
  </si>
  <si>
    <t>Explorer Platinum 3.4 Oz Edp Men</t>
  </si>
  <si>
    <t>ZX_PE-AH-M-130160</t>
  </si>
  <si>
    <t>Amber Oud Carbon Edition 3.4 Oz Edp Men</t>
  </si>
  <si>
    <t>ZX_PE-PP-W-600192</t>
  </si>
  <si>
    <t>Paloma Picasso</t>
  </si>
  <si>
    <t>Paloma Picasso By Paloma Picasso 3.4 oz EDP For Women</t>
  </si>
  <si>
    <t>ZX_PE-AH-M-130375</t>
  </si>
  <si>
    <t>Amber Oud Rouge 2.0  Edp Men</t>
  </si>
  <si>
    <t>ZX_PE-LT-U-592954</t>
  </si>
  <si>
    <t>Gharam 3.4 Oz Edp Unisex</t>
  </si>
  <si>
    <t>ZX_PE-MZ-W-071125</t>
  </si>
  <si>
    <t>Mercedes Benz</t>
  </si>
  <si>
    <t>Woman In Red 3.0 Oz Edp Women</t>
  </si>
  <si>
    <t>ZX_PE-CO-M-096867</t>
  </si>
  <si>
    <t>Coach</t>
  </si>
  <si>
    <t>New York Platinium 3.3 Oz Edp Men</t>
  </si>
  <si>
    <t>ZX_PE-MO-W-826711</t>
  </si>
  <si>
    <t>Fresh Couture 3.4 Oz Edt Women</t>
  </si>
  <si>
    <t>ZX_PE-CH-M-746196</t>
  </si>
  <si>
    <t>Ch Sport Men 3.4 Oz Edt Men</t>
  </si>
  <si>
    <t>ZX_PE-AH-U-132317</t>
  </si>
  <si>
    <t>Amber Oud Black 3.4 Oz Edp Unisex</t>
  </si>
  <si>
    <t>ZX_PE-CO-U-108119</t>
  </si>
  <si>
    <t>Floral 3 Oz Edp Unisex</t>
  </si>
  <si>
    <t>ZX_PE-AU-W-101270</t>
  </si>
  <si>
    <t>Set Club de Nuit Women 4 Pzas Edp 3.4 Oz</t>
  </si>
  <si>
    <t>ZX_PE-AU-M-164992</t>
  </si>
  <si>
    <t>Club Private Key To My Dream 3.4 Oz Extrait De Parfum Men</t>
  </si>
  <si>
    <t>ZX_PE-CO-M-086325</t>
  </si>
  <si>
    <t>New York 3.4 Oz Edt Men</t>
  </si>
  <si>
    <t>ZX_PE-EL-W-043317</t>
  </si>
  <si>
    <t>Estee Lauder</t>
  </si>
  <si>
    <t>Pleasures 3.4 Oz Edp Women</t>
  </si>
  <si>
    <t>ZX_PE-PE-M-014664</t>
  </si>
  <si>
    <t>Set 360 Red 3.4 Oz Edt &amp; Body Mist 6 Oz &amp; Shower Gel 3 Oz &amp; Edt 0.25 Oz Men</t>
  </si>
  <si>
    <t>ZX_PE-RT-M-700056</t>
  </si>
  <si>
    <t>Insurrection Ii Pure Extreme 3 Oz Edp Men</t>
  </si>
  <si>
    <t>ZX_PE-AFN-W-075752</t>
  </si>
  <si>
    <t>Delicious Bouquet 2.8 Oz Edp Women</t>
  </si>
  <si>
    <t>ZX_PE-AU-M-168020</t>
  </si>
  <si>
    <t>Odyssey Mandarin Sky 6.7 Oz Edp Men</t>
  </si>
  <si>
    <t>ZX_PE-SF-M-896547</t>
  </si>
  <si>
    <t>Ferragamo Signature Uomo 3.4 Oz Edp Men</t>
  </si>
  <si>
    <t>ZX_PE-LW-W-059541</t>
  </si>
  <si>
    <t>Loewe</t>
  </si>
  <si>
    <t>Agua Mar De Coral 3.3 Oz Edt Women</t>
  </si>
  <si>
    <t>ZX_PE-AFN-M-075738</t>
  </si>
  <si>
    <t>9 Pm Elixir Parfum 3.4 Oz Men</t>
  </si>
  <si>
    <t>ZX_PE-C-W-843188</t>
  </si>
  <si>
    <t>Set Amor Amor 3.4 Oz Edt Women + 1.0 Oz Edt Women</t>
  </si>
  <si>
    <t>ZX_PE-EA-W-255954</t>
  </si>
  <si>
    <t>Elizabeth Arden</t>
  </si>
  <si>
    <t>Set Red Door 3.4 Oz Edt Women 3Pcs+3.4 Oz Body Lotion + 3.4 Shower Gel</t>
  </si>
  <si>
    <t>ZX_PE-MB-W-132763</t>
  </si>
  <si>
    <t>Signature Absolue 3.0 Edp Women</t>
  </si>
  <si>
    <t>ZX_PE-RL-M-697028</t>
  </si>
  <si>
    <t>Polo Blue Parfum 2.5 Oz Men</t>
  </si>
  <si>
    <t>ZX_PE-LT-W-340027</t>
  </si>
  <si>
    <t>Set Yara 3.4 Oz + 6.8 Oz Deo + 1.7 Oz Hairmist Edp Women</t>
  </si>
  <si>
    <t>ZX_PE-JD-M-001814</t>
  </si>
  <si>
    <t>Halloween Man 6.7 Oz Edt Men</t>
  </si>
  <si>
    <t>ZX_PE-AR-W-022480</t>
  </si>
  <si>
    <t>Moonlight 3.4 Oz Edp Women</t>
  </si>
  <si>
    <t>ZX_PE-DG-M-020783</t>
  </si>
  <si>
    <t>Pour Homme 2.5 Oz Edt Men</t>
  </si>
  <si>
    <t>ZX_PE-LT-U-592206</t>
  </si>
  <si>
    <t>Art Of Universe 3.4 Oz Edp Unisex</t>
  </si>
  <si>
    <t>ZX_PE-SDJ-U-032248</t>
  </si>
  <si>
    <t>Sol De Janeiro</t>
  </si>
  <si>
    <t>Body Mist Brazilian Crush Cheirosa 68 8.1 Oz Unisex</t>
  </si>
  <si>
    <t>ZX_PE-JU-W-047718</t>
  </si>
  <si>
    <t>Juicy Couture</t>
  </si>
  <si>
    <t>Viva La Juicy Women 3.4 Oz Edp</t>
  </si>
  <si>
    <t>ZX_PE-TH-M-420126</t>
  </si>
  <si>
    <t>ZX_PE-MB-M-032681</t>
  </si>
  <si>
    <t>Legend 3.3 Oz Edt Men</t>
  </si>
  <si>
    <t>ZX_PE-AFN-M-070214</t>
  </si>
  <si>
    <t>Supremacy Not Only Intense 3.4 Oz Edp Men</t>
  </si>
  <si>
    <t>ZX_PE-AH-U-130986</t>
  </si>
  <si>
    <t>Musk Maliki 3.4 Oz Edp Unisex</t>
  </si>
  <si>
    <t>ZX_PE-RS-U-178065</t>
  </si>
  <si>
    <t>Hawas Fire 3.4 Oz Edp Unisex</t>
  </si>
  <si>
    <t>ZX_PE-NC-W-207054</t>
  </si>
  <si>
    <t>Lair Du Temps 1.7 oz EDP for Women</t>
  </si>
  <si>
    <t>ZX_PE-PR-M-515714</t>
  </si>
  <si>
    <t>Invictus 3.4 Oz After Shave Men</t>
  </si>
  <si>
    <t>ZX_PE-JD-W-002682</t>
  </si>
  <si>
    <t>Halloween 6.7 Oz Edt Women</t>
  </si>
  <si>
    <t>ZX_PE-AU-M-188660</t>
  </si>
  <si>
    <t>Odyssey Artisto Limited Edition 3.4 Oz Edp Men</t>
  </si>
  <si>
    <t>ZX_PE-AU-M-805022</t>
  </si>
  <si>
    <t>Odyssey Mandarin Sky Elixir 3.4 Oz Edp Men</t>
  </si>
  <si>
    <t>ZX_PE-AU-M-196450</t>
  </si>
  <si>
    <t>LionHeart 3.4 Oz Edp Men</t>
  </si>
  <si>
    <t>ZX_PE-BN-W-550303</t>
  </si>
  <si>
    <t>Tribu 3.4 Oz Edt Women</t>
  </si>
  <si>
    <t>ZX_PE-AU-M-163926</t>
  </si>
  <si>
    <t>Odyssey Black 6.8 Oz Edp Men</t>
  </si>
  <si>
    <t>ZX_PE-LT-W-340041</t>
  </si>
  <si>
    <t>Set Yara Tous 3.4 Oz + 6.8 Oz Deo + 1.7 Oz Hairmist Edp Women</t>
  </si>
  <si>
    <t>ZX_PE-DI-M-673855</t>
  </si>
  <si>
    <t>Only The Brave High 2.5 Oz Edt Men</t>
  </si>
  <si>
    <t>ZX_PE-JL-W-000081</t>
  </si>
  <si>
    <t>Jennifer Lopez</t>
  </si>
  <si>
    <t>Jl One 3.4 Oz Edp Women</t>
  </si>
  <si>
    <t>ZX_PE-JM-M-064118</t>
  </si>
  <si>
    <t>Man 3.4 Oz Edt Men</t>
  </si>
  <si>
    <t>ZX_PE-GA-M-058939</t>
  </si>
  <si>
    <t>Acqua Di Gio 1.0 Oz Edt Men</t>
  </si>
  <si>
    <t>ZX_PE-CK-W-162543</t>
  </si>
  <si>
    <t>Euphoria 1.6 Oz Edp Women</t>
  </si>
  <si>
    <t>ZX_PE-HB-M-823806</t>
  </si>
  <si>
    <t>Hugo 4.2 Oz Edt Men</t>
  </si>
  <si>
    <t>ZX_PE-MB-M-087940</t>
  </si>
  <si>
    <t>Legend Night 3.4 Oz Edp Men</t>
  </si>
  <si>
    <t>ZX_PE-MB-M-121514</t>
  </si>
  <si>
    <t>Explorer Ultra Blue 3.4 Oz Edp Men</t>
  </si>
  <si>
    <t>ZX_PE-AN-W-000037</t>
  </si>
  <si>
    <t>Animale</t>
  </si>
  <si>
    <t>Animale 3.4 Oz Edp Women</t>
  </si>
  <si>
    <t>ZX_PE-JU-W-628365</t>
  </si>
  <si>
    <t>Juicy Viva La Rose 3.4 Oz Edp Women</t>
  </si>
  <si>
    <t>ZX_PE-PE-W-013308</t>
  </si>
  <si>
    <t>Set 360 Purple 3.4 Oz Edp &amp; Body Mist 4.0 Oz &amp; Shower Gel 3.0 Oz &amp; Mini  0.25 Oz Women</t>
  </si>
  <si>
    <t>ZX_PE-SF-M-371804</t>
  </si>
  <si>
    <t>Ferragamo Uomo 3.4 Oz Edt Men</t>
  </si>
  <si>
    <t>ZX_PE-DG-M-026747</t>
  </si>
  <si>
    <t>Tester Light Blue 4.2 Oz Edt Men</t>
  </si>
  <si>
    <t>ZX_PE-V-W-823512</t>
  </si>
  <si>
    <t>Eros Pour Femme 1.0 Oz Edp Women</t>
  </si>
  <si>
    <t>ZX_PE-LT-W-340119</t>
  </si>
  <si>
    <t>Set Mayar With 3.4 Oz Edp + 6.6 Oz Deo + 1.7 Oz Hairmist</t>
  </si>
  <si>
    <t>ZX_PE-AU-M-164329</t>
  </si>
  <si>
    <t>Club De Nuit Parfum Oil 18Ml Edp Men</t>
  </si>
  <si>
    <t>ZX_PE-JU-W-167062</t>
  </si>
  <si>
    <t>Juicy Viva Noir 3.4 Oz Edp Women</t>
  </si>
  <si>
    <t>ZX_PE-L-W-459949</t>
  </si>
  <si>
    <t>Rose Intense 3.4 Oz Edt Women</t>
  </si>
  <si>
    <t>ZX_PE-V-M-995950</t>
  </si>
  <si>
    <t>Signature 1.7 oz EDT for Men</t>
  </si>
  <si>
    <t>ZX_PE-DG-M-020509</t>
  </si>
  <si>
    <t>Light Blue 2.5 Oz Edt Men</t>
  </si>
  <si>
    <t>ZX_PE-HB-M-351018</t>
  </si>
  <si>
    <t>Bottled 1.6 Oz Edt Men</t>
  </si>
  <si>
    <t>ZX_PE-HB-W-683553</t>
  </si>
  <si>
    <t>Deep Red 3.0 Oz Edp Women</t>
  </si>
  <si>
    <t>ZX_PE-AU-W-164350</t>
  </si>
  <si>
    <t>Club De Nuit Parfum Oil Intense 18Ml Edp Women</t>
  </si>
  <si>
    <t>ZX_PE-AU-M-188134</t>
  </si>
  <si>
    <t>Checkmate King 3.4 Oz Edp Men</t>
  </si>
  <si>
    <t>ZX_PE-BU-M-748682</t>
  </si>
  <si>
    <t>Burberry</t>
  </si>
  <si>
    <t>Touch 3.3 Oz Edt Men</t>
  </si>
  <si>
    <t>ZX_PE-AH-U-131297</t>
  </si>
  <si>
    <t>Opulent Saffron 3.3 Oz Unisex</t>
  </si>
  <si>
    <t>ZX_PE-SF-W-891504</t>
  </si>
  <si>
    <t>Signorina Eleganza 3.4 Oz Edp Women</t>
  </si>
  <si>
    <t>ZX_PE-BU-W-905666</t>
  </si>
  <si>
    <t>Classic 3.4 Oz Edp Women</t>
  </si>
  <si>
    <t>ZX_PE-V-M-996766</t>
  </si>
  <si>
    <t>The Dreamer 3.4 Oz Edt Men</t>
  </si>
  <si>
    <t>ZX_PE-AH-W-131273</t>
  </si>
  <si>
    <t>Opulent Sapphire 3.3 Oz Edp Women</t>
  </si>
  <si>
    <t>ZX_PE-IM-M-113683</t>
  </si>
  <si>
    <t>Tester Issey Miyake 4.2 Oz Edt Men</t>
  </si>
  <si>
    <t>ZX_PE-AU-M-159851</t>
  </si>
  <si>
    <t>Bucephalus XII Blue Edp 3.4 oz</t>
  </si>
  <si>
    <t>ZX_PE-MP-U-223890</t>
  </si>
  <si>
    <t>Milan Parfums</t>
  </si>
  <si>
    <t>Secret Oud Special Edition 3.4 Oz Edp Unisex</t>
  </si>
  <si>
    <t>ZX_PE-JD-M-007250</t>
  </si>
  <si>
    <t>Halloween Man Hero 4.2 Oz Edt Men</t>
  </si>
  <si>
    <t>ZX_PE-LT-W-598338</t>
  </si>
  <si>
    <t>Angham 3.4 Oz Edp Women</t>
  </si>
  <si>
    <t>ZX_PE-DI-M-534064</t>
  </si>
  <si>
    <t>Only The Brave Tattoo 1.7 Oz Edt Men</t>
  </si>
  <si>
    <t>ZX_PE-TO-W-501148</t>
  </si>
  <si>
    <t>Touch Floral 3.4 Oz Edt Women</t>
  </si>
  <si>
    <t>ZX_PE-TH-W-040126</t>
  </si>
  <si>
    <t>Tommy Girl 3.4 Oz Edt Women</t>
  </si>
  <si>
    <t>ZX_PE-SF-W-959899</t>
  </si>
  <si>
    <t>Signorina In Fiore 3.4 Oz Edt Women</t>
  </si>
  <si>
    <t>ZX_PE-AU-M-197136</t>
  </si>
  <si>
    <t>Beach Party 3.4 Oz Edp Men</t>
  </si>
  <si>
    <t>ZX_PE-V-W-071162</t>
  </si>
  <si>
    <t>Crystal Noir 1.0 oz EDT for Women</t>
  </si>
  <si>
    <t>ZX_PE-LT-M-591957</t>
  </si>
  <si>
    <t>Pride La Collection - 1910 (Bike)  3.4 Oz Edp Men</t>
  </si>
  <si>
    <t>ZX_PE-SF-M-377479</t>
  </si>
  <si>
    <t>Uomo Urban Feel 3.4 Oz Edt Men</t>
  </si>
  <si>
    <t>ZX_PE-AH-W-130849</t>
  </si>
  <si>
    <t>Junoon Rose 2.5 Oz Edp Women</t>
  </si>
  <si>
    <t>ZX_PE-C-W-063680</t>
  </si>
  <si>
    <t>Amor Amor 3.4 Oz Edt Women</t>
  </si>
  <si>
    <t>ZX_PE-DI-M-534132</t>
  </si>
  <si>
    <t>Only The Brave Tattoo 2.5 Oz Edt Men</t>
  </si>
  <si>
    <t>ZX_PE-SA-U-024290</t>
  </si>
  <si>
    <t>Swiss Arabian</t>
  </si>
  <si>
    <t>Casa Blanca 3.4 Oz Edp Unisex</t>
  </si>
  <si>
    <t>ZX_PE-C-W-507206</t>
  </si>
  <si>
    <t>Anais Anais Loriginal 1.7 Oz Edt Women</t>
  </si>
  <si>
    <t>ZX_PE-HB-W-057989</t>
  </si>
  <si>
    <t>White 3 Oz Edp Women</t>
  </si>
  <si>
    <t>ZX_PE-BT-M-970012</t>
  </si>
  <si>
    <t>Bentley Infinite 3.4 Oz Edt Men</t>
  </si>
  <si>
    <t>ZX_PE-DI-M-320833</t>
  </si>
  <si>
    <t>Only The Brave Street 4.2 Oz Edt Men</t>
  </si>
  <si>
    <t>ZX_PE-AH-U-132287</t>
  </si>
  <si>
    <t>Amber Oud Black 2.0 Oz Edp Unisex</t>
  </si>
  <si>
    <t>ZX_PE-GU-W-329882</t>
  </si>
  <si>
    <t>Set Gold 3 Pc 2.5 Oz Edp / 6.7 Oz Body Lotion / 0.5 Oz Edp  Women</t>
  </si>
  <si>
    <t>ZX_PE-AU-W-168129</t>
  </si>
  <si>
    <t>Miss Chic 3.4 Oz Edp Women</t>
  </si>
  <si>
    <t>ZX_PE-GI-M-152566</t>
  </si>
  <si>
    <t>Insense Ultramarine 3.4 Oz Edt Men</t>
  </si>
  <si>
    <t>ZX_PE-AN-M-000174</t>
  </si>
  <si>
    <t>Animale 3.4 Oz Edt Men</t>
  </si>
  <si>
    <t>ZX_PE-V-M-140103</t>
  </si>
  <si>
    <t>Lhomme 3.3 Oz Edt Men</t>
  </si>
  <si>
    <t>ZX_PE-CQ-M-080310</t>
  </si>
  <si>
    <t>Happy 3.4 Oz Edc Men</t>
  </si>
  <si>
    <t>ZX_PE-HB-W-041353</t>
  </si>
  <si>
    <t>Femme 2.5 Oz Edp Women</t>
  </si>
  <si>
    <t>ZX_PE-DM-U-761897</t>
  </si>
  <si>
    <t>Nitro Blue 3.4 Oz Edp Unisex</t>
  </si>
  <si>
    <t>ZX_PE-DI-M-946592</t>
  </si>
  <si>
    <t>Fuel For Life 4.2 Oz Edt Men</t>
  </si>
  <si>
    <t>ZX_PE-JO-M-000608</t>
  </si>
  <si>
    <t>Joop</t>
  </si>
  <si>
    <t>Homme Joop 4.2 Oz Edt Men</t>
  </si>
  <si>
    <t>ZX_PE-PR-U-081318</t>
  </si>
  <si>
    <t>Paco 3.4 Oz Edt Edt Black Can Unisex</t>
  </si>
  <si>
    <t>ZX_PE-DM-M-268207</t>
  </si>
  <si>
    <t>Nitro Black 3.4 Oz Edp Men</t>
  </si>
  <si>
    <t>ZX_PE-MB-M-028462</t>
  </si>
  <si>
    <t>Starwalker 2.5 Oz Edt Men</t>
  </si>
  <si>
    <t>ZX_PE-TH-M-024324</t>
  </si>
  <si>
    <t>Tommy Men 3.4 Oz Edt Men No Cellophane</t>
  </si>
  <si>
    <t>ZX_PE-MA-U-340553</t>
  </si>
  <si>
    <t>Jean Lowe Vibe 3.4 Oz Edp Unisex</t>
  </si>
  <si>
    <t>ZX_PE-TO-W-508734</t>
  </si>
  <si>
    <t>Baby Pink Friends 3.4 Oz Edc Women</t>
  </si>
  <si>
    <t>ZX_PE-CK-M-100514</t>
  </si>
  <si>
    <t>Escape 3.4 Oz Edt Men</t>
  </si>
  <si>
    <t>ZX_PE-CK-W-401822</t>
  </si>
  <si>
    <t>One Shock 6.7 Oz Edt Women</t>
  </si>
  <si>
    <t>ZX_PE-SF-W-114755</t>
  </si>
  <si>
    <t>Incanto Shine 3.4 Oz Edt Women</t>
  </si>
  <si>
    <t>ZX_PE-AH-W-137565</t>
  </si>
  <si>
    <t>Laventure Femme 3.4 Oz Edp Women</t>
  </si>
  <si>
    <t>ZX_PE-A-M-011476</t>
  </si>
  <si>
    <t>Azzaro 3.4 Oz Edt Men</t>
  </si>
  <si>
    <t>ZX_PE-PE-W-000599</t>
  </si>
  <si>
    <t>360 3.4 Oz Edt Women</t>
  </si>
  <si>
    <t>ZX_PE-CI-M-511142</t>
  </si>
  <si>
    <t>Cr7 Origins 3.4 Oz Edt  Men</t>
  </si>
  <si>
    <t>ZX_PE-ET-W-022705</t>
  </si>
  <si>
    <t>White Diamonds 3.3 Oz Edt Women</t>
  </si>
  <si>
    <t>ZX_PE-BHA-M-947156</t>
  </si>
  <si>
    <t>Prestige 3.4 Oz Edp Men</t>
  </si>
  <si>
    <t>ZX_PE-BOU-M-036405</t>
  </si>
  <si>
    <t>Boucheron</t>
  </si>
  <si>
    <t>Boucheron 3.4 Oz Edt Men</t>
  </si>
  <si>
    <t>ZX_PE-PR-W-597277</t>
  </si>
  <si>
    <t>Olympea 0.5 Oz Edp Women</t>
  </si>
  <si>
    <t>ZX_PE-MB-W-028356</t>
  </si>
  <si>
    <t>Presence 2.5 Oz Edt Women</t>
  </si>
  <si>
    <t>ZX_PE-CK-M-104437</t>
  </si>
  <si>
    <t>Be 6.7 Oz Edt Men</t>
  </si>
  <si>
    <t>ZX_PE-JS-W-540060</t>
  </si>
  <si>
    <t>Jessica Simpson</t>
  </si>
  <si>
    <t>Fancy Love 3.4 Oz Edp Women</t>
  </si>
  <si>
    <t>ZX_PE-PH-M-521700</t>
  </si>
  <si>
    <t>Just Me 3.4 Oz Edt Men</t>
  </si>
  <si>
    <t>ZX_PE-CK-W-196869</t>
  </si>
  <si>
    <t>In 2 U 5.1 Oz Edt Women</t>
  </si>
  <si>
    <t>ZX_PE-MK-W-366455</t>
  </si>
  <si>
    <t>Michael Kors</t>
  </si>
  <si>
    <t>Wonderlust 1.7 Oz Edp Women</t>
  </si>
  <si>
    <t>ZX_PE-HB-W-238128</t>
  </si>
  <si>
    <t>Boss Orange 2.5 Oz Edt Women</t>
  </si>
  <si>
    <t>ZX_PE-JM-M-127073</t>
  </si>
  <si>
    <t>Urban Hero Gold Edition 1.7 Oz Edp Men</t>
  </si>
  <si>
    <t>ZX_PE-BHA-M-947187</t>
  </si>
  <si>
    <t>Dynamic 3.4 Oz Edp Men</t>
  </si>
  <si>
    <t>ZX_PE-LQ-W-023284</t>
  </si>
  <si>
    <t>Lalique</t>
  </si>
  <si>
    <t>Amethyst 3.3 Oz Edp Women</t>
  </si>
  <si>
    <t>ZX_PE-RH-W-543313</t>
  </si>
  <si>
    <t>Rihanna</t>
  </si>
  <si>
    <t>Rebel Fleur 3.4 Oz Edp Women</t>
  </si>
  <si>
    <t>ZX_PE-HB-M-823790</t>
  </si>
  <si>
    <t>Hugo 2.5 Oz Edt Men</t>
  </si>
  <si>
    <t>ZX_PE-PE-W-013919</t>
  </si>
  <si>
    <t>Very Purple 3.4 Oz Edp Women</t>
  </si>
  <si>
    <t>ZX_PE-EL-M-521433</t>
  </si>
  <si>
    <t>Pleasures 3.4 Oz Edc Men</t>
  </si>
  <si>
    <t>ZX_PE-EA-W-558420</t>
  </si>
  <si>
    <t>Red Door 3.4 Oz Edt Women</t>
  </si>
  <si>
    <t>ZX_PE-PE-M-006911</t>
  </si>
  <si>
    <t>Aqua 3.4 Oz Edt Men</t>
  </si>
  <si>
    <t>ZX_PE-AU-M-164367</t>
  </si>
  <si>
    <t>Club De Nuit Sillage Perfume Oli 18Ml Men</t>
  </si>
  <si>
    <t>ZX_PE-EA-W-390600</t>
  </si>
  <si>
    <t>5Th Avenue 4.2 Oz Edp Women</t>
  </si>
  <si>
    <t>ZX_PE-HB-M-823837</t>
  </si>
  <si>
    <t>Hugo Just Different 2.5 Oz Edt Men No Cellophane</t>
  </si>
  <si>
    <t>ZX_PE-AU-U-109306</t>
  </si>
  <si>
    <t>Odyssey Femme White 2.7 Oz Edp Unisex</t>
  </si>
  <si>
    <t>ZX_PE-ZI-U-075646</t>
  </si>
  <si>
    <t>Modesh Aura 3.4 Oz Edp Unisex</t>
  </si>
  <si>
    <t>ZX_PE-V-M-500013</t>
  </si>
  <si>
    <t>Eau Fraiche 1.0 Oz Edt Men</t>
  </si>
  <si>
    <t>ZX_PE-BS-W-262170</t>
  </si>
  <si>
    <t>Fantasy Jungle 3.4 Oz Edt Women</t>
  </si>
  <si>
    <t>ZX_PE-CI-M-510008</t>
  </si>
  <si>
    <t>Cr7 3.4 Oz Edt Men</t>
  </si>
  <si>
    <t>ZX_PE-CK-W-603404</t>
  </si>
  <si>
    <t>Obsession 3.4 Oz Edp Women</t>
  </si>
  <si>
    <t>ZX_PE-GU-M-327802</t>
  </si>
  <si>
    <t>Forever 2.5 Oz Edt Men</t>
  </si>
  <si>
    <t>ZX_PE-LQ-M-007468</t>
  </si>
  <si>
    <t>Lion Pour Homme 4.2 Oz Edp Men</t>
  </si>
  <si>
    <t>ZX_PE-TL-W-002554</t>
  </si>
  <si>
    <t>Ted Lapidus</t>
  </si>
  <si>
    <t>Lapidus 3.3 Oz Edt Women</t>
  </si>
  <si>
    <t>ZX_PE-AU-W-161496</t>
  </si>
  <si>
    <t>Le Parfait Azure 3.3 Oz  Edp Women</t>
  </si>
  <si>
    <t>ZX_PE-PCO-U-523157</t>
  </si>
  <si>
    <t>Emir Frenetic Delicieuse 2.7 Oz Edp Unisex</t>
  </si>
  <si>
    <t>ZX_PE-LT-U-591858</t>
  </si>
  <si>
    <t>Asdaaf Oud Thameen 3.4 Oz Edp Unisex</t>
  </si>
  <si>
    <t>ZX_PE-CK-M-644844</t>
  </si>
  <si>
    <t>Ck Man 3.4 Oz Edt Men</t>
  </si>
  <si>
    <t>ZX_PE-LT-U-733806</t>
  </si>
  <si>
    <t>Qaaed Al Shabab 3.4 Oz Edp Unisex</t>
  </si>
  <si>
    <t>ZX_PE-AU-W-138320</t>
  </si>
  <si>
    <t>The Pride Of Rouge 3,4 Oz Edp Women</t>
  </si>
  <si>
    <t>ZX_PE-VX-W-127631</t>
  </si>
  <si>
    <t>Swiss Army Eau Florale 3.4 Oz Edt Women</t>
  </si>
  <si>
    <t>ZX_PE-AU-M-163896</t>
  </si>
  <si>
    <t>Tag Uomo Nero 3.4 Oz Edp Men</t>
  </si>
  <si>
    <t>ZX_PE-LT-W-590172</t>
  </si>
  <si>
    <t>Sondos 3.4 Oz Edp Women</t>
  </si>
  <si>
    <t>ZX_PE-PCO-U-205986</t>
  </si>
  <si>
    <t>Khair Fusion 3.4 Oz Edp Unisex</t>
  </si>
  <si>
    <t>ZX_PE-CK-M-106516</t>
  </si>
  <si>
    <t>Obsession 4 Oz Edt Men</t>
  </si>
  <si>
    <t>ZX_PE-MA-M-735541</t>
  </si>
  <si>
    <t>Jean Lowe Immortal 3.4 Oz Edp Men</t>
  </si>
  <si>
    <t>ZX_PE-ZI-U-075172</t>
  </si>
  <si>
    <t>Itqan Noir 3.4 Oz Edp Unisex</t>
  </si>
  <si>
    <t>ZX_PE-AB-M-035030</t>
  </si>
  <si>
    <t>Set The Icon 3.4 Oz Edp Women + 5.0 oz Deo</t>
  </si>
  <si>
    <t>ZX_PE-RA-M-331026</t>
  </si>
  <si>
    <t>Hawas 3.4 Oz Edp Men</t>
  </si>
  <si>
    <t>ZX_PE-AFN-M-002253</t>
  </si>
  <si>
    <t>Supremacy In Heaven 3.4 Oz Edp Men</t>
  </si>
  <si>
    <t>ZX_PE-PCO-U-141710</t>
  </si>
  <si>
    <t>Emir Mango Punch 3.4 Oz Edp Unisex</t>
  </si>
  <si>
    <t>ZX_PE-AB-M-737859</t>
  </si>
  <si>
    <t>Black Seduction 6.7 Oz Edt Men</t>
  </si>
  <si>
    <t>ZX_PE-AU-M-189599</t>
  </si>
  <si>
    <t>Odyssey Tyrant 2.0 Oz Edp Men</t>
  </si>
  <si>
    <t>ZX_PE-AU-M-189582</t>
  </si>
  <si>
    <t>Odyssey Mega 2.0 Oz Edp Men</t>
  </si>
  <si>
    <t>ZX_PE-CK-W-603305</t>
  </si>
  <si>
    <t>Obsession 1.7 Oz Edp Women</t>
  </si>
  <si>
    <t>ZX_PE-GU-W-000033</t>
  </si>
  <si>
    <t>Seductive Red 2.5 Oz Edt Women</t>
  </si>
  <si>
    <t>ZX_PE-AB-M-829530</t>
  </si>
  <si>
    <t>King Of Seduction Absolute 6.7 Oz Edt Men</t>
  </si>
  <si>
    <t>ZX_PE-AFN-M-040682</t>
  </si>
  <si>
    <t>Supremacy Incense 3.4 Oz Edp Men</t>
  </si>
  <si>
    <t>ZX_PE-AM-M-006719</t>
  </si>
  <si>
    <t>Aramis</t>
  </si>
  <si>
    <t>Aramis 3.7 Oz Edt Men</t>
  </si>
  <si>
    <t>ZX_PE-AU-M-189575</t>
  </si>
  <si>
    <t>Odyssey Mandarin Sky 2.2 Oz Edp Men</t>
  </si>
  <si>
    <t>ZX_PE-VX-M-127570</t>
  </si>
  <si>
    <t>Swiss Army Classic 3.4 Oz Edt Men</t>
  </si>
  <si>
    <t>ZX_PE-AB-M-737835</t>
  </si>
  <si>
    <t>Blue Seduction 6.8 Oz Edt Men</t>
  </si>
  <si>
    <t>ZX_PE-LT-U-591537</t>
  </si>
  <si>
    <t>Liam 3.4 Oz Edp Unisex</t>
  </si>
  <si>
    <t>ZX_PE-MA-U-735602</t>
  </si>
  <si>
    <t>The Trail 3.4 Oz Edp Unisex</t>
  </si>
  <si>
    <t>ZX_PE-BR-W-116184</t>
  </si>
  <si>
    <t>Banana Republic</t>
  </si>
  <si>
    <t>Malachite 3.4 Oz Edp Women</t>
  </si>
  <si>
    <t>ZX_PE-BR-W-116344</t>
  </si>
  <si>
    <t>Alabaster 3.4 Oz Edp Women</t>
  </si>
  <si>
    <t>ZX_PE-BS-W-117722</t>
  </si>
  <si>
    <t>Believe 3.3 Oz Edp Women</t>
  </si>
  <si>
    <t>ZX_PE-GL-M-474641</t>
  </si>
  <si>
    <t>Guy Laroche</t>
  </si>
  <si>
    <t>Drakkar Intense 3.4 Oz Edp Men</t>
  </si>
  <si>
    <t>ZX_PE-PCO-U-552253</t>
  </si>
  <si>
    <t>Taskeen Caramel Cascade 3.4 Oz Edp Unisex</t>
  </si>
  <si>
    <t>ZX_PE-GU-W-322210</t>
  </si>
  <si>
    <t>1981 Los Angeles 3.4 Oz Edt Women</t>
  </si>
  <si>
    <t>ZX_PE-SA-U-024832</t>
  </si>
  <si>
    <t>Shaghaf Oud 2.5 Oz Edp Unisex</t>
  </si>
  <si>
    <t>ZX_PE-JL-W-081004</t>
  </si>
  <si>
    <t>Live Luxe 3.4 Oz Edp Women</t>
  </si>
  <si>
    <t>ZX_PE-MA-U-590585</t>
  </si>
  <si>
    <t>Infini Elixir  3.4 Oz Edp Unisex</t>
  </si>
  <si>
    <t>ZX_PE-AB-M-007174</t>
  </si>
  <si>
    <t>Set The Secret Temptation 3.4 Oz Edt M+5.0 Deo</t>
  </si>
  <si>
    <t>ZX_PE-HO-M-260116</t>
  </si>
  <si>
    <t>Wave 2 3.4 Oz Edt Men</t>
  </si>
  <si>
    <t>ZX_PE-RT-W-702760</t>
  </si>
  <si>
    <t>Acqua Di Parisis Delanoe 3.4 Oz Edp Women</t>
  </si>
  <si>
    <t>ZX_PE-AB-M-791691</t>
  </si>
  <si>
    <t>The Golden Secret 6.7 Oz Edt Men</t>
  </si>
  <si>
    <t>ZX_PE-AB-M-779521</t>
  </si>
  <si>
    <t>The Secret 6.7 Oz Edt Men</t>
  </si>
  <si>
    <t>ZX_PE-PH-W-580295</t>
  </si>
  <si>
    <t>Electrify 3.4 Oz Edp Women</t>
  </si>
  <si>
    <t>ZX_PE-CK-U-162963</t>
  </si>
  <si>
    <t>All 3.4 Oz Edt Unisex</t>
  </si>
  <si>
    <t>ZX_PE-AU-M-189551</t>
  </si>
  <si>
    <t>Odyssey Homme 2.0 Oz Edp Men</t>
  </si>
  <si>
    <t>ZX_PE-EMP-M-902434</t>
  </si>
  <si>
    <t>Genius Hayati 3.4 Oz Edp Men</t>
  </si>
  <si>
    <t>ZX_PE-BHA-M-947132</t>
  </si>
  <si>
    <t>Champagne Blue 3.4 Oz Edp Men</t>
  </si>
  <si>
    <t>ZX_PE-GU-M-321312</t>
  </si>
  <si>
    <t>Night 3.4 Oz Edt Men</t>
  </si>
  <si>
    <t>ZX_PE-SDJ-U-033610</t>
  </si>
  <si>
    <t>Body Mist Rio Radiance Cheirosa 87 3.0 Oz Unisex</t>
  </si>
  <si>
    <t>ZX_PE-JL-W-080809</t>
  </si>
  <si>
    <t>Live 3.4 Oz Edp Women</t>
  </si>
  <si>
    <t>ZX_PE-AB-M-819685</t>
  </si>
  <si>
    <t>King Of Seduction 6.6 Oz Edt Men</t>
  </si>
  <si>
    <t>ZX_PE-MA-M-735534</t>
  </si>
  <si>
    <t>Jean Lowe Noir 3.4 Oz Edp  Men</t>
  </si>
  <si>
    <t>ZX_PE-LCH-W-520338</t>
  </si>
  <si>
    <t>Arabia Madame 3.4 Oz Edp Women</t>
  </si>
  <si>
    <t>ZX_PE-PCO-U-205566</t>
  </si>
  <si>
    <t>Khair Pistachio 3.4 Oz Edp Unisex</t>
  </si>
  <si>
    <t>ZX_PE-AU-M-090030</t>
  </si>
  <si>
    <t>Tag Him 3.4 Oz Edt Men</t>
  </si>
  <si>
    <t>ZX_PE-AB-W-739877</t>
  </si>
  <si>
    <t>Blue Seduction 6.7 Oz Edt Women</t>
  </si>
  <si>
    <t>ZX_PE-GU-W-321916</t>
  </si>
  <si>
    <t>1981 Indigo 3.4 Oz Edt Women</t>
  </si>
  <si>
    <t>ZX_PE-SA-U-030475</t>
  </si>
  <si>
    <t>Shaghaf Oud Aswad 2.5 Oz Edp Unisex</t>
  </si>
  <si>
    <t>ZX_PE-AU-M-102499</t>
  </si>
  <si>
    <t>Hunter Intense 3.4Oz Edt Men</t>
  </si>
  <si>
    <t>ZX_PE-BS-W-565868</t>
  </si>
  <si>
    <t>Fantasy Intense 3.4 Oz Edp Women</t>
  </si>
  <si>
    <t>ZX_PE-RT-W-700667</t>
  </si>
  <si>
    <t>Acqua Di Parisis Venizia 3.4 Oz Edp Women</t>
  </si>
  <si>
    <t>ZX_PE-LT-M-735459</t>
  </si>
  <si>
    <t>By Saffron 3.4 Oz Edp Men</t>
  </si>
  <si>
    <t>ZX_PE-AB-M-695951</t>
  </si>
  <si>
    <t>Black Seduction 3.4 Oz Edt Men</t>
  </si>
  <si>
    <t>ZX_PE-AFN-U-071044</t>
  </si>
  <si>
    <t>Zimaya Royal Leather 3.4 Oz Edp Unisex</t>
  </si>
  <si>
    <t>ZX_PE-PCO-U-131452</t>
  </si>
  <si>
    <t>Rifaaqat 2.0 Oz Edp Unisex</t>
  </si>
  <si>
    <t>ZX_PE-AW-M-012786</t>
  </si>
  <si>
    <t>Al Wataniah </t>
  </si>
  <si>
    <t>Durrat Al Aroos 2.87 Oz Edp Women</t>
  </si>
  <si>
    <t>ZX_PE-C-W-476140</t>
  </si>
  <si>
    <t>Yes I Am Delicious 1.7 Oz Edp Women</t>
  </si>
  <si>
    <t>ZX_PE-AB-W-839669</t>
  </si>
  <si>
    <t>Blue Seduction 2.7 Oz Edt Women</t>
  </si>
  <si>
    <t>ZX_PE-LT-W-733790</t>
  </si>
  <si>
    <t>Sutoor 3.4 oz Edp Women</t>
  </si>
  <si>
    <t>ZX_PE-BR-W-116283</t>
  </si>
  <si>
    <t>Modern 3.4 Oz Edp Women</t>
  </si>
  <si>
    <t>ZX_PE-SH-W-810590</t>
  </si>
  <si>
    <t>Shakira</t>
  </si>
  <si>
    <t>Love Rock 2.7 Oz Edt Women</t>
  </si>
  <si>
    <t>ZX_PE-ZA-M-732403</t>
  </si>
  <si>
    <t>Honest Pour Homme 3.4 Oz Edp Men</t>
  </si>
  <si>
    <t>ZX_PE-LT-U-737866</t>
  </si>
  <si>
    <t>Al Noble Wazeer 3.4 Oz Edp Men</t>
  </si>
  <si>
    <t>ZX_PE-LT-U-594149</t>
  </si>
  <si>
    <t>Qaed Intense 3.4 Oz Edp Unisex</t>
  </si>
  <si>
    <t>ZX_PE-AB-M-701034</t>
  </si>
  <si>
    <t>The Secret 3.4 Oz Edt Men</t>
  </si>
  <si>
    <t>ZX_PE-CQ-M-080303</t>
  </si>
  <si>
    <t>Happy 1.7 Oz Edt Men</t>
  </si>
  <si>
    <t>ZX_PE-AB-M-722756</t>
  </si>
  <si>
    <t>Golden Secret 3.4 Oz Edt Men</t>
  </si>
  <si>
    <t>ZX_PE-HO-W-261014</t>
  </si>
  <si>
    <t>Wave 3.4 Oz Edp Women</t>
  </si>
  <si>
    <t>ZX_PE-EA-W-390501</t>
  </si>
  <si>
    <t>5Th Avenue 2.5 Oz Edp Women</t>
  </si>
  <si>
    <t>ZX_PE-LT-U-735053</t>
  </si>
  <si>
    <t>Rave Now Intense 3.4 Oz Edp Unisex</t>
  </si>
  <si>
    <t>ZX_PE-LT-W-450605</t>
  </si>
  <si>
    <t>Qimmah 3.4 Oz  Edp Women</t>
  </si>
  <si>
    <t>ZX_PE-HO-M-266316</t>
  </si>
  <si>
    <t>Free Wave 3.4 Oz Edt Men</t>
  </si>
  <si>
    <t>ZX_PE-BS-W-698825</t>
  </si>
  <si>
    <t>Prerogative Rave 3.4 Oz Edp Women</t>
  </si>
  <si>
    <t>ZX_PE-MA-W-735756</t>
  </si>
  <si>
    <t>Tobacco Touch 2.7 Oz Edp Women</t>
  </si>
  <si>
    <t>ZX_PE-MA-W-459127</t>
  </si>
  <si>
    <t>Bad Femme 3.3 Oz Edp Women</t>
  </si>
  <si>
    <t>ZX_PE-VX-M-400419</t>
  </si>
  <si>
    <t>Swiss Army Steel 3.4 Oz Edt Men</t>
  </si>
  <si>
    <t>ZX_PE-FW-U-373393</t>
  </si>
  <si>
    <t>Suits 3.4 Oz Edp Unisex</t>
  </si>
  <si>
    <t>ZX_PE-FW-U-375755</t>
  </si>
  <si>
    <t>Nuke (Np545) 3.4 Oz Edp Unisex</t>
  </si>
  <si>
    <t>ZX_PE-RI-U-073796</t>
  </si>
  <si>
    <t>Riiffs</t>
  </si>
  <si>
    <t>Goodness Oud Blanc 3.4 Oz Edp Unisex</t>
  </si>
  <si>
    <t>ZX_PE-RI-U-073802</t>
  </si>
  <si>
    <t>Goodness Oud Rouge 3.4 Oz Edp Unisex</t>
  </si>
  <si>
    <t>ZX_PE-EMP-U-901437</t>
  </si>
  <si>
    <t>Ocean Breeze 3.4 Oz Edp Unisex</t>
  </si>
  <si>
    <t>ZX_PE-HO-W-268112</t>
  </si>
  <si>
    <t>Festival Nite 3.4 Oz Edp Women</t>
  </si>
  <si>
    <t>ZX_PE-AB-M-813973</t>
  </si>
  <si>
    <t>King Of Seduction Absolute 3.4 Oz Edt Men</t>
  </si>
  <si>
    <t>ZX_PE-MA-U-590622</t>
  </si>
  <si>
    <t>Glacier Bold 3.4 Oz Edp Unisex</t>
  </si>
  <si>
    <t>ZX_PE-MA-W-730188</t>
  </si>
  <si>
    <t>La Vita Bella 3.4 Oz Edp Women</t>
  </si>
  <si>
    <t>ZX_PE-MA-M-459370</t>
  </si>
  <si>
    <t>Versencia Crystal 3.4 Oz Edp Women</t>
  </si>
  <si>
    <t>ZX_PE-MA-W-735978</t>
  </si>
  <si>
    <t>Voices 3.4 Oz Edp Unisex</t>
  </si>
  <si>
    <t>ZX_PE-MA-W-737033</t>
  </si>
  <si>
    <t>Maison alhambra</t>
  </si>
  <si>
    <t>Pink Shimmer Intense 3.4 Oz Edp Women</t>
  </si>
  <si>
    <t>ZX_PE-ZI-U-072867</t>
  </si>
  <si>
    <t>Rose Of Dream 3.4 Oz Edp Unisex</t>
  </si>
  <si>
    <t>ZX_PE-FW-U-326763</t>
  </si>
  <si>
    <t>Imperium 3.4 Oz Edp Unisex</t>
  </si>
  <si>
    <t>ZX_PE-TL-M-000260</t>
  </si>
  <si>
    <t>Lapidus 3.3 Oz Edt Men</t>
  </si>
  <si>
    <t>ZX_PE-MA-M-591131</t>
  </si>
  <si>
    <t>Jorge Di Profumo Aqua 3.4 Oz Edp Men</t>
  </si>
  <si>
    <t>ZX_PE-HO-W-266019</t>
  </si>
  <si>
    <t>Wave X 3.4 Oz Edp Women</t>
  </si>
  <si>
    <t>ZX_PE-EA-W-757748</t>
  </si>
  <si>
    <t>Sunflower 3.4 Oz Edt Women</t>
  </si>
  <si>
    <t>ZX_PE-AB-M-945568</t>
  </si>
  <si>
    <t>Power Of Seduction 6.7 Oz Edt Men</t>
  </si>
  <si>
    <t>ZX_PE-AY-U-030812</t>
  </si>
  <si>
    <t>Arabiyat My Perfumes</t>
  </si>
  <si>
    <t>Oud Al Faris 3.4 Oz Oz Edp Unisex</t>
  </si>
  <si>
    <t>ZX_PE-LT-U-734032</t>
  </si>
  <si>
    <t>Ejaazi Silver 3.4 Oz Edp Unisex</t>
  </si>
  <si>
    <t>ZX_PE-MA-M-735442</t>
  </si>
  <si>
    <t>Kismet Moscow  3.4 Oz Edp Men</t>
  </si>
  <si>
    <t>ZX_PE-LT-M-730270</t>
  </si>
  <si>
    <t>Toro 3.4 Oz Edp Men</t>
  </si>
  <si>
    <t>ZX_PE-CI-M-510732</t>
  </si>
  <si>
    <t>CR7 Play It Cool 1.7 Oz Edt Men</t>
  </si>
  <si>
    <t>ZX_PE-MA-U-340843</t>
  </si>
  <si>
    <t>Extravagant Lover 3.4 Oz Edp Unisex</t>
  </si>
  <si>
    <t>ZX_PE-HO-M-267702</t>
  </si>
  <si>
    <t>Wave X 3.4 Oz Edt Men</t>
  </si>
  <si>
    <t>ZX_PE-MA-U-459264</t>
  </si>
  <si>
    <t>Kismet W 3.4 Oz Edp Unisex</t>
  </si>
  <si>
    <t>ZX_PE-AB-W-860410</t>
  </si>
  <si>
    <t>Her Secret Temptation 2.7 Oz Edt Women</t>
  </si>
  <si>
    <t>ZX_PE-VX-W-127655</t>
  </si>
  <si>
    <t>Swiss Army Victorinox  Morning Dew 3.4 Oz Edt Women</t>
  </si>
  <si>
    <t>ZX_PE-N-M-531908</t>
  </si>
  <si>
    <t>Voyage 3.3 Oz Edt Men</t>
  </si>
  <si>
    <t>ZX_PE-VX-M-127716</t>
  </si>
  <si>
    <t>Tester Swiss Army Altitude 3.4 Oz Edt Men</t>
  </si>
  <si>
    <t>ZX_PE-AY-U-031086</t>
  </si>
  <si>
    <t>Jawharat Al Haya 3.4 Oz Edp Unisex</t>
  </si>
  <si>
    <t>ZX_PE-RI-W-597782</t>
  </si>
  <si>
    <t>Gemini Pour Femme 3.4 Oz Edp</t>
  </si>
  <si>
    <t>ZX_PE-MA-M-459318</t>
  </si>
  <si>
    <t>Perseus 3.4 Oz Edp Men</t>
  </si>
  <si>
    <t>ZX_PE-MA-W-459332</t>
  </si>
  <si>
    <t>Philos Opus Noir 3.4 Oz Edp Women</t>
  </si>
  <si>
    <t>ZX_PE-MA-M-730140</t>
  </si>
  <si>
    <t>Jorge Di Profumo 3.4 Oz Edp Men</t>
  </si>
  <si>
    <t>ZX_PE-CK-M-322588</t>
  </si>
  <si>
    <t>Tester Ck Be 3.4 Oz Edt Men</t>
  </si>
  <si>
    <t>ZX_PE-FW-U-371214</t>
  </si>
  <si>
    <t>Proud Of You Absolute 3.4 Oz Edp Inisex</t>
  </si>
  <si>
    <t>ZX_PE-MA-M-737071</t>
  </si>
  <si>
    <t>Verona 3.4 Oz Edp Women</t>
  </si>
  <si>
    <t>ZX_PE-MA-W-590738</t>
  </si>
  <si>
    <t>Narissa Ambre  3.4 Oz Edp Women</t>
  </si>
  <si>
    <t>ZX_PE-AB-M-784273</t>
  </si>
  <si>
    <t>King Of Seduction 3.4 Oz Edt Men</t>
  </si>
  <si>
    <t>ZX_PE-AB-W-944653</t>
  </si>
  <si>
    <t>Her Secret Desire 2.7 Oz Edt Women</t>
  </si>
  <si>
    <t>ZX_PE-DIS-K-085876</t>
  </si>
  <si>
    <t>Set Frozen 2 Toiletry Bag + 1.7 Oz Edt L + 3.4 Oz Shower Gel</t>
  </si>
  <si>
    <t>ZX_PE-MA-M-590608</t>
  </si>
  <si>
    <t>Glacier Ultra 3.4 Oz Edp Men</t>
  </si>
  <si>
    <t>ZX_PE-LT-U-450582</t>
  </si>
  <si>
    <t>Qimmah 3.4 Oz Edp Men</t>
  </si>
  <si>
    <t>ZX_PE-MA-W-459196</t>
  </si>
  <si>
    <t>Delilah  3.4 Oz Edp Women</t>
  </si>
  <si>
    <t>ZX_PE-BN-W-018756</t>
  </si>
  <si>
    <t>Sisterland Pink Raspberry 2.7 Oz Edt Women</t>
  </si>
  <si>
    <t>ZX_PE-NU-W-455235</t>
  </si>
  <si>
    <t>Nusuk</t>
  </si>
  <si>
    <t>Ana Al Awwal 3.4 Oz Edp Women</t>
  </si>
  <si>
    <t>ZX_PE-NU-W-457116</t>
  </si>
  <si>
    <t>Khaltat Al Dhahabi 3.4 Oz Edp Unisex</t>
  </si>
  <si>
    <t>ZX_PE-LT-U-459714</t>
  </si>
  <si>
    <t>Confidential Platinum 3.4 Oz Edp Unisex</t>
  </si>
  <si>
    <t>ZX_PE-MA-W-735954</t>
  </si>
  <si>
    <t>La Vita Bella Intensa 3.4 Oz Edp Women</t>
  </si>
  <si>
    <t>ZX_PE-NU-U-736203</t>
  </si>
  <si>
    <t>Ajwaa Concentrated 3.4 Oz Edp Unisex</t>
  </si>
  <si>
    <t>ZX_PE-NU-W-739341</t>
  </si>
  <si>
    <t>Ana Al Awwal Rouge 3.4 Oz Edp Women</t>
  </si>
  <si>
    <t>ZX_PE-AY-U-408157</t>
  </si>
  <si>
    <t>Lamsat Harir 3.4 Oz Edp Unisex</t>
  </si>
  <si>
    <t>ZX_PE-AB-M-855065</t>
  </si>
  <si>
    <t>Diavolo Anniversary Edition 3.4 Oz Edt Oz Men</t>
  </si>
  <si>
    <t>ZX_PE-MA-U-736067</t>
  </si>
  <si>
    <t xml:space="preserve">Maison Alhambra </t>
  </si>
  <si>
    <t>Baroque Rouge 3.4 Oz Extrait de Parfum</t>
  </si>
  <si>
    <t>ZX_PE-BN-W-018749</t>
  </si>
  <si>
    <t>Sisterland Red Rose 2.7 Oz Edt Women</t>
  </si>
  <si>
    <t>ZX_PE-LT-U-732045</t>
  </si>
  <si>
    <t>Suqraat  3.4 Oz Edp Unisex</t>
  </si>
  <si>
    <t>ZX_PE-BS-W-191814</t>
  </si>
  <si>
    <t>Fantasy Intimate Edition 3.3 Oz Edp Women</t>
  </si>
  <si>
    <t>ZX_PE-AP-M-923221</t>
  </si>
  <si>
    <t>Quorum 3.4 Oz Edt Men</t>
  </si>
  <si>
    <t>ZX_PE-BN-W-018718</t>
  </si>
  <si>
    <t>Sisterland Green Jasmine 2.7 Edt Women</t>
  </si>
  <si>
    <t>ZX_PE-BTO-M-020575</t>
  </si>
  <si>
    <t>Colors Black Intense 3.4 Oz Edp Men</t>
  </si>
  <si>
    <t>ZX_PE-B-M-902699</t>
  </si>
  <si>
    <t>Baldessarini</t>
  </si>
  <si>
    <t>Black 2.5 Oz Edt Men</t>
  </si>
  <si>
    <t>ZX_PE-LT-U-069020</t>
  </si>
  <si>
    <t>Ejaazi 3.4 Oz Edp Unisex</t>
  </si>
  <si>
    <t>ZX_PE-MA-M-733486</t>
  </si>
  <si>
    <t>Salvo Intense 3.4 Oz Edp Men</t>
  </si>
  <si>
    <t>ZX_PE-LT-U-201863</t>
  </si>
  <si>
    <t>Al Dur Al Maknoon Silver 3.4 Oz Edp Unisex</t>
  </si>
  <si>
    <t>ZX_PE-MA-M-735930</t>
  </si>
  <si>
    <t>Victorioso Victory 3.4 Oz  Edp Men</t>
  </si>
  <si>
    <t>ZX_PE-LM-W-037246</t>
  </si>
  <si>
    <t>Lomani</t>
  </si>
  <si>
    <t>Spirit Millionaire Gold Icon 3.4 Oz Edp Women</t>
  </si>
  <si>
    <t>ZX_PE-JG-M-373145</t>
  </si>
  <si>
    <t>Jaguar</t>
  </si>
  <si>
    <t>Classic Black 3.4 Oz Edt Men</t>
  </si>
  <si>
    <t>ZX_PE-MA-U-730195</t>
  </si>
  <si>
    <t>Leonie 3.4 Oz Edp Unisex</t>
  </si>
  <si>
    <t>ZX_PE-LM-M-000677</t>
  </si>
  <si>
    <t>Ab Spirit Millionaire 3.3 Oz Edt Men</t>
  </si>
  <si>
    <t>ZX_PE-EA-W-268848</t>
  </si>
  <si>
    <t>Green Tea Scent 3.3 Oz Edp Women</t>
  </si>
  <si>
    <t>ZX_PE-RB-W-946185</t>
  </si>
  <si>
    <t>Reebok</t>
  </si>
  <si>
    <t>Set Cool Your Body 1.7 Oz Edt Women + 8.5 Oz Shower Gel</t>
  </si>
  <si>
    <t>ZX_PE-MA-M-730157</t>
  </si>
  <si>
    <t>Kingsman 3.4 Oz Edp Men</t>
  </si>
  <si>
    <t>ZX_PE-GB-W-215183</t>
  </si>
  <si>
    <t>Giorgio Beverly Hills</t>
  </si>
  <si>
    <t>Blue 3.0 Oz Edt Women</t>
  </si>
  <si>
    <t>ZX_PE-AB-M-698594</t>
  </si>
  <si>
    <t>Black Seduction 1.7 Oz Edt Men</t>
  </si>
  <si>
    <t>ZX_PE-HO-W-261021</t>
  </si>
  <si>
    <t>Tester Wave 3.4 Oz Edp Women</t>
  </si>
  <si>
    <t>ZX_PE-RB-M-946215</t>
  </si>
  <si>
    <t>Set Cool Your Body 1.7 Oz Edt Men + 8.5 Oz Shower Gel</t>
  </si>
  <si>
    <t>ZX_PE-MH-U-740772</t>
  </si>
  <si>
    <t>4711 Original 3.0 Oz Edc Unisex</t>
  </si>
  <si>
    <t>ZX_PE-MA-M-459110</t>
  </si>
  <si>
    <t>Avant 3.4 Oz Edp Men</t>
  </si>
  <si>
    <t>ZX_PE-DI-W-191509</t>
  </si>
  <si>
    <t>Plus Plus 2.5 Oz Edt Women</t>
  </si>
  <si>
    <t>ZX_PE-DI-W-271003</t>
  </si>
  <si>
    <t>Zero Plus 2.5 Oz Edt Women</t>
  </si>
  <si>
    <t>ZX_PE-AB-M-695968</t>
  </si>
  <si>
    <t>Tester Black Seduction 3.4 Oz Edt Men</t>
  </si>
  <si>
    <t>ZX_PE-PE-W-014473</t>
  </si>
  <si>
    <t>Body Mist 360 Purple 8 Oz Women</t>
  </si>
  <si>
    <t>ZX_PE-PE-W-014480</t>
  </si>
  <si>
    <t>Body Mist 360 8 Oz Women</t>
  </si>
  <si>
    <t>ZX_PE-PE-W-014732</t>
  </si>
  <si>
    <t>Body Mist 360 Red 8.0 Oz Women</t>
  </si>
  <si>
    <t>ZX_PE-DIS-K-053524</t>
  </si>
  <si>
    <t>Rapunzel 3.4 Oz Edt Kids</t>
  </si>
  <si>
    <t>ZX_PE-DIS-W-033275</t>
  </si>
  <si>
    <t>Cinderella Pink Slipper 2.0 Oz Edp Kids</t>
  </si>
  <si>
    <t>ZX_PE-DIS-W-082615</t>
  </si>
  <si>
    <t>Ariel 3.4 Oz Edt Kids</t>
  </si>
  <si>
    <t>ZX_PE-DIS-K-092882</t>
  </si>
  <si>
    <t>Donald 3.4 Oz Edt Kids</t>
  </si>
  <si>
    <t>ZX_PE-DIS-K-086546</t>
  </si>
  <si>
    <t>Frozen Anna 3.4 Oz Edt Kids</t>
  </si>
  <si>
    <t>ZX_PE-DIS-K-086539</t>
  </si>
  <si>
    <t>Frozen Elsa 3.4 Oz Edt Kids</t>
  </si>
  <si>
    <t>ZX_PE-PH-W-088963</t>
  </si>
  <si>
    <t>Body Mist Can Can 8 Oz Women</t>
  </si>
  <si>
    <t>ZX_PE-AQ-W-782395</t>
  </si>
  <si>
    <t>Aquolina</t>
  </si>
  <si>
    <t>Body Mist Pink Sugar Sunshine 8.0 Oz Women</t>
  </si>
  <si>
    <t>ZX_PE-RB-M-945911</t>
  </si>
  <si>
    <t>Cool Your Body 3.4 Oz Edt Men</t>
  </si>
  <si>
    <t>ZX_PE-UB-W-220611</t>
  </si>
  <si>
    <t>La Vida 3.4 Oz Edp Women</t>
  </si>
  <si>
    <t>ZX_PE-UB-W-222189</t>
  </si>
  <si>
    <t>Blossom 3.4 Oz Edp Women</t>
  </si>
  <si>
    <t>ZX_PE-ZG-W-100557</t>
  </si>
  <si>
    <t>Zoghbi</t>
  </si>
  <si>
    <t>Bella Sahar 2.5 Oz Edp Women</t>
  </si>
  <si>
    <t>ZX_PE-PH-W-129376</t>
  </si>
  <si>
    <t>Body Mist Gold Rush 8 Oz Women</t>
  </si>
  <si>
    <t>ZX_PE-UB-W-220628</t>
  </si>
  <si>
    <t>Victory 3.4 Oz Edp Women</t>
  </si>
  <si>
    <t>ZX_PE-NP-M-001043</t>
  </si>
  <si>
    <t>Nu Parfums</t>
  </si>
  <si>
    <t>Black Is Black Select 3.4 Oz Edt Men</t>
  </si>
  <si>
    <t>ZX_PE-HO-W-265340</t>
  </si>
  <si>
    <t>Tester Free Wave 3.4 Oz Edp Women</t>
  </si>
  <si>
    <t>ZX_PE-ADI-M-310071</t>
  </si>
  <si>
    <t>Dynamic Pulse 3.4 Oz Edt Men</t>
  </si>
  <si>
    <t>ZX_PE-ADI-M-397641</t>
  </si>
  <si>
    <t>Victory League 3.4 Oz Edt Men</t>
  </si>
  <si>
    <t>ZX_PE-ADI-M-551035</t>
  </si>
  <si>
    <t>Team Five 3.4 Oz Edt Men</t>
  </si>
  <si>
    <t>ZX_PE-UB-M-222080</t>
  </si>
  <si>
    <t>Too Sexy 3.4 Oz Edt Women</t>
  </si>
  <si>
    <t>ZX_PE-CF-W-550305</t>
  </si>
  <si>
    <t>Cofinluxe</t>
  </si>
  <si>
    <t>Watt Else 3.4 Oz Edt Women</t>
  </si>
  <si>
    <t>ZX_PE-UB-W-732464</t>
  </si>
  <si>
    <t>Jungle Zebra 3.4 Oz Edt Women</t>
  </si>
  <si>
    <t>ZX_PE-YK-U-018158</t>
  </si>
  <si>
    <t>Yankee Candle</t>
  </si>
  <si>
    <t>Vanilla Lime Candle Jar 3.67 Oz</t>
  </si>
  <si>
    <t>ZX_PE-BS-W-635035</t>
  </si>
  <si>
    <t>Body Mist Midnight Fantasy 8.0 Oz Women</t>
  </si>
  <si>
    <t>ZX_PE-UB-M-734192</t>
  </si>
  <si>
    <t>Red 3.4 Oz Edt Men</t>
  </si>
  <si>
    <t>ZX_PE-UB-W-222172</t>
  </si>
  <si>
    <t>Trouble 3.4 Oz Edt Women</t>
  </si>
  <si>
    <t>ZX_PE-UB-W-732471</t>
  </si>
  <si>
    <t>Jungle Tiger  3.4 Oz Edt Women</t>
  </si>
  <si>
    <t>ZX_PE-UB-W-732488</t>
  </si>
  <si>
    <t>Jungle Snake 3.4 Oz Edt Women</t>
  </si>
  <si>
    <t>ZX_PE-UB-W-736028</t>
  </si>
  <si>
    <t>Chic 3.4 Oz Edp Women</t>
  </si>
  <si>
    <t>ZX_PE-BN-W-003000</t>
  </si>
  <si>
    <t>Hot 3.3 Oz Edt Women</t>
  </si>
  <si>
    <t>ZX_PE-PH-W-110879</t>
  </si>
  <si>
    <t>Body Mist Can Can Burlesque 8 Oz Women</t>
  </si>
  <si>
    <t>ZX_PE-V-W-823598</t>
  </si>
  <si>
    <t>Eros Pour Femme 0.16 Oz Edp Mini Women</t>
  </si>
  <si>
    <t>ZX_PE-BS-W-630856</t>
  </si>
  <si>
    <t>Body Mist Fantasy Island 8.0 Oz Women</t>
  </si>
  <si>
    <t>ZX_PE-V-M-809264</t>
  </si>
  <si>
    <t>Eros 0.16 Oz Edt Mini Men</t>
  </si>
  <si>
    <t>ZX_PE-PH-W-579572</t>
  </si>
  <si>
    <t>Body Mist Platinum Rush 8 Oz Women</t>
  </si>
  <si>
    <t>ZX_PE-ET-W-636957</t>
  </si>
  <si>
    <t>Body Mist White Diamonds Lustre 8.0 Oz Women</t>
  </si>
  <si>
    <t>ZX_PE-V-M-996032</t>
  </si>
  <si>
    <t>Signature 0.17 Oz Edt Mini Men</t>
  </si>
  <si>
    <t>ZX_PE-V-M-825752</t>
  </si>
  <si>
    <t>Dylan Blue 0.17 Oz Edt Mini Men</t>
  </si>
  <si>
    <t>ZX_PE-HO-W-269508</t>
  </si>
  <si>
    <t>Body Mist Hibiscus Cooler 4.2 Oz Women</t>
  </si>
  <si>
    <t>ZX_PE-HO-W-269539</t>
  </si>
  <si>
    <t>Body Mist Citrus Chill 4.2 Oz Women</t>
  </si>
  <si>
    <t>ZX_PE-HO-W-269553</t>
  </si>
  <si>
    <t>Body Mist Palm Spring 4.2 Oz Women</t>
  </si>
  <si>
    <t>ZX_PE-HO-W-269560</t>
  </si>
  <si>
    <t>Body Mist San Francisco 4.2 Oz Women</t>
  </si>
  <si>
    <t>ZX_PE-HO-W-269577</t>
  </si>
  <si>
    <t>Body Mist Los Angeles 4.2 Oz Women</t>
  </si>
  <si>
    <t>ZX_PE-HO-W-269591</t>
  </si>
  <si>
    <t>Body Mist Santa Monica 4.2 Oz Women</t>
  </si>
  <si>
    <t>ZX_PE-HO-U-269584</t>
  </si>
  <si>
    <t>Body Mist Malibu 4.2 Oz Unisex</t>
  </si>
  <si>
    <t>ZX_PE-MZ-M-041197</t>
  </si>
  <si>
    <t>Club Black 3.4 Oz Edt Men</t>
  </si>
  <si>
    <t>ZX_PE-MA-M-340980</t>
  </si>
  <si>
    <t>Your Touch Intense 3.4 Oz Edp Men</t>
  </si>
  <si>
    <t>ZX_PE-MA-U-735282</t>
  </si>
  <si>
    <t>Amberley Ombre Blue 3.4 Oz Edp Unisex</t>
  </si>
  <si>
    <t>ZX_PE-MA-U-735732</t>
  </si>
  <si>
    <t>The Artist No 2  3.3 Oz Edp Unisex</t>
  </si>
  <si>
    <t>ZX_PE-MB-M-101097</t>
  </si>
  <si>
    <t>Mini Explorer 0.15 Oz Edp Men</t>
  </si>
  <si>
    <t>ZX_PE-FW-U-321508</t>
  </si>
  <si>
    <t>Barakkat Satin Oud 3.4 Oz Edp Unisex</t>
  </si>
  <si>
    <t>ZX_PE-EMP-U-529317</t>
  </si>
  <si>
    <t>Set Discovery Edp Stallion 53 + The Black 92 + Captcha 36 + Ilang 62 1.0 Oz Unisex</t>
  </si>
  <si>
    <t>ZX_PE-MJ-W-086227</t>
  </si>
  <si>
    <t>Marc Jacobs</t>
  </si>
  <si>
    <t>Perfect 3.4 Oz Edp Women</t>
  </si>
  <si>
    <t>ZX_PE-AH-W-133475</t>
  </si>
  <si>
    <t>Amber Oud Ultra Violet 4.0 Oz Edp Women</t>
  </si>
  <si>
    <t>ZX_PE-AU-M-181838</t>
  </si>
  <si>
    <t>Eter Desert Breeze 3.4 Oz Edp Men</t>
  </si>
  <si>
    <t>ZX_PE-AU-U-176087</t>
  </si>
  <si>
    <t>Eter Desert Star 3.4 Oz Edp Unisex</t>
  </si>
  <si>
    <t>ZX_PE-AU-U-176124</t>
  </si>
  <si>
    <t>Eter Desert Night 3.4 Oz Edp Unisex</t>
  </si>
  <si>
    <t>ZX_PE-AU-W-176100</t>
  </si>
  <si>
    <t>Eter Perfume Oasis 3.4 Oz Edp Women</t>
  </si>
  <si>
    <t>ZX_PE-AU-W-176117</t>
  </si>
  <si>
    <t>Eter Desert Rose 3.4 Oz Edp Women</t>
  </si>
  <si>
    <t>ZX_PE-MA-W-735961</t>
  </si>
  <si>
    <t>La Voie 3.4 Oz Edp Women</t>
  </si>
  <si>
    <t>ZX_PE-JN-W-008923</t>
  </si>
  <si>
    <t>Jovan</t>
  </si>
  <si>
    <t>Musk 3.3 Oz Edc Women</t>
  </si>
  <si>
    <t>ZX_PE-LT-U-347187</t>
  </si>
  <si>
    <t>Set Art Of Universe 3.4 Oz + 6.7 Oz Body Spray + 0.65 Oz Travel Edp Unisex</t>
  </si>
  <si>
    <t>ZX_PE-LT-U-341321</t>
  </si>
  <si>
    <t>Opulent Dubai 3.4 Oz Edp Unisex</t>
  </si>
  <si>
    <t>ZX_PE-DIS-K-085883</t>
  </si>
  <si>
    <t>Set Frozen 3.4 Oz Edt + Zip Case + Lip Gloss Kids</t>
  </si>
  <si>
    <t>ZX_PE-DIS-K-087535</t>
  </si>
  <si>
    <t>Set Mickey &amp; Friends Bag + 1.7 Oz Edt Men + 3.4 Oz Shower Gel</t>
  </si>
  <si>
    <t>ZX_PE-AFN-U-073840</t>
  </si>
  <si>
    <t>Mystique Bouquet 2.7 Oz Edp Unisex</t>
  </si>
  <si>
    <t>ZX_PE-DG-M-020820</t>
  </si>
  <si>
    <t>Intenso Men 4.2 Oz Edp</t>
  </si>
  <si>
    <t>ZX_PE-FW-U-376608</t>
  </si>
  <si>
    <t>Aether Extrait de Parfum 3.4 Oz Unisex</t>
  </si>
  <si>
    <t>ZX_PE-RL-M-022911</t>
  </si>
  <si>
    <t>Polo Blue 2.5 Oz Edt Men</t>
  </si>
  <si>
    <t>ZX_PE-MJ-W-461881</t>
  </si>
  <si>
    <t>Perfect 3.4 Oz Edt Women</t>
  </si>
  <si>
    <t>ZX_PE-MK-W-366448</t>
  </si>
  <si>
    <t>Wonderlust 3.4 Oz Edp Women</t>
  </si>
  <si>
    <t>ZX_PE-P-M-764730</t>
  </si>
  <si>
    <t>L'Homme Intense 3.4 Oz Edp Men</t>
  </si>
  <si>
    <t>ZX_PE-LT-W-459202</t>
  </si>
  <si>
    <t>Florence 3.4 Oz Edp Women</t>
  </si>
  <si>
    <t>ZX_PE-MA-M-459233</t>
  </si>
  <si>
    <t>Hercules 3.4 Oz Edp Men</t>
  </si>
  <si>
    <t>ZX_PE-ATR-U-296323</t>
  </si>
  <si>
    <t>Atralia</t>
  </si>
  <si>
    <t>Tonka Gold 3.4 Oz Edp Unisex</t>
  </si>
  <si>
    <t>ZX_PE-MA-W-341093</t>
  </si>
  <si>
    <t>Luxe Blanc 3.4 Oz Edp Women</t>
  </si>
  <si>
    <t>ZX_PE-ET-W-264716</t>
  </si>
  <si>
    <t>Set White Diamonds 4 Pcs 3.3 Oz Edt, 0.33 Oz Edt, 3.3 Oz Body Wash, 3.3 Oz Body Lotion Women</t>
  </si>
  <si>
    <t>ZX_PE-MA-M-590745</t>
  </si>
  <si>
    <t>Yeah Parfum 3.4 Oz Edp Men</t>
  </si>
  <si>
    <t>ZX_PE-MA-W-340775</t>
  </si>
  <si>
    <t>Decadent Dream 3.4 Oz Edp Women</t>
  </si>
  <si>
    <t>ZX_PE-MA-W-730089</t>
  </si>
  <si>
    <t>Como Moiselle 3.4 Oz Edp Women</t>
  </si>
  <si>
    <t>ZX_PE-V-M-809240</t>
  </si>
  <si>
    <t>Eros 3.4 Oz Deo Men</t>
  </si>
  <si>
    <t>ZX_PE-VA-M-350739</t>
  </si>
  <si>
    <t>Born In Roma Uomo Extradose 3.4 Oz Parfum Men</t>
  </si>
  <si>
    <t>ZX_PE-RA-M-204023</t>
  </si>
  <si>
    <t>Layuqawam 2.5 Oz Edp Men</t>
  </si>
  <si>
    <t>ZX_PE-BHA-U-062769</t>
  </si>
  <si>
    <t>Rome Imagine 3.4 Oz Edp Unisex</t>
  </si>
  <si>
    <t>ZX_PE-LT-U-349129</t>
  </si>
  <si>
    <t>Eclaire Pistache 3.4 Oz Edp Unisex</t>
  </si>
  <si>
    <t>ZX_PE-LT-U-349112</t>
  </si>
  <si>
    <t>Eclaire Banoffi 3.4 Oz Edp Unisex</t>
  </si>
  <si>
    <t>ZX_PE-LT-W-793930</t>
  </si>
  <si>
    <t>Yara 1.7 Oz Edp Women</t>
  </si>
  <si>
    <t>ZX_PE-EMP-M-900195</t>
  </si>
  <si>
    <t>Captcha 36 3.4 Oz Edp Men</t>
  </si>
  <si>
    <t>ZX_PE-AU-U-809525</t>
  </si>
  <si>
    <t>ZX_PE-AU-U-809532</t>
  </si>
  <si>
    <t>Odyssey Bahamas Tropical 3.4 Oz Unisex</t>
  </si>
  <si>
    <t>ZX_PE-UB-M-732396</t>
  </si>
  <si>
    <t>Blue 3.3 Oz Edt Men</t>
  </si>
  <si>
    <t>ZX_PE-ZI-W-071068</t>
  </si>
  <si>
    <t>Fatima Velvet Love 3.4 Oz  Edp Women</t>
  </si>
  <si>
    <t>ZX_PE-AU-W-188622</t>
  </si>
  <si>
    <t>Odyssey Candee 3.4 Oz Edp Women</t>
  </si>
  <si>
    <t>ZX_PE-AU-M-188653</t>
  </si>
  <si>
    <t>Odyssey Spectra 3.4 Oz Edp Men</t>
  </si>
  <si>
    <t>ZX_PE-GA-M-954341</t>
  </si>
  <si>
    <t>Acqua Di Gio Pour Homme 3.4 Oz Edp Men</t>
  </si>
  <si>
    <t>ZX_PE-CD-M-001120</t>
  </si>
  <si>
    <t>Homme Intense 5.0 Oz Edp Men</t>
  </si>
  <si>
    <t>ZX_PE-CD-W-181839</t>
  </si>
  <si>
    <t>Addict 3.4 Oz Edp Women</t>
  </si>
  <si>
    <t>ZX_PE-CO-W-142182</t>
  </si>
  <si>
    <t>Love 1.7 Oz Edp Women</t>
  </si>
  <si>
    <t>ZX_PE-DG-W-180882</t>
  </si>
  <si>
    <t>Tester Light Blue 3.4 Oz Edt Women</t>
  </si>
  <si>
    <t>ZX_PE-DG-W-182046</t>
  </si>
  <si>
    <t xml:space="preserve">Tester L'Imperatrice 3.4 Oz Edt Women </t>
  </si>
  <si>
    <t>ZX_PE-G-W-175916</t>
  </si>
  <si>
    <t>Guilty Pour Femme 2.0 Oz Elixir Parfum Women</t>
  </si>
  <si>
    <t>ZX_PE-G-W-249716</t>
  </si>
  <si>
    <t>Bloom Intense 3.4 Oz Edp Women</t>
  </si>
  <si>
    <t>ZX_PE-JP-W-102704</t>
  </si>
  <si>
    <t>Scandal Intense 2.7 Oz Edp Women</t>
  </si>
  <si>
    <t>ZX_PE-PR-W-630448</t>
  </si>
  <si>
    <t>Fame Intense 2.7 Oz Edp Women Refillable</t>
  </si>
  <si>
    <t>ZX_PE-PR-M-579839</t>
  </si>
  <si>
    <t>One Million 3.4 Oz Parfum Men</t>
  </si>
  <si>
    <t>ZX_PE-MA-U-591599</t>
  </si>
  <si>
    <t>Sceptre Malachite 3.4 Oz Edp Unisex</t>
  </si>
  <si>
    <t>ZX_PE-AU-M-190656</t>
  </si>
  <si>
    <t>Body Spray Odyssey Homme White Edition 6.8 Oz Edp Men</t>
  </si>
  <si>
    <t>ZX_PE-AU-M-800317</t>
  </si>
  <si>
    <t>Body Spray Odyssey Limoni Fresh Edition 6.8 Oz Edp Men</t>
  </si>
  <si>
    <t>ZX_PE-AU-M-180367</t>
  </si>
  <si>
    <t>Club De Nuit Intense Lux Edition Parfum 3.6 Oz Men</t>
  </si>
  <si>
    <t>ZX_PE-AU-M-801550</t>
  </si>
  <si>
    <t>Ombre D'Or 2.5 Oz Edp Men</t>
  </si>
  <si>
    <t>ZX_PE-AU-W-196627</t>
  </si>
  <si>
    <t>Club De Nuit Extrait De Parfum 2.37 Oz Women</t>
  </si>
  <si>
    <t>ZX_PE-AU-W-811771</t>
  </si>
  <si>
    <t>Island Breeze 3.4 Oz Edp Women</t>
  </si>
  <si>
    <t>ZX_PE-RA-M-331064</t>
  </si>
  <si>
    <t>Hawas Kobra 3.4 Oz Edp Men</t>
  </si>
  <si>
    <t>ZX_PE-RA-M-331071</t>
  </si>
  <si>
    <t>Hawas Malibu 3.4 Oz Edp Men</t>
  </si>
  <si>
    <t>ZX_PE-LT-U-348092</t>
  </si>
  <si>
    <t>Set Pride 5X 0.67 Oz Nebras-Art Of Wood-Art Of Universe-Ansaam Gold-Kashan Edp Unisex</t>
  </si>
  <si>
    <t>ZX_PE-FW-U-326428</t>
  </si>
  <si>
    <t>Barakkat Rouge 540 Extrait De Parfum 3.4 Oz Unisex</t>
  </si>
  <si>
    <t>ZX_PE-AU-M-175417</t>
  </si>
  <si>
    <t>Ventana Marine 3.4 Oz  Edp Men</t>
  </si>
  <si>
    <t>ZX_PE-FW-U-000926</t>
  </si>
  <si>
    <t>Vulcan Baie 3.4 Oz Edp Unisex</t>
  </si>
  <si>
    <t>ZX_PE-FW-U-378053</t>
  </si>
  <si>
    <t>Vulcan Feu 3.4 Oz Edp Unisex</t>
  </si>
  <si>
    <t>ZX_PE-RA-W-331088</t>
  </si>
  <si>
    <t>Hawas Diva 3.4 Oz Edp Women</t>
  </si>
  <si>
    <t>ZX_PE-AR-W-027720</t>
  </si>
  <si>
    <t>Set Thank U Next 3.4 Oz Edp + 3.4 Oz Body Lotion + 3.4 Oz Shower Gel Women</t>
  </si>
  <si>
    <t>ZX_PE-AR-W-029731</t>
  </si>
  <si>
    <t>Set Sweet Like Candy 3.4 Oz Edp + 3.4 Oz Body Lotion + 3.4 Shower Gel Women</t>
  </si>
  <si>
    <t>ZX_PE-ZI-U-074182</t>
  </si>
  <si>
    <t>Hawwa Red 3.4 Oz Edp Unisex</t>
  </si>
  <si>
    <t>ZX_PE-ZI-U-074465</t>
  </si>
  <si>
    <t>Cult 3.4 Oz Edp Unisex</t>
  </si>
  <si>
    <t>ZX_PE-ZI-W-074175</t>
  </si>
  <si>
    <t>Hawwa Pink 3.4 Oz Edp Women</t>
  </si>
  <si>
    <t>ZX_PE-BHA-W-062783</t>
  </si>
  <si>
    <t>Rome Paradoxe 3.4 Oz Edp Women</t>
  </si>
  <si>
    <t>ZX_PE-CO-W-126571</t>
  </si>
  <si>
    <t>Wild Rose 3.0 Oz Edp Women</t>
  </si>
  <si>
    <t>ZX_PE-C-W-533205</t>
  </si>
  <si>
    <t>Anais Anais Loriginal 3.4 Oz Edt Women</t>
  </si>
  <si>
    <t>ZX_PE-AU-M-190663</t>
  </si>
  <si>
    <t>Body Spray Odyssey Mandarin Sky 6.8 Oz Men</t>
  </si>
  <si>
    <t>ZX_PE-AU-W-800294</t>
  </si>
  <si>
    <t>Body Spray Odyssey Candee 6.8 Oz Women</t>
  </si>
  <si>
    <t>ZX_PE-PR-M-021345</t>
  </si>
  <si>
    <t>Paco Rabanne 3.4 Oz Edt Men</t>
  </si>
  <si>
    <t>ZX_PE-RL-M-055402</t>
  </si>
  <si>
    <t>Polo Sport 4.2 Oz Edt Men</t>
  </si>
  <si>
    <t>ZX_PE-VA-W-350753</t>
  </si>
  <si>
    <t>Born In Roma Extradose Donna 3.4 Oz Parfum Women</t>
  </si>
  <si>
    <t>ZX_PE-LT-W-734940</t>
  </si>
  <si>
    <t>Body Spray Yara 6.6 Oz Women</t>
  </si>
  <si>
    <t>ZX_PE-JM-U-043064</t>
  </si>
  <si>
    <t>Game Of Spades Diamond 3.4 Oz Parfum Unisex</t>
  </si>
  <si>
    <t>ZX_PE-PR-M-161348</t>
  </si>
  <si>
    <t>Black Xs 3.4 Oz Edt Men</t>
  </si>
  <si>
    <t>ZX_PE-AU-M-102413</t>
  </si>
  <si>
    <t>Body Spray Club De Nuit Intense 6.7 Oz Men</t>
  </si>
  <si>
    <t>ZX_PE-AU-W-094342</t>
  </si>
  <si>
    <t>Body Spray Club De Nuit 6.7 Oz Women</t>
  </si>
  <si>
    <t>ZX_PE-AU-M-190700</t>
  </si>
  <si>
    <t>Body Spray Odyssey Aqua 6.8 Oz Men</t>
  </si>
  <si>
    <t>ZX_PE-AU-M-190670</t>
  </si>
  <si>
    <t>Body Spray Odyssey Mega 6.8 Oz Men</t>
  </si>
  <si>
    <t>ZX_PE-AU-M-190649</t>
  </si>
  <si>
    <t>Body Spray Odyssey Homme 6.8 Oz Edp Men</t>
  </si>
  <si>
    <t>ZX_PE-OR-U-158227</t>
  </si>
  <si>
    <t>Amber Rouge 5.0 Oz Edp Unisex</t>
  </si>
  <si>
    <t>ZX_PE-JP-W-017244</t>
  </si>
  <si>
    <t>La Belle 3.4 Oz Edp Women</t>
  </si>
  <si>
    <t>ZX_PE-VA-W-024760</t>
  </si>
  <si>
    <t>Born In Roma Green Stravaganza 3.4 Oz Edp Women</t>
  </si>
  <si>
    <t>ZX_PE-CH-W-711767</t>
  </si>
  <si>
    <t>212 Vip 2.7 Oz Edp  Women</t>
  </si>
  <si>
    <t>ZX_PE-JM-W-119252</t>
  </si>
  <si>
    <t>I Want Choo 3.4 Oz Edp Women</t>
  </si>
  <si>
    <t>ZX_PE-A-M-009848</t>
  </si>
  <si>
    <t>Wanted By Night 3.4 Oz Edp Men</t>
  </si>
  <si>
    <t>ZX_PE-PR-W-508587</t>
  </si>
  <si>
    <t>Lady Million 2.7 Oz Edp Women</t>
  </si>
  <si>
    <t>ZX_PE-AU-M-155648</t>
  </si>
  <si>
    <t>Caballo 3.4 Oz Edp Men</t>
  </si>
  <si>
    <t>ZX_PE-LT-W-598895</t>
  </si>
  <si>
    <t>Layaan 2.5 Oz Women Edp</t>
  </si>
  <si>
    <t>ZX_PE-ADI-U-447050</t>
  </si>
  <si>
    <t>Vibes Full Recharge  3.4 Oz Edp Unisex</t>
  </si>
  <si>
    <t>ZX_PE-ADI-U-447166</t>
  </si>
  <si>
    <t>Vibes Get Comfy 3.4 Oz Edp Unisex</t>
  </si>
  <si>
    <t>ZX_PE-ADI-U-447197</t>
  </si>
  <si>
    <t>Vibes Chill Zone 3.4 Oz Edp Unisex</t>
  </si>
  <si>
    <t>ZX_PE-JP-M-102346</t>
  </si>
  <si>
    <t>Le Male Elixir Absolu 4.2 Oz Parfum Intense Men</t>
  </si>
  <si>
    <t>ZX_PE-V-M-825745</t>
  </si>
  <si>
    <t>Dylan Blue 3.4 Oz Edt Men</t>
  </si>
  <si>
    <t>ZX_PE-AR-W-022381</t>
  </si>
  <si>
    <t>Body Mist Sweet Like Candy 8.0 Oz Women</t>
  </si>
  <si>
    <t>ZX_PE-AR-W-023104</t>
  </si>
  <si>
    <t>Body Mist Moonlight 8.0 Oz Women</t>
  </si>
  <si>
    <t>ZX_PE-CH-W-994696</t>
  </si>
  <si>
    <t>212 Heroes Forever Young 2.8 Oz Edp Women</t>
  </si>
  <si>
    <t>ZX_PE-RL-M-859299</t>
  </si>
  <si>
    <t>Polo Blue 2.5 Oz Edp Men</t>
  </si>
  <si>
    <t>ZX_PE-AU-M-809266</t>
  </si>
  <si>
    <t>Set Odyssey Mandarin Elixir 3.4 Oz 4Pc Edp Men</t>
  </si>
  <si>
    <t>ZX_PE-TH-M-670252</t>
  </si>
  <si>
    <t>Tommy Now 3.4 Oz Edt Men</t>
  </si>
  <si>
    <t>ZX_PE-CK-M-104406</t>
  </si>
  <si>
    <t>Be 3.4 Oz Edt Men</t>
  </si>
  <si>
    <t>ZX_PE-AB-W-982020</t>
  </si>
  <si>
    <t>Queen Of Seduction 2.7 Oz Edp Women</t>
  </si>
  <si>
    <t>ZX_PE-AU-M-816967</t>
  </si>
  <si>
    <t>Club de Nuit Bling 2.5 Oz Edp Men</t>
  </si>
  <si>
    <t>ZX_PE-RA-M-464441</t>
  </si>
  <si>
    <t>Hawas Tropical 3.4 Oz Edp Men</t>
  </si>
  <si>
    <t>ZX_PE-LT-W-341345</t>
  </si>
  <si>
    <t>Body Spray Yara Candy 6.6 Oz Spray Women</t>
  </si>
  <si>
    <t>ZX_PE-LT-W-345466</t>
  </si>
  <si>
    <t>Body Spray Eclaire 6.3 Oz Women</t>
  </si>
  <si>
    <t>ZX_PE-LT-W-736982</t>
  </si>
  <si>
    <t>Set Yara 2 Pcs 3.4 Oz Edp Boby Spray 6.3 Oz Women</t>
  </si>
  <si>
    <t>ZX_PE-AU-M-199475</t>
  </si>
  <si>
    <t>Mosaic Topaz Malaky 2.5 Oz Edp Men</t>
  </si>
  <si>
    <t>ZX_PE-AU-W-810385</t>
  </si>
  <si>
    <t>Cloud 9 3.4 Oz Edp Women</t>
  </si>
  <si>
    <t>ZX_PE-LT-M-347903</t>
  </si>
  <si>
    <t>Body Spray Asad Bourbon 6.3 Oz Men</t>
  </si>
  <si>
    <t>ZX_PE-LT-M-597096</t>
  </si>
  <si>
    <t>Body Spray Asad 6.3 Oz Men</t>
  </si>
  <si>
    <t>ZX_PE-MA-U-459134</t>
  </si>
  <si>
    <t>B.A.D. Homme 3.4 Oz Edp Unisex</t>
  </si>
  <si>
    <t>ZX_PE-GD-U-039189</t>
  </si>
  <si>
    <t>Grandeur</t>
  </si>
  <si>
    <t>Tubbees Cotton Candy 1.7 Oz Edp Unisex</t>
  </si>
  <si>
    <t>ZX_PE-GD-U-039196</t>
  </si>
  <si>
    <t>Tubbees Bubble Gum 1.7 Oz Edp Unisex</t>
  </si>
  <si>
    <t>ZX_PE-GD-U-099466</t>
  </si>
  <si>
    <t>Tubbees Dreamy Treats 1.7 Oz Edp Unisex</t>
  </si>
  <si>
    <t>ZX_PE-GD-W-039141</t>
  </si>
  <si>
    <t>Tubbees Strawberry Cheesecake 1.7 Oz Edp Women</t>
  </si>
  <si>
    <t>ZX_PE-GD-W-039172</t>
  </si>
  <si>
    <t>Tubbees Chocolate Fudge 1.7 Oz Edp Women</t>
  </si>
  <si>
    <t>ZX_PE-GD-W-099404</t>
  </si>
  <si>
    <t>Tubbees Pink Sugar 1.7 Oz Edp Women</t>
  </si>
  <si>
    <t>ZX_PE-GD-W-099411</t>
  </si>
  <si>
    <t>Tubbees Cherry Luxe 1.7 Oz Edp Women</t>
  </si>
  <si>
    <t>ZX_PE-GD-W-099428</t>
  </si>
  <si>
    <t>Tubbees Sweet Caramel 1.7 Oz Edp Women</t>
  </si>
  <si>
    <t>ZX_PE-GD-W-099435</t>
  </si>
  <si>
    <t>Tubbees Candy Pop 1.7 Oz Edp Women</t>
  </si>
  <si>
    <t>ZX_PE-GD-W-099503</t>
  </si>
  <si>
    <t>Tubbees Berry Blast 1.7 Oz Edp Women</t>
  </si>
  <si>
    <t>ZX_PE-UB-M-731962</t>
  </si>
  <si>
    <t>Magnum Gold 4.3 Oz Edt Men</t>
  </si>
  <si>
    <t>ZX_PE-UB-M-735946</t>
  </si>
  <si>
    <t>Las Vegas 3.4 Oz Edt Men</t>
  </si>
  <si>
    <t>ZX_PE-UB-M-736233</t>
  </si>
  <si>
    <t>Grey 3.4 Oz Edt Men</t>
  </si>
  <si>
    <t>ZX_PE-UB-M-736240</t>
  </si>
  <si>
    <t>Brown 3.4 Oz Edt Men</t>
  </si>
  <si>
    <t>ZX_PE-UB-M-736257</t>
  </si>
  <si>
    <t>Orange 3.4 Oz Edt Men</t>
  </si>
  <si>
    <t>ZX_PE-UB-M-736295</t>
  </si>
  <si>
    <t>Wild Heart 3.4 Oz Edt Men</t>
  </si>
  <si>
    <t>ZX_PE-UB-M-736400</t>
  </si>
  <si>
    <t>Silver Blue  3.4 Oz Edt Men</t>
  </si>
  <si>
    <t>ZX_PE-LT-M-599410</t>
  </si>
  <si>
    <t>Body Spray Fakhar 6.7 Oz Men</t>
  </si>
  <si>
    <t>ZX_PE-LT-M-593241</t>
  </si>
  <si>
    <t>Body Spray Khamrah 6.7 Oz Men</t>
  </si>
  <si>
    <t>ZX_PE-V-W-891092</t>
  </si>
  <si>
    <t>Bright Crystal 3.0 Oz Parfum Women</t>
  </si>
  <si>
    <t>ZX_PE-HB-M-972305</t>
  </si>
  <si>
    <t>Boss The Scent 3.4 Oz Edt Men</t>
  </si>
  <si>
    <t>ZX_PE-CH-W-077160</t>
  </si>
  <si>
    <t>La Bomba 2.7 Oz Edp Women</t>
  </si>
  <si>
    <t>ZX_PE-PCO-U-015534</t>
  </si>
  <si>
    <t>Khair Confection 3.4 Oz Edp Unisex</t>
  </si>
  <si>
    <t>ZX_PE-CK-M-178278</t>
  </si>
  <si>
    <t>Euphoria 3.4 Oz Edt Men</t>
  </si>
  <si>
    <t>ZX_PE-AR-W-027591</t>
  </si>
  <si>
    <t>Body Mist Thank U Next 8 Oz Women Purple</t>
  </si>
  <si>
    <t>ZX_PE-PE-M-000612</t>
  </si>
  <si>
    <t>360 3.4 Oz Edt Men</t>
  </si>
  <si>
    <t>ZX_PE-MA-W-735749</t>
  </si>
  <si>
    <t>Rose Petals  2.7 Oz Edp Women</t>
  </si>
  <si>
    <t>ZX_PE-AH-M-130597</t>
  </si>
  <si>
    <t>Aventure Intense 3.4 Oz Edp Men</t>
  </si>
  <si>
    <t>ZX_PE-PR-M-010518</t>
  </si>
  <si>
    <t>Ultraviolet Man 3.4 Oz Edt Men</t>
  </si>
  <si>
    <t>ZX_PE-AU-U-806814</t>
  </si>
  <si>
    <t>Kunafa Chocolate Pistache 2.37 Oz Edp Unisex</t>
  </si>
  <si>
    <t>ZX_PE-AU-M-804148</t>
  </si>
  <si>
    <t>Set Odyssey Aqua 3.4 Oz 4Pc Edp Men</t>
  </si>
  <si>
    <t>ZX_PE-AU-W-809242</t>
  </si>
  <si>
    <t>Set Yum Yum 3.4 Oz Edp+1.7 Bdy Spray 3.4 250Ml Mist Women</t>
  </si>
  <si>
    <t>ZX_PE-LA-W-069175</t>
  </si>
  <si>
    <t>Idole 3.4 Oz Edp Women</t>
  </si>
  <si>
    <t>ZX_PE-AU-M-815113</t>
  </si>
  <si>
    <t>Set Odyssey Dubai Choclate 3.4 Edp +3.4Bl+1.7Deo+8.4Shampoo Men</t>
  </si>
  <si>
    <t>ZX_PE-LT-M-342472</t>
  </si>
  <si>
    <t>Set Asad 2 Pcs 3.4 Oz Edp Body Spray 6.3 Oz Men</t>
  </si>
  <si>
    <t>ZX_PE-LT-M-345794</t>
  </si>
  <si>
    <t>Set Khamrah 2 Pcs 3.4 Oz Edp Body Spray 6.3 Oz Men</t>
  </si>
  <si>
    <t>ZX_PE-PCO-W-212230</t>
  </si>
  <si>
    <t>Marshmallow Blush 3.4 Oz Edp Women</t>
  </si>
  <si>
    <t>ZX_PE-DG-W-015565</t>
  </si>
  <si>
    <t>Limperatrice 3.3 Oz Edt Women</t>
  </si>
  <si>
    <t>ZX_PE-JM-U-043552</t>
  </si>
  <si>
    <t>Game Of Spades Double Bonus 3.4 Oz Edp Unisex</t>
  </si>
  <si>
    <t>ZX_PE-CH-W-077153</t>
  </si>
  <si>
    <t>La Bomba 1.7 Oz Edp Women</t>
  </si>
  <si>
    <t>ZX_PE-AU-M-199383</t>
  </si>
  <si>
    <t>Orchestra Legato Lux 2.7 Oz Edp Men</t>
  </si>
  <si>
    <t>ZX_PE-AU-M-199390</t>
  </si>
  <si>
    <t>Orchestra Tempo Tune 3.0 Oz Edp Men</t>
  </si>
  <si>
    <t>ZX_PE-MA-M-735558</t>
  </si>
  <si>
    <t>Jean Lowe Matiere  3.4 Oz Edp Men</t>
  </si>
  <si>
    <t>ZX_PE-DM-M-268191</t>
  </si>
  <si>
    <t>Nitro Pour Homme 3.4 Oz Edp Men</t>
  </si>
  <si>
    <t>ZX_PE-RA-M-555125</t>
  </si>
  <si>
    <t>Hawas Atlantis 3.4 Oz Edp Men</t>
  </si>
  <si>
    <t>ZX_PE-EMP-M-908153</t>
  </si>
  <si>
    <t>Set Blue Stallion 2 Pcs 3.4 Oz Edp + 0.6 Oz Men</t>
  </si>
  <si>
    <t>ZX_PE-EMP-M-908139</t>
  </si>
  <si>
    <t>Stallion Uomo Intense  2 Pcs 3.4 Oz Edp 0.6 Oz Men</t>
  </si>
  <si>
    <t>ZX_PE-EMP-W-908146</t>
  </si>
  <si>
    <t>Donna Intense 2 Pcs 3.4 Oz Edp 0.6 Oz Women</t>
  </si>
  <si>
    <t>ZX_PE-TF-U-075138</t>
  </si>
  <si>
    <t>Ombre Leather 1.7 Oz Edp Unisex</t>
  </si>
  <si>
    <t>ZX_PE-DK-W-952417</t>
  </si>
  <si>
    <t>Be Delicious Ice Pop Very Cherry 1.7 Oz Edp Women</t>
  </si>
  <si>
    <t>ZX_PE-PR-W-630264</t>
  </si>
  <si>
    <t>Million Gold 3.0 Oz Edp Women Refillable</t>
  </si>
  <si>
    <t>ZX_PE-AU-W-804155</t>
  </si>
  <si>
    <t>Set Odyssey Candee 3.4 Oz Edp +3.4Bl+1.7 Oz Deo+8.4 Body Mist Women</t>
  </si>
  <si>
    <t>ZX_PE-AU-M-806319</t>
  </si>
  <si>
    <t>Set Tag Uomo Rosso 3.4 Oz Edp +3.4Bl+1.7 Oz Deo+8.4 Oz Shampoo Men</t>
  </si>
  <si>
    <t>ZX_PE-AU-M-156119</t>
  </si>
  <si>
    <t>Set Club De Nuit Club De Nuit Classic 3.4 Oz Edp- 4 Pc Men</t>
  </si>
  <si>
    <t>ZX_PE-AU-W-805251</t>
  </si>
  <si>
    <t>Mirage 3.4 Oz Edp Women</t>
  </si>
  <si>
    <t>ZX_PE-AU-M-812075</t>
  </si>
  <si>
    <t>Odyssey Mandarin Sky Vintage Edition 3.4 Oz Edp Men</t>
  </si>
  <si>
    <t>ZX_PE-AB-M-971857</t>
  </si>
  <si>
    <t>The Icon 3.4 Oz Edt Men</t>
  </si>
  <si>
    <t>ZX_PE-LT-M-349389</t>
  </si>
  <si>
    <t>Set Asad 3 Pcs 3.4 Oz Edp + 12Ml Travel Spray + 3.4 Oz Shower Gel Men</t>
  </si>
  <si>
    <t>ZX_PE-LT-W-349235</t>
  </si>
  <si>
    <t>Set Yara  3 Pcs 3.4 Oz Edp + 12Ml Travel Spray + 50Ml Hairmist Women</t>
  </si>
  <si>
    <t>ZX_PE-LT-W-349341</t>
  </si>
  <si>
    <t>Set Eclaire  3 Pcs 3.4 Oz Edp + 12Ml Travel Spray + 50Ml Hairmist Women</t>
  </si>
  <si>
    <t>ZX_PE-LT-M-347170</t>
  </si>
  <si>
    <t>Set Pisa 4 Pcs 3.4 Oz Edp + 20Ml Edp + 200Ml Perfumed Spray Men</t>
  </si>
  <si>
    <t>ZX_PE-LT-W-349372</t>
  </si>
  <si>
    <t>Set Angham  3 Pcs 3.4 Oz Edp + 12Ml Travel Spray + 50Ml Hairmist Women</t>
  </si>
  <si>
    <t>ZX_PE-LT-M-349396</t>
  </si>
  <si>
    <t>Set Asad Bourbon 3 Pcs 3.4 Oz Edp + 12Ml Travel Spray + 3.4 Oz Shower Gel Men</t>
  </si>
  <si>
    <t>ZX_PE-LT-W-349242</t>
  </si>
  <si>
    <t>Set Yara Candy  3 Pcs 3.4 Oz Edp + 12Ml Travel Spray + 50Ml Hairmist Women</t>
  </si>
  <si>
    <t>ZX_PE-LT-U-349358</t>
  </si>
  <si>
    <t>Set Badee Al Oud Sublime  3 Pcs 3.4 Oz Edp + 12Ml Travel Spray + 50Ml Hairmist Unisex</t>
  </si>
  <si>
    <t>ZX_PE-LT-W-349297</t>
  </si>
  <si>
    <t>Set Mayar  3 Pcs 3.4 Oz Edp + 12Ml Travel Spray + 50Ml Hairmist Women</t>
  </si>
  <si>
    <t>ZX_PE-LT-W-349327</t>
  </si>
  <si>
    <t>Set Haya 3 Pcs 3.4 Oz Edp + 12Ml Travel Spray + 50Ml Hairmist Women</t>
  </si>
  <si>
    <t>ZX_PE-AU-M-188639</t>
  </si>
  <si>
    <t>Odyssey Limoni 3.4 Oz Edp Men</t>
  </si>
  <si>
    <t>ZX_PE-BHA-U-062707</t>
  </si>
  <si>
    <t>King Soleil 3.4 Oz Edp Unisex</t>
  </si>
  <si>
    <t>ZX_PE-AR-W-507151</t>
  </si>
  <si>
    <t>Set Cloud Pink 3.4 Oz Edp + 3.4 Shower Gel + 3.4 Body Lotion Women</t>
  </si>
  <si>
    <t>ZX_PE-MA-M-344094</t>
  </si>
  <si>
    <t>Glacier Gold 3.4 Oz  Edp Men</t>
  </si>
  <si>
    <t>ZX_PE-LT-U-738214</t>
  </si>
  <si>
    <t>Al Qiam Gold 3.4 Oz Edp Unisex</t>
  </si>
  <si>
    <t>ZX_PE-JD-M-462516</t>
  </si>
  <si>
    <t>Halloween Man 4.2 Oz Edt Men</t>
  </si>
  <si>
    <t>ZX_PE-AU-W-148343</t>
  </si>
  <si>
    <t>Set Club The Nuit Parfum, Club De Nuit Women Edp 1 Oz, Club De Nuit Milestone Edp 1 Oz, Club De Nuit Intense Women Edp 1 Oz</t>
  </si>
  <si>
    <t>ZX_PE-LT-U-738481</t>
  </si>
  <si>
    <t>Sakeena 3.4 Oz Edp Unisex</t>
  </si>
  <si>
    <t>ZX_PE-DK-W-237564</t>
  </si>
  <si>
    <t>Golden Delicious 3.4 Oz Edp Women</t>
  </si>
  <si>
    <t>ZX_PE-AU-W-815045</t>
  </si>
  <si>
    <t>Delights Dubai Delicacy Cotton Candy 2.37 Oz Edp Women</t>
  </si>
  <si>
    <t>ZX_PE-AU-M-175400</t>
  </si>
  <si>
    <t>Set Club De Nuit Untold 3.4/1.7 Body Spr/2.6 Deo Stick /3.4Bl-4Pc Men</t>
  </si>
  <si>
    <t>ZX_PE-BHA-M-062837</t>
  </si>
  <si>
    <t>Rome Extradose Pour Homme 3.4 Oz Edp Men</t>
  </si>
  <si>
    <t>ZX_PE-IM-M-878857</t>
  </si>
  <si>
    <t>Set Leau Dissey 2Pc ( 4.2 Oz Edt, 1.3 Oz Edt) Men</t>
  </si>
  <si>
    <t>ZX_PE-IM-W-118761</t>
  </si>
  <si>
    <t>Set Leau Dissey  2Pcs 3.3 Oz Edt ,+ 2.6 Oz Body Cream Women</t>
  </si>
  <si>
    <t>ZX_PE-PH-M-536094</t>
  </si>
  <si>
    <t>Set Paris Hilton 4Pc 3.4 Oz Edt ,3.0 Oz Wash, 2.75 Oz Alcohol Free Deo Stick, 0.25 Oz Edt Men</t>
  </si>
  <si>
    <t>ZX_PE-V-M-900039</t>
  </si>
  <si>
    <t>Set Eros Flame 3Pc (3.4 Oz Edp, 5.0 Oz Bath &amp; Shower Gel, 0.17 Oz Edp Mini)</t>
  </si>
  <si>
    <t>ZX_PE-MO-U-900190</t>
  </si>
  <si>
    <t>Set Toy 2 Pearl 3Pcs 3.4 Edp + 3.4 Oz Body Lotion + 0.34 Oz Mini Unisex</t>
  </si>
  <si>
    <t>ZX_PE-DM-M-769565</t>
  </si>
  <si>
    <t>Nitro Red Intensely 3.4 Oz Edp Men</t>
  </si>
  <si>
    <t>ZX_PE-LQ-W-501466</t>
  </si>
  <si>
    <t>Amethyste Eclat 3.4 Oz Edp Women</t>
  </si>
  <si>
    <t>ZX_PE-MB-W-066181</t>
  </si>
  <si>
    <t>Emblem 2.5 Oz Edp Women</t>
  </si>
  <si>
    <t>ZX_PE-MDM-W-624085</t>
  </si>
  <si>
    <t>Maison de Milan </t>
  </si>
  <si>
    <t>Delight EDP 100 ml Women</t>
  </si>
  <si>
    <t>ZX_PE-MJ-W-764241</t>
  </si>
  <si>
    <t>Daisy Dream 3.4 Oz Edt Women</t>
  </si>
  <si>
    <t>ZX_PE-MK-W-289655</t>
  </si>
  <si>
    <t>Sexy Amber 3.4 Oz Edp Women</t>
  </si>
  <si>
    <t>ZX_PE-MM-M-074186</t>
  </si>
  <si>
    <t>Replica Autumn Vibes 3.4 Oz Edt Men</t>
  </si>
  <si>
    <t>ZX_PE-MM-U-612678</t>
  </si>
  <si>
    <t>Replica When The Rain Stops 3.4 Oz Edt Unisex</t>
  </si>
  <si>
    <t>ZX_PE-MT-W-455770</t>
  </si>
  <si>
    <t>Arabians 3.4 Oz Edp Women</t>
  </si>
  <si>
    <t>ZX_PE-MZ-M-041012</t>
  </si>
  <si>
    <t>Club 3.4 Oz Edt Men</t>
  </si>
  <si>
    <t>ZX_PE-MZ-M-061010</t>
  </si>
  <si>
    <t>Mercedes Benz Men 3.4 Oz Edt Blue Box</t>
  </si>
  <si>
    <t>ZX_PE-MZ-M-061096</t>
  </si>
  <si>
    <t>Private 3.4 Oz Edp Men</t>
  </si>
  <si>
    <t>ZX_PE-NY-W-950222</t>
  </si>
  <si>
    <t>Nectar Love 3.4 Oz Edp Women</t>
  </si>
  <si>
    <t>ZX_PE-OD-W-583161</t>
  </si>
  <si>
    <t>Oscar De La Renta</t>
  </si>
  <si>
    <t>Volupte 3.3 Oz Edt Women</t>
  </si>
  <si>
    <t>ZX_PE-PE-M-000469</t>
  </si>
  <si>
    <t>360 White 3.4 Oz Edt Men</t>
  </si>
  <si>
    <t>ZX_PE-PE-M-010161</t>
  </si>
  <si>
    <t>Perry Ellis Red 5.0 Oz Edt Men</t>
  </si>
  <si>
    <t>ZX_PE-PE-M-012899</t>
  </si>
  <si>
    <t>Set 360 Black 3 Pc 3.4 Oz Edt + 3.0 Oz Sg + Mini Men</t>
  </si>
  <si>
    <t>ZX_PE-PE-M-015586</t>
  </si>
  <si>
    <t>Set  Aqua 4 Pc  3.4 Oz Edt + 6.8 Oz Deo + 1.7 Oz Sg + 7.5 Ml Edt Men</t>
  </si>
  <si>
    <t>ZX_PE-PE-M-015678</t>
  </si>
  <si>
    <t>Set 360 Red 4 Pc 3.4 Oz Edt + 6.0 Oz Deo + 3.0 Oz Sg + Mini Men</t>
  </si>
  <si>
    <t>ZX_PE-PE-M-016750</t>
  </si>
  <si>
    <t>Set  360 Very Blue 4 Pc 3.4 Oz Edt + Body Spr 6.8 Oz  + Shower Gel 3.0 S/Oz + Mini Men</t>
  </si>
  <si>
    <t>ZX_PE-PE-W-005105</t>
  </si>
  <si>
    <t>360 Pink 3.3 Oz Edp Women</t>
  </si>
  <si>
    <t>ZX_PE-PE-W-009400</t>
  </si>
  <si>
    <t>360 Coral 3.4 Oz Edp Women</t>
  </si>
  <si>
    <t>ZX_PE-PE-W-013322</t>
  </si>
  <si>
    <t>Set 360 Coral 3.4 Oz Edp &amp; Body Mist 4 Oz &amp; Shower Gel 3 Oz &amp; Edp 0.25 Oz Women</t>
  </si>
  <si>
    <t>ZX_PE-PE-W-014497</t>
  </si>
  <si>
    <t>Body Mist 360 Coral 8.0 Oz Women</t>
  </si>
  <si>
    <t>ZX_PE-PE-W-014695</t>
  </si>
  <si>
    <t>Set 360 Red 3 Pc 3.4 Oz Edp + 3.0 Oz SG + 0.25 Oz Edp Women</t>
  </si>
  <si>
    <t>ZX_PE-PE-W-015531</t>
  </si>
  <si>
    <t>Set 360 4 Pc 3.4 Oz Edt  + 4.0 Oz Mist + 3.0 Oz Sg + 0.25 Oz Mini Women</t>
  </si>
  <si>
    <t>ZX_PE-PH-W-581513</t>
  </si>
  <si>
    <t>Body Mist Electrify 8 Oz Women</t>
  </si>
  <si>
    <t>ZX_PE-P-M-768825</t>
  </si>
  <si>
    <t>Luna Rossa Ocean 1.7 Oz Edp Men</t>
  </si>
  <si>
    <t>ZX_PE-PR-M-582365</t>
  </si>
  <si>
    <t>Phantom 1.7 Oz Edt Men</t>
  </si>
  <si>
    <t>ZX_PE-PR-W-595945</t>
  </si>
  <si>
    <t>Fame 6.7 Oz Edp Women Refillable</t>
  </si>
  <si>
    <t>ZX_PE-RL-M-022928</t>
  </si>
  <si>
    <t>Polo Blue 4.2 Oz Edt Men</t>
  </si>
  <si>
    <t>ZX_PE-RL-M-670978</t>
  </si>
  <si>
    <t>Red Rush 2.5 Oz Edt Men</t>
  </si>
  <si>
    <t>ZX_PE-RL-W-009363</t>
  </si>
  <si>
    <t>Ralph 3.4 Oz Edt Women</t>
  </si>
  <si>
    <t>ZX_PE-SF-M-372979</t>
  </si>
  <si>
    <t>Uomo Casual Life 3.4 Oz Edt Men</t>
  </si>
  <si>
    <t>ZX_PE-SF-W-377240</t>
  </si>
  <si>
    <t>Signorina Ribelle 3.4 Oz Edp Women</t>
  </si>
  <si>
    <t>ZX_PE-SF-W-959721</t>
  </si>
  <si>
    <t>Signorina Misteriosa 3.4 Oz Edp Women</t>
  </si>
  <si>
    <t>ZX_PE-SH-W-783368</t>
  </si>
  <si>
    <t>Rock 2.7 Oz Edt Women</t>
  </si>
  <si>
    <t>ZX_PE-TF-U-000499</t>
  </si>
  <si>
    <t>Noir De Noir 1.7 Edp Unisex</t>
  </si>
  <si>
    <t>ZX_PE-TM-W-048162</t>
  </si>
  <si>
    <t>Angel 3.4 Oz Edt Women Refillable</t>
  </si>
  <si>
    <t>ZX_PE-TM-W-056969</t>
  </si>
  <si>
    <t>Alien 3.0 Oz Edp Women Refillable</t>
  </si>
  <si>
    <t>ZX_PE-TO-W-505870</t>
  </si>
  <si>
    <t>Touch The Luminous Gold 3.4 Oz Edt Women</t>
  </si>
  <si>
    <t>ZX_PE-UB-M-222691</t>
  </si>
  <si>
    <t>Hot 3.3 Oz Edt Men</t>
  </si>
  <si>
    <t>ZX_PE-UB-M-222844</t>
  </si>
  <si>
    <t>Fierce 3.3 Oz Edt Men</t>
  </si>
  <si>
    <t>ZX_PE-UB-M-223711</t>
  </si>
  <si>
    <t>Altus 3.3 Oz Edt Men</t>
  </si>
  <si>
    <t>ZX_PE-UB-M-223742</t>
  </si>
  <si>
    <t>Oud 3.3 Oz Edt Men</t>
  </si>
  <si>
    <t>ZX_PE-UB-M-732402</t>
  </si>
  <si>
    <t>Black 3.4 Oz Edt Men</t>
  </si>
  <si>
    <t>ZX_PE-UB-M-735953</t>
  </si>
  <si>
    <t>Copa Cabana 3.4 Oz Edt Men</t>
  </si>
  <si>
    <t>ZX_PE-UB-M-736264</t>
  </si>
  <si>
    <t>Green 3.4 Oz Edt Men</t>
  </si>
  <si>
    <t>ZX_PE-V-M-809202</t>
  </si>
  <si>
    <t>Eros 1.7 Oz Edt Men</t>
  </si>
  <si>
    <t>ZX_PE-V-M-845347</t>
  </si>
  <si>
    <t>Eros Flame 1.7 Oz Edp Men</t>
  </si>
  <si>
    <t>ZX_PE-V-M-861903</t>
  </si>
  <si>
    <t>Eros 1.7 Oz Edp Men</t>
  </si>
  <si>
    <t>ZX_PE-V-M-995967</t>
  </si>
  <si>
    <t>Signature 3.4 Oz Edt Men</t>
  </si>
  <si>
    <t>ZX_PE-VR-M-308229</t>
  </si>
  <si>
    <t>Spicebomb Infrared 3 Oz Edt Men</t>
  </si>
  <si>
    <t>ZX_PE-VR-M-515629</t>
  </si>
  <si>
    <t>Spicebomb 1.7 Oz Edp Men</t>
  </si>
  <si>
    <t>ZX_PE-VR-M-820891</t>
  </si>
  <si>
    <t>Spicebomb 5.07 Oz Edt Men</t>
  </si>
  <si>
    <t>ZX_PE-V-W-993826</t>
  </si>
  <si>
    <t>Bright Crystal 3.0 Oz Edt Women</t>
  </si>
  <si>
    <t>ZX_PE-VW-W-001778</t>
  </si>
  <si>
    <t>Vera Wang</t>
  </si>
  <si>
    <t>Vera Wang 3.4 Oz Edp Women</t>
  </si>
  <si>
    <t>ZX_PE-VX-M-127587</t>
  </si>
  <si>
    <t>Swiss Army Sport 3.4 Oz Edt Men</t>
  </si>
  <si>
    <t>ZX_PE-VX-M-211767</t>
  </si>
  <si>
    <t>Swiss Army Wood 3.4 Oz Edt Men</t>
  </si>
  <si>
    <t>ZX_PE-XJ-U-155070</t>
  </si>
  <si>
    <t>Xj 1861 Naxos 3.4 Oz Edp Unisex</t>
  </si>
  <si>
    <t>ZX_PE-XJ-U-902379</t>
  </si>
  <si>
    <t>Torino21 3.4 Oz Edp Unisex</t>
  </si>
  <si>
    <t>ZX_PE-YL-M-050341</t>
  </si>
  <si>
    <t>Y 2.0 Oz Edp Men</t>
  </si>
  <si>
    <t>ZX_PE-YL-W-787971</t>
  </si>
  <si>
    <t>Opium Black 3.0 Oz Edp Women</t>
  </si>
  <si>
    <t>ZX_PE-AH-U-132300</t>
  </si>
  <si>
    <t>Amber Oud Black 6.7 Oz Edp Unisex</t>
  </si>
  <si>
    <t>ZX_PE-ATR-U-296017</t>
  </si>
  <si>
    <t>Amora Serenity 3.4 Oz Extrait De Parfum</t>
  </si>
  <si>
    <t>ZX_PE-ATR-U-296057</t>
  </si>
  <si>
    <t>Amora Essence 3.4 Oz Extrait De Parfum</t>
  </si>
  <si>
    <t>ZX_PE-ATR-U-296064</t>
  </si>
  <si>
    <t>Amora Lumere 3.4 Oz Extrait De Parfum</t>
  </si>
  <si>
    <t>ZX_PE-AU-M-103533</t>
  </si>
  <si>
    <t>Flavia</t>
  </si>
  <si>
    <t>Martine 3.4 Oz Edp Men</t>
  </si>
  <si>
    <t>ZX_PE-AU-M-106169</t>
  </si>
  <si>
    <t>Platinum 3.4 Oz Edp Men</t>
  </si>
  <si>
    <t>ZX_PE-AU-M-106176</t>
  </si>
  <si>
    <t>Rouge 3.4 Oz Edp Women</t>
  </si>
  <si>
    <t>ZX_PE-AU-U-164374</t>
  </si>
  <si>
    <t>Club De Nuit Milestone Parfum Oil 18Ml Edp Unisex</t>
  </si>
  <si>
    <t>ZX_PE-AW-W-042806</t>
  </si>
  <si>
    <t>Tibyan 3.4 oz Edp Women</t>
  </si>
  <si>
    <t>ZX_PE-BHA-M-670206</t>
  </si>
  <si>
    <t>Rome Ivory Pour Homme 3.4 Oz Edp Men</t>
  </si>
  <si>
    <t>ZX_PE-LT-M-738269</t>
  </si>
  <si>
    <t>Awaan 3.4 Oz Edp Men</t>
  </si>
  <si>
    <t>ZX_PE-LT-U-060546</t>
  </si>
  <si>
    <t>Set Pure Musk 3.4 Oz Edp Unisex + 1.7 Oz Deo</t>
  </si>
  <si>
    <t>ZX_PE-LT-U-065114</t>
  </si>
  <si>
    <t>Oud Mood 3.4 Oz Edp Unisex</t>
  </si>
  <si>
    <t>ZX_PE-LT-U-456072</t>
  </si>
  <si>
    <t>Raed Silver 3.4 Oz Edp Men</t>
  </si>
  <si>
    <t>ZX_PE-LT-U-738009</t>
  </si>
  <si>
    <t>Al Noble Safeer Green 3.4 Oz Edp Unisex</t>
  </si>
  <si>
    <t>ZX_PE-MA-U-735435</t>
  </si>
  <si>
    <t>Infini Rose 3.4 Oz Edp Unisex</t>
  </si>
  <si>
    <t>ZX_PE-MA-U-736050</t>
  </si>
  <si>
    <t>Baroque Satin Oud  3.4 Oz Edp Unisex</t>
  </si>
  <si>
    <t>ZX_PE-MA-W-340966</t>
  </si>
  <si>
    <t>Victoria Flower Rosa Lilium 3.4 Oz Edp Women</t>
  </si>
  <si>
    <t>ZX_PE-NU-W-459455</t>
  </si>
  <si>
    <t>Areej Al Zahoor By Rihanah 3.4 Oz Edp Women</t>
  </si>
  <si>
    <t>ZX_PE-NU-W-591407</t>
  </si>
  <si>
    <t>Fawa 2.7 Oz Edp Unisex</t>
  </si>
  <si>
    <t>ZX_PE-OR-U-811520</t>
  </si>
  <si>
    <t>Oud Saffron 2.7 Oz Edp Unisex</t>
  </si>
  <si>
    <t>ZX_PE-RI-M-454894</t>
  </si>
  <si>
    <t>Bleu Absolu 3.4 Oz Edp Men</t>
  </si>
  <si>
    <t>ZX_PE-RI-M-595573</t>
  </si>
  <si>
    <t>Honour Pour Homme 3.4 Oz Edp Men</t>
  </si>
  <si>
    <t>ZX_PE-RI-U-597768</t>
  </si>
  <si>
    <t>Montano Absolu 3.4 Oz Edp Unisex</t>
  </si>
  <si>
    <t>ZX_PE-RI-W-591469</t>
  </si>
  <si>
    <t>Mystere 2.7 Oz Edp Women</t>
  </si>
  <si>
    <t>ZX_PE-ZA-U-727584</t>
  </si>
  <si>
    <t>Royale Black 2.7 Oz Edp Men</t>
  </si>
  <si>
    <t>ZX_PE-ZA-U-727591</t>
  </si>
  <si>
    <t>Royale Emerald 2.7 Oz Edp Unisex</t>
  </si>
  <si>
    <t>ZX_PE-AB-M-820223</t>
  </si>
  <si>
    <t>Radiant Seduction In Black 3.4 Oz Edt Men</t>
  </si>
  <si>
    <t>ZX_PE-AB-M-849330</t>
  </si>
  <si>
    <t>Diavolo 3.4 Oz Edt Men</t>
  </si>
  <si>
    <t>ZX_PE-AB-M-849361</t>
  </si>
  <si>
    <t>Diavolo 6.7 Oz Edt Men</t>
  </si>
  <si>
    <t>ZX_PE-AF-W-167224</t>
  </si>
  <si>
    <t>Abercrombie &amp; Fitch</t>
  </si>
  <si>
    <t>First Instinct Blue 3.4 Oz Edp Women</t>
  </si>
  <si>
    <t>ZX_PE-AQ-W-164335</t>
  </si>
  <si>
    <t>Pink Sugar 3.4 Oz Edt Women</t>
  </si>
  <si>
    <t>ZX_PE-ARM-W-347877</t>
  </si>
  <si>
    <t>Acqua Di Gioia Terra 1.7 Oz Edp Women</t>
  </si>
  <si>
    <t>ZX_PE-AS-W-634939</t>
  </si>
  <si>
    <t>Alfred Sung</t>
  </si>
  <si>
    <t>Body Mist Shi 8.0 Oz Women</t>
  </si>
  <si>
    <t>ZX_PE-A-W-017478</t>
  </si>
  <si>
    <t>Wanted Girl Tonic 1.7 Oz Edt Women</t>
  </si>
  <si>
    <t>ZX_PE-BD-M-000605</t>
  </si>
  <si>
    <t>Chez Bond 1.7 Oz Edp Men</t>
  </si>
  <si>
    <t>ZX_PE-BD-W-005532</t>
  </si>
  <si>
    <t>Dubai Amber 3.4 Oz Edp Women</t>
  </si>
  <si>
    <t>ZX_PE-BD-W-005723</t>
  </si>
  <si>
    <t>Nolita 3.4  Oz Edp Women</t>
  </si>
  <si>
    <t>ZX_PE-BD-W-007420</t>
  </si>
  <si>
    <t>My New York 3.4 Oz Edp Women</t>
  </si>
  <si>
    <t>ZX_PE-BN-M-013201</t>
  </si>
  <si>
    <t>ZX_PE-BOU-W-036351</t>
  </si>
  <si>
    <t>Boucheron 3.4 Oz Edp Women</t>
  </si>
  <si>
    <t>ZX_PE-BS-W-250436</t>
  </si>
  <si>
    <t>Fantasy Festive 3.4 Oz Edt Women</t>
  </si>
  <si>
    <t>ZX_PE-BT-M-191140</t>
  </si>
  <si>
    <t>Momentum Unlimited 3.4 Oz Edt Men</t>
  </si>
  <si>
    <t>ZX_PE-BTO-M-550334</t>
  </si>
  <si>
    <t>Tribu 3.4 Oz Edp Men</t>
  </si>
  <si>
    <t>ZX_PE-BV-W-410888</t>
  </si>
  <si>
    <t>Omnia Golden Citrine 2.2 Oz Edt Women</t>
  </si>
  <si>
    <t>ZX_PE-BV-W-977343</t>
  </si>
  <si>
    <t>Splendida Magnolia Sensuel 3.4 Oz Edp Women</t>
  </si>
  <si>
    <t>ZX_PE-CD-M-292276</t>
  </si>
  <si>
    <t>Sauvage 2.5 Oz Deo Stick Men</t>
  </si>
  <si>
    <t>ZX_PE-CD-M-484893</t>
  </si>
  <si>
    <t>Dior Homme 2.6 Oz Deo Stick Men</t>
  </si>
  <si>
    <t>ZX_PE-CH-M-057193</t>
  </si>
  <si>
    <t>Bad Boy Extreme 1.7 Oz Edp Men</t>
  </si>
  <si>
    <t>ZX_PE-CH-M-982075</t>
  </si>
  <si>
    <t>Bad Boy Power Up 3.4 Oz Edt Men</t>
  </si>
  <si>
    <t>ZX_PE-CH-W-041659</t>
  </si>
  <si>
    <t>Very Good Girl 1.0 Oz Edp Women</t>
  </si>
  <si>
    <t>ZX_PE-CH-W-058459</t>
  </si>
  <si>
    <t>Very Good Girl Glam 2.8 Oz Edp Women</t>
  </si>
  <si>
    <t>ZX_PE-CH-W-058466</t>
  </si>
  <si>
    <t>Good Girl Very Good Girl Glam 1.7 Oz Edp Women</t>
  </si>
  <si>
    <t>ZX_PE-CH-W-841655</t>
  </si>
  <si>
    <t>Good Girl 6.8 Oz Shower Gel Women</t>
  </si>
  <si>
    <t>ZX_PE-CK-M-015580</t>
  </si>
  <si>
    <t>Free 3.4 Oz Edt Men</t>
  </si>
  <si>
    <t>ZX_PE-CK-M-605538</t>
  </si>
  <si>
    <t>Eternity 3.4 Oz After Shave Lotion Men</t>
  </si>
  <si>
    <t>ZX_PE-CK-M-606511</t>
  </si>
  <si>
    <t>Obsession 4.0 Oz Edt Men</t>
  </si>
  <si>
    <t>ZX_PE-CK-M-670435</t>
  </si>
  <si>
    <t>Eternity Flame 3.4 Oz Edt Men</t>
  </si>
  <si>
    <t>ZX_PE-CK-U-656145</t>
  </si>
  <si>
    <t>Everyone 3.3 Oz Edt Unisex</t>
  </si>
  <si>
    <t>ZX_PE-CK-W-139507</t>
  </si>
  <si>
    <t>Eternity Moment 3.4 Oz Edp Women</t>
  </si>
  <si>
    <t>ZX_PE-CK-W-213267</t>
  </si>
  <si>
    <t>Beauty 3.4 Oz Edp Women</t>
  </si>
  <si>
    <t>ZX_PE-CQ-W-881436</t>
  </si>
  <si>
    <t>Happy Heart 1.7 Oz Edp Women</t>
  </si>
  <si>
    <t>ZX_PE-CRE-M-001022</t>
  </si>
  <si>
    <t>Green Irish Tweed 3.4 Oz Edp Men</t>
  </si>
  <si>
    <t>ZX_PE-CRE-W-104617</t>
  </si>
  <si>
    <t>Love In White 2.5 Oz Edp Women</t>
  </si>
  <si>
    <t>ZX_PE-CRE-W-506955</t>
  </si>
  <si>
    <t>Love In White Summer 2.5 Oz Edp Women</t>
  </si>
  <si>
    <t>ZX_PE-CR-M-500533</t>
  </si>
  <si>
    <t>Pasha Noire 5.0 Oz Edt Men</t>
  </si>
  <si>
    <t>ZX_PE-DG-M-110651</t>
  </si>
  <si>
    <t>Light Blue 5 Oz Summer Gel Men</t>
  </si>
  <si>
    <t>ZX_PE-DG-M-183913</t>
  </si>
  <si>
    <t>King 6.7 Oz Edt Men</t>
  </si>
  <si>
    <t>ZX_PE-DI-M-277693</t>
  </si>
  <si>
    <t>Fluel For Life 4.2 Oz Edt Men</t>
  </si>
  <si>
    <t>ZX_PE-DI-M-631908</t>
  </si>
  <si>
    <t>Spirit Of The Brave 4.2 Oz Edt Gold Box Men</t>
  </si>
  <si>
    <t>ZX_PE-DI-M-693509</t>
  </si>
  <si>
    <t>Diesel D 3.4 Oz Edt Men</t>
  </si>
  <si>
    <t>ZX_PE-DK-W-100019</t>
  </si>
  <si>
    <t>Dkny 3.4 Oz Edp Women</t>
  </si>
  <si>
    <t>ZX_PE-D-M-163773</t>
  </si>
  <si>
    <t>Hot Water 3.7 Oz Edt Men</t>
  </si>
  <si>
    <t>ZX_PE-ET-W-635059</t>
  </si>
  <si>
    <t>Body Mist Arkling White Diamonds 8 Oz Women</t>
  </si>
  <si>
    <t>ZX_PE-GA-M-078500</t>
  </si>
  <si>
    <t>Acqua Di Gio 6.7 Oz Edt Men</t>
  </si>
  <si>
    <t>ZX_PE-GA-M-381034</t>
  </si>
  <si>
    <t>Diamond 1.7 Oz Edt Men</t>
  </si>
  <si>
    <t>ZX_PE-GA-M-604932</t>
  </si>
  <si>
    <t>Code Le Parfum 4.2 Oz Edp Men</t>
  </si>
  <si>
    <t>ZX_PE-GI-W-350823</t>
  </si>
  <si>
    <t>Dahlia Divin Nude 1.0 Oz Edp Women</t>
  </si>
  <si>
    <t>ZX_PE-GI-W-389977</t>
  </si>
  <si>
    <t>Organza 3.4 Oz Edp Women</t>
  </si>
  <si>
    <t>ZX_PE-GL-M-009436</t>
  </si>
  <si>
    <t>Drakkar Noir 3.4 Oz Edt Men</t>
  </si>
  <si>
    <t>ZX_PE-GL-M-017332</t>
  </si>
  <si>
    <t>Drakkar Noir 6.7 Oz Edt Men</t>
  </si>
  <si>
    <t>ZX_PE-G-M-382129</t>
  </si>
  <si>
    <t>Guilty 3.0 Oz Edp Men</t>
  </si>
  <si>
    <t>ZX_PE-GR-M-301863</t>
  </si>
  <si>
    <t>Homme Ideal 3.4 Oz Edt Men</t>
  </si>
  <si>
    <t>ZX_PE-G-W-514298</t>
  </si>
  <si>
    <t>Bloom 3.4 Oz Edt Women</t>
  </si>
  <si>
    <t>ZX_PE-G-W-976141</t>
  </si>
  <si>
    <t>Guilty 3 Oz Edt Women</t>
  </si>
  <si>
    <t>ZX_PE-HB-M-972268</t>
  </si>
  <si>
    <t>Boss The Scent 1.6 Oz Edt Men</t>
  </si>
  <si>
    <t>ZX_PE-HB-W-238050</t>
  </si>
  <si>
    <t>Boss Orange 1.0 Oz Edt Women</t>
  </si>
  <si>
    <t>ZX_PE-HB-W-802800</t>
  </si>
  <si>
    <t>Ma Vie 2.5 Oz Edp Women</t>
  </si>
  <si>
    <t>ZX_PE-HE-M-009610</t>
  </si>
  <si>
    <t>Terre Dhermes 1.6 Oz Edt Men</t>
  </si>
  <si>
    <t>ZX_PE-HE-M-400072</t>
  </si>
  <si>
    <t>Terre D'Hermes 0.42 Oz Edt Men</t>
  </si>
  <si>
    <t>ZX_PE-HO-M-260123</t>
  </si>
  <si>
    <t>Tester Wave 2 3.4 Oz Edt Men</t>
  </si>
  <si>
    <t>ZX_PE-HO-W-261120</t>
  </si>
  <si>
    <t>Tester Wave 2 3.4 Oz Edp Women</t>
  </si>
  <si>
    <t>ZX_PE-IM-M-883950</t>
  </si>
  <si>
    <t>Nuit D'issey Parfum 4.2 Oz Edp Men</t>
  </si>
  <si>
    <t>ZX_PE-JD-M-002019</t>
  </si>
  <si>
    <t>Tester Halloween Man 4.2 Oz Edt Men</t>
  </si>
  <si>
    <t>ZX_PE-JH-M-001016</t>
  </si>
  <si>
    <t>John Varvatos</t>
  </si>
  <si>
    <t>Jhon Varvatos 4.2 Oz Edt Men</t>
  </si>
  <si>
    <t>ZX_PE-JP-M-030908</t>
  </si>
  <si>
    <t>Scandal Him 1.7 Oz Edt Men</t>
  </si>
  <si>
    <t>ZX_PE-JP-W-058711</t>
  </si>
  <si>
    <t>So Scandal Woman 1.7 Oz Edp Women</t>
  </si>
  <si>
    <t>ZX_PE-JV-M-629379</t>
  </si>
  <si>
    <t>Artisan Blue 4.2 Oz Edt Men</t>
  </si>
  <si>
    <t>ZX_PE-K-W-420359</t>
  </si>
  <si>
    <t>Flower 3.4 Oz Edt Women</t>
  </si>
  <si>
    <t>ZX_PE-LA-W-029383</t>
  </si>
  <si>
    <t>Miracle 3.4 Oz Edp Women</t>
  </si>
  <si>
    <t>ZX_PE-LA-W-612768</t>
  </si>
  <si>
    <t>La Vie Est Belle 1.7 Oz Edp Women</t>
  </si>
  <si>
    <t>ZX_PE-LCH-U-664938</t>
  </si>
  <si>
    <t>Espada Oud Intense 3.4 Oz Edt Unisex</t>
  </si>
  <si>
    <t>ZX_PE-L-M-662664</t>
  </si>
  <si>
    <t>Noir 3.3 Oz Edt Men</t>
  </si>
  <si>
    <t>ZX_PE-LO-W-849303</t>
  </si>
  <si>
    <t>Lolita Lempicka</t>
  </si>
  <si>
    <t>Lolita Lempicka 3.4 Oz Edp Women</t>
  </si>
  <si>
    <t>ZX_PE-LQ-M-022522</t>
  </si>
  <si>
    <t>Encre Noire 3.3 Oz Edt Men</t>
  </si>
  <si>
    <t>ZX_PE-BTO-M-002380</t>
  </si>
  <si>
    <t>Tester United Dreams Go Far 3.4 Oz Edt Men</t>
  </si>
  <si>
    <t>ZX_PE-FA-M-796347</t>
  </si>
  <si>
    <t>Faconnable</t>
  </si>
  <si>
    <t>Faconnable 3.4 Oz Edt Men</t>
  </si>
  <si>
    <t>ZX_PE-FR-M-000455</t>
  </si>
  <si>
    <t>Fred Hayman</t>
  </si>
  <si>
    <t>273 Rodeo Drive 2.5 Oz Edc Men</t>
  </si>
  <si>
    <t>ZX_PE-GA-M-256650</t>
  </si>
  <si>
    <t>Set Code 2Pc 4.2 Oz Edt Men + 1.7 Oz Edt Men</t>
  </si>
  <si>
    <t>ZX_PE-GA-W-220965</t>
  </si>
  <si>
    <t>Set Si 2 Pc 1.0 Oz Edp Women + 2.5 Oz Body Lotion Women</t>
  </si>
  <si>
    <t>ZX_PE-GA-W-994806</t>
  </si>
  <si>
    <t>Si Passione 1.7 Oz Edp Women</t>
  </si>
  <si>
    <t>ZX_PE-GI-W-367807</t>
  </si>
  <si>
    <t>Live Irresistible Blossom Crush 2.5 Oz Edt For Women</t>
  </si>
  <si>
    <t>ZX_PE-G-M-912175</t>
  </si>
  <si>
    <t>Guilty Cologne 5.0 Oz Edt  Men</t>
  </si>
  <si>
    <t>ZX_PE-G-W-958578</t>
  </si>
  <si>
    <t>Bloom Ambrosia Di Fiori 1.0 Oz Edp Women</t>
  </si>
  <si>
    <t>ZX_PE-HE-W-610051</t>
  </si>
  <si>
    <t>24 Faubourg 1.7 Oz Edt  Women</t>
  </si>
  <si>
    <t>ZX_PE-IM-W-950059</t>
  </si>
  <si>
    <t>Pleats Please L Eau 3.3 Oz Edt Women</t>
  </si>
  <si>
    <t>ZX_PE-NP-W-000275</t>
  </si>
  <si>
    <t>Paradisiac Eau Brilliant! 3.4 Oz Edp Women</t>
  </si>
  <si>
    <t>ZX_PE-NP-W-002149</t>
  </si>
  <si>
    <t>Floranirvana New York Paradise Mist 3.4 Oz Edp Women</t>
  </si>
  <si>
    <t>ZX_PE-NR-M-880267</t>
  </si>
  <si>
    <t>Narciso Rodriguez 1.7 Oz Edp For Men</t>
  </si>
  <si>
    <t>ZX_PE-V-M-870189</t>
  </si>
  <si>
    <t>Set Eau Fraiche 3Pc 1.7 Oz Edt Sp, 1.7 Oz Bath &amp; Shower Gel, 1.7Oz Aftershave Balm Men</t>
  </si>
  <si>
    <t>ZX_PE-V-M-870226</t>
  </si>
  <si>
    <t>Set Pour Homme 3Pc 1.7Oz Edt 1.7Oz Hair&amp;Body Shampoo 1.7Oz A/S  Men</t>
  </si>
  <si>
    <t>ZX_PE-V-M-870233</t>
  </si>
  <si>
    <t>Set Signature Pour Homme 3Pc 3.4Oz Edt 0.30Oz Edt  And Bag For Men</t>
  </si>
  <si>
    <t>ZX_PE-V-M-870264</t>
  </si>
  <si>
    <t>Set Dylan Blue 3Pc 1.7 Oz Edt, 1.7 Oz Aftershave Balm And 1.7 Oz Bath &amp; Shower Gel Men</t>
  </si>
  <si>
    <t>ZX_PE-V-M-870806</t>
  </si>
  <si>
    <t>Set Eros 2Pc 1.0 Oz Edt Sp And 1.7 Oz Shower Gel Men</t>
  </si>
  <si>
    <t>ZX_PE-YL-W-332522</t>
  </si>
  <si>
    <t>Elle 1.7 Oz Edp Women</t>
  </si>
  <si>
    <t>ZX_PE-MA-U-340676</t>
  </si>
  <si>
    <t>In Perfect Harmony 2.0 Oz Edp Unisex</t>
  </si>
  <si>
    <t>ZX_PE-AU-M-175240</t>
  </si>
  <si>
    <t>Set Untold 1.0 Oz + Iconic 1.0 Oz + Imperial 1.0  OZ - 30 Ml Parfum Men</t>
  </si>
  <si>
    <t>ZX_PE-ADI-U-447067</t>
  </si>
  <si>
    <t>Vibes Energy Drive 3.4 Oz Edp Unisex</t>
  </si>
  <si>
    <t>ZX_PE-ADI-U-447159</t>
  </si>
  <si>
    <t>Vibes Happy Feels 3.4 Oz Edp Unisex</t>
  </si>
  <si>
    <t>ZX_PE-ADI-U-447210</t>
  </si>
  <si>
    <t>Vibes Spark Up 3.4 Oz Edp Unisex</t>
  </si>
  <si>
    <t>ZX_PE-JM-U-043491</t>
  </si>
  <si>
    <t>Set Game Of Spade Collector Edition (3X1.0 + 5X10Ml) Parfum Unisex</t>
  </si>
  <si>
    <t>ZX_PE-LT-W-599991</t>
  </si>
  <si>
    <t>Set Badee Al Oud Sublime 3.4 Oz 6.7 Oz Body Spray 1.7 Hairmist Edp Women</t>
  </si>
  <si>
    <t>ZX_PE-LT-W-598796</t>
  </si>
  <si>
    <t>Petra Edp 3.4 Oz Women</t>
  </si>
  <si>
    <t>ZX_PE-CH-W-111321</t>
  </si>
  <si>
    <t>Set La Bomba 2Pc (2.7Oz Edp, 10Ml Edp) Women</t>
  </si>
  <si>
    <t>ZX_PE-EMP-U-902496</t>
  </si>
  <si>
    <t>Set Stallion 53 3.4 Oz Gift 4 In 1 Men</t>
  </si>
  <si>
    <t>ZX_PE-BHA-W-062844</t>
  </si>
  <si>
    <t>Rome Extradose Pour Femme 3.4 oz Edp Women</t>
  </si>
  <si>
    <t>ZX_PE-BHA-W-670213</t>
  </si>
  <si>
    <t>Rome Ivory Pour Femme 3.4 oz Women</t>
  </si>
  <si>
    <t>ZX_PE-LT-M-345527</t>
  </si>
  <si>
    <t>Musaman Black Intense 3.4 Oz Edp Men</t>
  </si>
  <si>
    <t>ZX_PE-LT-W-598925</t>
  </si>
  <si>
    <t>Dalal 3.4 Oz Edp Women</t>
  </si>
  <si>
    <t>ZX_PE-LT-W-349617</t>
  </si>
  <si>
    <t>Set Ana Abiyedh Coral 3 Pcs  2.0 Oz Edp + 12Ml Travel Spray + Hairmist Women</t>
  </si>
  <si>
    <t>ZX_PE-LT-U-347095</t>
  </si>
  <si>
    <t>Pure Crystal 3.4 Oz Edp Unisex</t>
  </si>
  <si>
    <t>ZX_PE-EMP-W-525074</t>
  </si>
  <si>
    <t>Genius Rose 3.4 Oz Edp Women</t>
  </si>
  <si>
    <t>ZX_PE-EMP-W-529256</t>
  </si>
  <si>
    <t>Genius Costa 3.4 Edp Women</t>
  </si>
  <si>
    <t>ZX_PE-EMP-W-905466</t>
  </si>
  <si>
    <t>Genius Candylicious 3.4 Oz Edp Women</t>
  </si>
  <si>
    <t>ZX_PE-AFN-M-075073</t>
  </si>
  <si>
    <t>Supremacy Collector's Edition 3.4 Oz Edp Men</t>
  </si>
  <si>
    <t>ZX_PE-AU-M-186130</t>
  </si>
  <si>
    <t>Odyssey Aqua 6.8 Oz Edp Men</t>
  </si>
  <si>
    <t>ZX_PE-DG-W-403497</t>
  </si>
  <si>
    <t>Set Q  3 Pcs (3.3 Oz Edp ,1.69 Oz SG ,1.69 Oz Body Lotion) Women</t>
  </si>
  <si>
    <t>ZX_PE-DG-M-922261</t>
  </si>
  <si>
    <t>Set Light Blue  3 Pcs (3.3 Oz Edt ,1.69 Oz Shower Gel,10 ml Edt ) Men</t>
  </si>
  <si>
    <t>ZX_PE-LT-W-345671</t>
  </si>
  <si>
    <t>Angham Second Song 3.4 Oz Edp Women</t>
  </si>
  <si>
    <t>ZX_PE-AFN-U-077459</t>
  </si>
  <si>
    <t>9 Pm Night Out Extrait de Parfum 3.4 Oz Unisex</t>
  </si>
  <si>
    <t>ZX_PE-AU-M-815236</t>
  </si>
  <si>
    <t>Club de Nuit Iconic 2.37 Oz Extrait De Parfum Men</t>
  </si>
  <si>
    <t>ZX_PE-DG-W-400670</t>
  </si>
  <si>
    <t>Set Light Blue 3Pc (3.3 Oz Edt ,1.7 Oz Body Cream,10Ml Edt) Women</t>
  </si>
  <si>
    <t>ZX_PE-SC-W-672913</t>
  </si>
  <si>
    <t>Sabrina Carpenter</t>
  </si>
  <si>
    <t>Sweet Tooth Rosa 2.5 Oz Edp Women</t>
  </si>
  <si>
    <t>ZX_PE-SC-W-677451</t>
  </si>
  <si>
    <t>Sweet Tooth Caramel Dream 2.5 Oz Edp Women</t>
  </si>
  <si>
    <t>ZX_PE-SC-W-678649</t>
  </si>
  <si>
    <t>Sweet Tooth Me Expresso 2.5 Oz Edp Women</t>
  </si>
  <si>
    <t>ZX_PE-AH-U-814811</t>
  </si>
  <si>
    <t>ZX_PE-AH-U-813333</t>
  </si>
  <si>
    <t>Set Amber Oud Gold 3 Pc Set 2.5 Oz Edp1.0 Oz Edp 6.6 Oz Body Sp Unisex</t>
  </si>
  <si>
    <t>ZX_PE-AH-U-814323</t>
  </si>
  <si>
    <t>Set Amber Oud Ruby 3 Pc Set 2.5 Oz Edp 1.0 Oz Edp 6.6 Oz Body Sp Unisex</t>
  </si>
  <si>
    <t>ZX_PE-LT-M-349303</t>
  </si>
  <si>
    <t>Set Khamrah 3 Pcs 3.4 Oz Edp + 12Ml Travel Spray + 50Ml Hair Mist Men</t>
  </si>
  <si>
    <t>ZX_PE-LT-M-349624</t>
  </si>
  <si>
    <t>Set Khamrah Qahwa 3 Pcs 3.4 Oz  Edp + 12Ml Travel Spray + Hairmist Men</t>
  </si>
  <si>
    <t>ZX_PE-LT-M-349709</t>
  </si>
  <si>
    <t>Set The Kingdom 3 Pcs 3.4 Oz Edp + 12Ml Travel Spray + 100Ml Shower Gel Men</t>
  </si>
  <si>
    <t>ZX_PE-LT-U-349273</t>
  </si>
  <si>
    <t>Set Musamam White Intense 3 Pcs 3.4 Oz Edp + 12Ml Travel Spray + 50Ml Hairmist Unisex</t>
  </si>
  <si>
    <t>ZX_PE-LT-U-349631</t>
  </si>
  <si>
    <t>Set Teriaq Intense 3 Pcs3.4 Oz Edp + 12Ml Travel Spray + 50Ml Hairmist Unisex</t>
  </si>
  <si>
    <t>ZX_PE-AU-M-805657</t>
  </si>
  <si>
    <t>Odyssey Mandarin Sky Elixir 2.2 Oz Edp Men</t>
  </si>
  <si>
    <t>ZX_PE-AU-M-815151</t>
  </si>
  <si>
    <t>Set Lux Odyssey Mandarin Sky Ltd 3.4 Oz Edp 10Ml Travel Spr 3.4 Oz Sg 6.8 Oz Body Spray Men</t>
  </si>
  <si>
    <t>ZX_PE-AU-W-161502</t>
  </si>
  <si>
    <t>Le Parfait Pananche 3.4 Oz  Women</t>
  </si>
  <si>
    <t>ZX_PE-LT-W-349082</t>
  </si>
  <si>
    <t>Set Victoria 2 Pcs 3.4 Oz Edp + 6.7 Oz Perfumed Spray Women</t>
  </si>
  <si>
    <t>ZX_PE-LT-U-597133</t>
  </si>
  <si>
    <t>Ajwad Pink To Pink 2.0 Oz Edp Unisex</t>
  </si>
  <si>
    <t>ZX_PE-IM-W-118457</t>
  </si>
  <si>
    <t>Set  Leau Dissey  3 Pc (3.3 Oz Edt, 1.6 Oz Body Lotion, 10 ml Edt) Women</t>
  </si>
  <si>
    <t>ZX_PE-CH-W-865460</t>
  </si>
  <si>
    <t>212 Sexy 2.0 Oz Edp Women</t>
  </si>
  <si>
    <t>ZX_PE-AU-W-815106</t>
  </si>
  <si>
    <t>Set Lux Odyssey Candee 3.4 Oz Edp/10Ml Travel Spr/ 3.4 Bl/8.4 Body Mist Women</t>
  </si>
  <si>
    <t>ZX_PE-DM-M-769541</t>
  </si>
  <si>
    <t>Nitro Elixir 3.4 Oz Edp Men</t>
  </si>
  <si>
    <t>ZX_PE-AU-M-815168</t>
  </si>
  <si>
    <t>Set Lux Odyssey Mega 3.4 Oz  Edp /10Ml Travel Spr/3.4 Sg/6.8 Body Spray Men</t>
  </si>
  <si>
    <t>ZX_PE-TO-W-837349</t>
  </si>
  <si>
    <t>The Sensual Gold Touch 3.4 Oz Edt Men</t>
  </si>
  <si>
    <t>ZX_PE-PR-W-545636</t>
  </si>
  <si>
    <t>Pure Xs 2.7 Oz Edp Women</t>
  </si>
  <si>
    <t>ZX_PE-AFN-M-077183</t>
  </si>
  <si>
    <t>Set Supremacy Collector'S 3 Pc 3.4 Oz Edp Spray + 5.0 Deo + 5.0 S.Gel Men</t>
  </si>
  <si>
    <t>ZX_PE-AFN-U-077152</t>
  </si>
  <si>
    <t>Set 9 Pm Rebel 3P 3.4 Oz Edp Spray / 5.0 Oz Gel / 5.0 Deo</t>
  </si>
  <si>
    <t>ZX_PE-EMP-W-525081</t>
  </si>
  <si>
    <t>So Genius 3.4 Oz Edp Women</t>
  </si>
  <si>
    <t>ZX_PE-EMP-W-908122</t>
  </si>
  <si>
    <t>Set Genius 4 Pcs Event + Oud Mystique + Hayati + Victory 0.85 Oz Edp Women</t>
  </si>
  <si>
    <t>ZX_PE-EMP-W-908399</t>
  </si>
  <si>
    <t>Set Genius 4 Pcs Lover + Blush + Selina + Rose 0.85 Oz Edp Women</t>
  </si>
  <si>
    <t>ZX_PE-AR-W-027737</t>
  </si>
  <si>
    <t>Set Cloud 3.4 Oz Edp + 3.4 Oz Body Lotion + 3.4 Oz Shower Gel Women</t>
  </si>
  <si>
    <t>ZX_PE-VA-W-693454</t>
  </si>
  <si>
    <t>Set Mini Valentino Donna Born In Roma 3x6Ml Edp Women</t>
  </si>
  <si>
    <t>ZX_PE-GA-W-752717</t>
  </si>
  <si>
    <t>Emporio  Armani Power Of You 3.0 Oz Edp Women</t>
  </si>
  <si>
    <t>ZX_PE-CH-W-083482</t>
  </si>
  <si>
    <t>212 Vip Rose Elixir 2.7 Oz Edp Women</t>
  </si>
  <si>
    <t>ZX_PE-PR-W-630417</t>
  </si>
  <si>
    <t>Fame the Couture Edit 2.8 Oz Edp Women</t>
  </si>
  <si>
    <t>ZX_PE-CH-W-108888</t>
  </si>
  <si>
    <t>212 Vip Rose Rodeo Edition Limitada 2.7 Oz Edp Women</t>
  </si>
  <si>
    <t>ZX_PE-CH-M-122617</t>
  </si>
  <si>
    <t>Set Bad Boy Cobalt Electrique 3 Pcs 3.4 Oz Edp + 3.4 Oz Shower Gel + 10Ml Edp Men</t>
  </si>
  <si>
    <t>ZX_PE-CH-W-092750</t>
  </si>
  <si>
    <t>Set Good Girl Blush 2 Pcs 2.7 Oz Edp + 10Ml Edp Women</t>
  </si>
  <si>
    <t>ZX_PE-CH-W-979693</t>
  </si>
  <si>
    <t>Set Good Girl 3 Pcs 2.7 Oz Edp + 3.4 Oz Body Lotion + 10Ml Edp Women</t>
  </si>
  <si>
    <t>ZX_PE-PR-M-656608</t>
  </si>
  <si>
    <t>Set Invictus  3 Pcs 3.4 Oz Edt + 5.1 Oz Deo + 10Ml Edt Men</t>
  </si>
  <si>
    <t>ZX_PE-LT-M-349419</t>
  </si>
  <si>
    <t>Set Fakhar Man 3 Pcs  3.4 Oz Edp + 12Ml Travel Spray + 100Ml Shower Gel Men</t>
  </si>
  <si>
    <t>ZX_PE-LT-U-160872</t>
  </si>
  <si>
    <t>Set Badee Al Oud Collection 4X25 Ml Edp Unisex</t>
  </si>
  <si>
    <t>ZX_PE-LT-W-345732</t>
  </si>
  <si>
    <t>Set Mayar 2 Pcs 3.4 Oz Edp + 6.7 Oz Perfumed Spray Women</t>
  </si>
  <si>
    <t>ZX_PE-AU-M-815090</t>
  </si>
  <si>
    <t>Set Odyssey Aqua Lux  3.4 Oz Edp + 10Ml Travel +Shower Gel 3.4 Oz + 6.8 Body Spray</t>
  </si>
  <si>
    <t>ZX_PE-AU-W-814895</t>
  </si>
  <si>
    <t>Set Cdn Club De Nuit Lux 3.4 Oz Edp  +10Ml Travel + 3.4 Oz Body Lotion + 8.4 Body Mist</t>
  </si>
  <si>
    <t>ZX_PE-LT-M-160186</t>
  </si>
  <si>
    <t>Set Asad Collection 4 X 25 Ml Men</t>
  </si>
  <si>
    <t>ZX_PE-VA-M-673032</t>
  </si>
  <si>
    <t>Set  Uomo Born In Roma 3.4 Oz Edt M + 10Ml Men</t>
  </si>
  <si>
    <t>ZX_PE-PR-W-594412</t>
  </si>
  <si>
    <t>Paco Fame 2.8 Oz Edp Women Refillable</t>
  </si>
  <si>
    <t>ZX_PE-RA-M-465059</t>
  </si>
  <si>
    <t>Hawas London 3.4 Oz Edp Men</t>
  </si>
  <si>
    <t>ZX_PE-VS-W-027409</t>
  </si>
  <si>
    <t>Victoria's Secret</t>
  </si>
  <si>
    <t>Body Lotion Amber Romance 8.0 Oz Women</t>
  </si>
  <si>
    <t>ZX_PE-VS-W-099219</t>
  </si>
  <si>
    <t>Body Mist Amber Romance 8.4 Oz Women</t>
  </si>
  <si>
    <t>ZX_PE-YL-M-492347</t>
  </si>
  <si>
    <t>Y Iced Cologne 2.0 Oz Edt Intense Men</t>
  </si>
  <si>
    <t>ZX_PE-CH-M-124840</t>
  </si>
  <si>
    <t>Bad Boy Cobalt Absolute 3.4 Oz Edp Men</t>
  </si>
  <si>
    <t>ZX_PE-LT-U-380028</t>
  </si>
  <si>
    <t>New York The City of Dreams 3.4 oz Edp Unisex</t>
  </si>
  <si>
    <t>ZX_PE-LT-U-380004</t>
  </si>
  <si>
    <t>London The City of Contrast 3.4 Oz Edp Unisex</t>
  </si>
  <si>
    <t>ZX_PE-LT-W-380011</t>
  </si>
  <si>
    <t>Love In Paris 3.4 oz Edp Women</t>
  </si>
  <si>
    <t>ZX_PE-LT-M-346593</t>
  </si>
  <si>
    <t>Set Vintage Radio 3 Pcs Gift Set With 3.4 Oz Edp + 0.70 Oz Edp + 6.7 Ox Perfumed Men</t>
  </si>
  <si>
    <t>ZX_PE-GI-W-122561</t>
  </si>
  <si>
    <t>Amarige 3.3 Oz Edt Women</t>
  </si>
  <si>
    <t>ZX_PE-MA-W-590707</t>
  </si>
  <si>
    <t>Chic Velvet Vert Secret 3.4 Oz Edp Women</t>
  </si>
  <si>
    <t>ZX_PE-A-M-903172</t>
  </si>
  <si>
    <t>Wanted 3.4 Oz Edp Men</t>
  </si>
  <si>
    <t>ZX_PE-JM-U-043503</t>
  </si>
  <si>
    <t>Game Of Spades All In 3.4 Oz Parfum Unisex</t>
  </si>
  <si>
    <t>ZX_PE-AU-W-818459</t>
  </si>
  <si>
    <t>Odyssey Pink Pop 3.4 Oz Edp Women</t>
  </si>
  <si>
    <t>ZX_PE-AU-M-176094</t>
  </si>
  <si>
    <t>Eter Arabian Sky 3.4 Oz Edp Men</t>
  </si>
  <si>
    <t>ZX_PE-AU-M-091037</t>
  </si>
  <si>
    <t>Set Tres Nuit 3.4 Oz Edt &amp; 3.4 Oz Shower Gel &amp; 1.7 Oz Body Mist &amp; 8.4 Oz Shampoo Men</t>
  </si>
  <si>
    <t>ZX_PE-AU-W-815434</t>
  </si>
  <si>
    <t>Set Yum Yum Delights Lux 3.4 Oz Edp+ 10 Ml Travel Spray + 3.4 Bl +8.4 Body Mist Women</t>
  </si>
  <si>
    <t>ZX_PE-AU-U-818862</t>
  </si>
  <si>
    <t>Odyssey Lichi Lush 3.4 Oz Edp Unisex</t>
  </si>
  <si>
    <t>ZX_PE-DI-M-482945</t>
  </si>
  <si>
    <t>Set Plus Plus 2.5 Oz Edt + 2.5 Oz Deo + 1.0 Oz  Edt Men</t>
  </si>
  <si>
    <t>ZX_PE-PR-M-662388</t>
  </si>
  <si>
    <t>One Million Night Elixir 3.4 Oz Parfum Men</t>
  </si>
  <si>
    <t>ZX_PE-PR-W-627479</t>
  </si>
  <si>
    <t>Olympea 2.7 Oz  Parfum Women</t>
  </si>
  <si>
    <t>ZX_PE-PR-W-641772</t>
  </si>
  <si>
    <t>Olympea Absolu 2.8 Oz Edp Women</t>
  </si>
  <si>
    <t>ZX_PE-PR-W-645213</t>
  </si>
  <si>
    <t>One Million Gold 1.7 Oz Parfum Women</t>
  </si>
  <si>
    <t>ZX_PE-AR-W-021674</t>
  </si>
  <si>
    <t>Body Mist Ari 8.0 Oz Women</t>
  </si>
  <si>
    <t>ZX_PE-MA-U-160421</t>
  </si>
  <si>
    <t>Jean Lowe Fantasme 3.4 Oz Edp Unisex</t>
  </si>
  <si>
    <t>ZX_PE-BHA-M-670237</t>
  </si>
  <si>
    <t>Set Rome Extradose 2 Pcs Pour Femme 3.4 Oz Edp Women</t>
  </si>
  <si>
    <t>ZX_PE-MA-U-160407</t>
  </si>
  <si>
    <t>Jean Lowe Summer Vibe 3.4 Oz Edp Unisex</t>
  </si>
  <si>
    <t>ZX_PE-BHA-W-670053</t>
  </si>
  <si>
    <t>Set Rome Imagine Pour Homme 2 Pcs 3.4 Oz Pcs Edp + 5.0 Deo Men</t>
  </si>
  <si>
    <t>ZX_PE-FW-U-378060</t>
  </si>
  <si>
    <t>Vulcan Sable 3.4 Oz Edp Unisex</t>
  </si>
  <si>
    <t>ZX_PE-EMP-W-904865</t>
  </si>
  <si>
    <t>Mandora 53 3.4 Oz + 20 Ml Edp Women</t>
  </si>
  <si>
    <t>ZX_PE-FRN-U-379647</t>
  </si>
  <si>
    <t>French Avenue</t>
  </si>
  <si>
    <t>Chaos 3.4 Oz Edp Unisex</t>
  </si>
  <si>
    <t>ZX_PE-FRN-U-375809</t>
  </si>
  <si>
    <t>Luscious 3.4 Oz Edp Unisex</t>
  </si>
  <si>
    <t>ZX_PE-CH-W-106228</t>
  </si>
  <si>
    <t>Very Good Girl Elixir 2.8 Oz Edp Women</t>
  </si>
  <si>
    <t>ZX_PE-CH-W-045497</t>
  </si>
  <si>
    <t>Good Girl Midnight  2.7 Oz Edp Women</t>
  </si>
  <si>
    <t>ZX_PE-CH-W-113851</t>
  </si>
  <si>
    <t>Good Girl Bowtastic 2.7 Oz Edp Women</t>
  </si>
  <si>
    <t>ZX_PE-CH-W-113868</t>
  </si>
  <si>
    <t>Good Girl Blush Bowtastic 2.7 Oz Edp Women</t>
  </si>
  <si>
    <t>ZX_PE-LT-W-590790</t>
  </si>
  <si>
    <t>Montaigne Coco 3.4 Oz Edp Women</t>
  </si>
  <si>
    <t>ZX_PE-CH-M-124406</t>
  </si>
  <si>
    <t>ZX_PE-FRN-U-375816</t>
  </si>
  <si>
    <t>Meringue 3.4 Oz Edp Unisex</t>
  </si>
  <si>
    <t>ZX_PE-FRN-U-378411</t>
  </si>
  <si>
    <t>Royal Blend Bourbon 3.4 Oz Edp Unisex</t>
  </si>
  <si>
    <t>ZX_PE-CH-M-105016</t>
  </si>
  <si>
    <t>212 Vip Black Elixir 3.4 Oz Edp Men</t>
  </si>
  <si>
    <t>ZX_PE-FRN-U-000414</t>
  </si>
  <si>
    <t>Royal Blend Sequoia 3.4 Oz Edp Unisex</t>
  </si>
  <si>
    <t>ZX_PE-FRN-U-375687</t>
  </si>
  <si>
    <t>Azzure Aoud 3.4 Oz Edp Unisex</t>
  </si>
  <si>
    <t>ZX_PE-CD-W-417878</t>
  </si>
  <si>
    <t>Jadore 3.4 Oz Edp Women</t>
  </si>
  <si>
    <t>ZX_PE-FRN-U-000933</t>
  </si>
  <si>
    <t>Veneno Scarlet 3.4 Oz Edp Unisex</t>
  </si>
  <si>
    <t>ZX_PE-FRN-U-001206</t>
  </si>
  <si>
    <t>Atlantis 3.4 Oz Edp Unisex</t>
  </si>
  <si>
    <t>ZX_PE-FRN-U-377919</t>
  </si>
  <si>
    <t>Veneno Bianco 3.4 Oz Edp Unisex</t>
  </si>
  <si>
    <t>ZX_PE-FRN-U-378428</t>
  </si>
  <si>
    <t>Royal Blend Vintage 3.4 Oz Edp Unisex</t>
  </si>
  <si>
    <t>ZX_PE-FRN-U-375601</t>
  </si>
  <si>
    <t>Royal Blend Nero 3.4 Oz Edp Unisex</t>
  </si>
  <si>
    <t>ZX_PE-FRN-W-375793</t>
  </si>
  <si>
    <t>Sweet Paradise 3.4 Oz Edp Women</t>
  </si>
  <si>
    <t>ZX_PE-LA-W-510133</t>
  </si>
  <si>
    <t>Idole Peach N Roses 3.4 Oz Edp Women</t>
  </si>
  <si>
    <t>ZX_PE-YL-W-521238</t>
  </si>
  <si>
    <t>Libre Berry Crush 3.0 Oz Edp Women</t>
  </si>
  <si>
    <t>ZX_PE-AU-M-808122</t>
  </si>
  <si>
    <t>Spartacus 3.4 Oz Edp Men</t>
  </si>
  <si>
    <t>ZX_PE-AU-M-815182</t>
  </si>
  <si>
    <t>Set Odyssey Spectra Lux 3.4 Oz Edp + 10Ml Travel + 3.4 Sg + 6.8 Body Spray Men</t>
  </si>
  <si>
    <t>ZX_PE-EMP-U-904841</t>
  </si>
  <si>
    <t>Stallion 53 Intenso 3.4 Oz + Mini 20 Ml Edp Unisex</t>
  </si>
  <si>
    <t>ZX_PE-EMP-U-904858</t>
  </si>
  <si>
    <t>Stallion 9 To 9 3.4Oz + Mini 20 Ml Edp Unisex</t>
  </si>
  <si>
    <t>ZX_PE-AU-U-807217</t>
  </si>
  <si>
    <t>Odyssey Marshmallow 3.4 Oz Edp Unisex</t>
  </si>
  <si>
    <t>ZX_PE-JP-M-114028</t>
  </si>
  <si>
    <t>Scandal Elixir 3.4 Oz Parfum Men</t>
  </si>
  <si>
    <t>ZX_PE-JP-W-113960</t>
  </si>
  <si>
    <t>Scandal Elixir 2.7 Oz Parfum Women</t>
  </si>
  <si>
    <t>ZX_PE-JP-M-114363</t>
  </si>
  <si>
    <t>Le Male In Blue 4.2 Oz Edp Men Without QR</t>
  </si>
  <si>
    <t>ZX_PE-LM-M-000387</t>
  </si>
  <si>
    <t>Lomani Men 3.4 Oz Edt Men</t>
  </si>
  <si>
    <t>ZX_PE-AU-M-183382</t>
  </si>
  <si>
    <t>Fade Denim 2.7 Ox Edp men</t>
  </si>
  <si>
    <t>ZX_PE-AU-M-815496</t>
  </si>
  <si>
    <t>Dunescape Dubai 3.4 Oz Extrait de Parfum Men</t>
  </si>
  <si>
    <t>ZX_PE-ES-W-340196</t>
  </si>
  <si>
    <t>Elie Saab</t>
  </si>
  <si>
    <t>Girl Of Now 3.0 Oz Edp Women</t>
  </si>
  <si>
    <t>ZX_PE-AU-U-814918</t>
  </si>
  <si>
    <t>Set Club De Nuit Untold Lux 3.4 Oz Edp + 10ML Travel + 3.4 Oz Bl + 8.4 ML Body Mist Unisex</t>
  </si>
  <si>
    <t>ZX_PE-AU-W-155693</t>
  </si>
  <si>
    <t>Art D'Amor 3.4 Oz Edp Women</t>
  </si>
  <si>
    <t>ZX_PE-NW-M-220741</t>
  </si>
  <si>
    <t>New Brand</t>
  </si>
  <si>
    <t>Set Invincible 3.3 Oz + 4.3 Oz + 4.3 Oz + 15 Ml Edt Men</t>
  </si>
  <si>
    <t>ZX_PE-NW-M-222561</t>
  </si>
  <si>
    <t>Set Prestige The Nb 3.3 Oz + 4.4 Oz + 4.4 Oz + 15 Ml Edt Men</t>
  </si>
  <si>
    <t>ZX_PE-NW-M-734864</t>
  </si>
  <si>
    <t>SetUnic 3.3 Oz + 4.3 Oz + 4.3 Oz + 0.5 Oz Edt Men</t>
  </si>
  <si>
    <t>ZX_PE-AU-W-168167</t>
  </si>
  <si>
    <t>Miss Voce Viva 3.4 Oz Edp Women</t>
  </si>
  <si>
    <t>ZX_PE-JP-W-091169</t>
  </si>
  <si>
    <t>Divine Intense 3.4 Oz Edp Women</t>
  </si>
  <si>
    <t>ZX_PE-EI-W-583753</t>
  </si>
  <si>
    <t>Eilish 2 3.4 Oz Edp Women</t>
  </si>
  <si>
    <t>ZX_PE-BHA-U-670282</t>
  </si>
  <si>
    <t>Rome Fantasmagory 3.4 Oz Edp Unisex</t>
  </si>
  <si>
    <t>ZX_PE-BHA-M-670404</t>
  </si>
  <si>
    <t>Rome Melancholia Pour Homme 3.4 Oz Edp Men</t>
  </si>
  <si>
    <t>ZX_PE-BHA-W-670077</t>
  </si>
  <si>
    <t>Set Rome Paradox  2 Pcs 3.4 Oz Edp Women</t>
  </si>
  <si>
    <t>ZX_PE-BHA-M-670039</t>
  </si>
  <si>
    <t>Set Rome Pour Homme  2pcs 3.4 Oz +Deodorant 5.0 Oz Edp Men</t>
  </si>
  <si>
    <t>ZX_PE-FRN-M-001831</t>
  </si>
  <si>
    <t>Liquid Brun Limited Edition 3.4 Oz Edp Men</t>
  </si>
  <si>
    <t>ZX_PE-FRN-U-376592</t>
  </si>
  <si>
    <t>Irida Extrait 3.4 Oz Edp Unisex</t>
  </si>
  <si>
    <t>ZX_PE-LT-M-347101</t>
  </si>
  <si>
    <t>Asad Zanzibar Limited Edition 3.4 Oz Edp Men</t>
  </si>
  <si>
    <t>Mast Perfume</t>
  </si>
  <si>
    <t>ZX_PE-YL-M-852746</t>
  </si>
  <si>
    <t>Myslf 3.4 Oz Edp Men</t>
  </si>
  <si>
    <t>ZX_PE-KH-U-979748</t>
  </si>
  <si>
    <t>Khadlaj</t>
  </si>
  <si>
    <t>Island Vanilla Dunes 3.4 Oz Edp Unisex</t>
  </si>
  <si>
    <t>ZX_PE-YL-W-241006</t>
  </si>
  <si>
    <t>Libre Leau Nue 3.0 Oz Edp Women</t>
  </si>
  <si>
    <t>ZX_PE-BHA-W-062776</t>
  </si>
  <si>
    <t>Rome Yum Yum 3.4 Oz Edp Women</t>
  </si>
  <si>
    <t>ZX_PE-FRN-U-000735</t>
  </si>
  <si>
    <t>Set Dusk Till Dawn Liquind Brun + Feu 3.4 Oz Edp Unisex</t>
  </si>
  <si>
    <t>ZX_PE-FRN-U-379203</t>
  </si>
  <si>
    <t>Aromatix Carnal Desire 3.4 Oz Edp Unisex</t>
  </si>
  <si>
    <t>ZX_PE-HD-U-224961</t>
  </si>
  <si>
    <t>House Of Dream Dubai</t>
  </si>
  <si>
    <t>Pistachio Fever 3.4 Oz Edp Unisex</t>
  </si>
  <si>
    <t>ZX_PE-HD-U-224978</t>
  </si>
  <si>
    <t>Mandarin Exotic 3.4 Oz Edp Unisex</t>
  </si>
  <si>
    <t>ZX_PE-HD-U-224985</t>
  </si>
  <si>
    <t>Vanilla Addict  3.4 Oz Edp Unisex</t>
  </si>
  <si>
    <t>ZX_PE-HD-U-224992</t>
  </si>
  <si>
    <t>Candy Kiss  3.4 Oz Edp Unisex</t>
  </si>
  <si>
    <t>ZX_PE-HD-U-225272</t>
  </si>
  <si>
    <t>Cherry In Love  3.4 Oz Edp Unisex</t>
  </si>
  <si>
    <t>ZX_PE-ELI-U-687933</t>
  </si>
  <si>
    <t>Elivi</t>
  </si>
  <si>
    <t>Mor  Extrait de Parfum 1.6 Oz Unisex</t>
  </si>
  <si>
    <t>ZX_PE-ELI-U-188065</t>
  </si>
  <si>
    <t>Exotic Extrait de Parfum 1.6 Oz Unisex</t>
  </si>
  <si>
    <t>ZX_PE-YL-M-329384</t>
  </si>
  <si>
    <t>Myslf L'Absolu  3.4 Oz Parfum Men</t>
  </si>
  <si>
    <t>ZX_PE-RA-M-555446</t>
  </si>
  <si>
    <t>Set Hawas Fire 3.38 Oz Edp + 3.38 Oz Face &amp; Beard Wash + 3.38 Oz Shower Gel Men</t>
  </si>
  <si>
    <t>ZX_PE-RA-M-555347</t>
  </si>
  <si>
    <t>Set Hawas 3.38 Oz Edp + 8 ml Edp Men</t>
  </si>
  <si>
    <t>ZX_PE-MO-W-903337</t>
  </si>
  <si>
    <t>Set Toy 2 Bubble Gum ( 4 Pc )3.4 Oz Edt / 0.34 Oz Edt / 3.4 Oz Body Lotion /3.4 Oz Shower Gel Women</t>
  </si>
  <si>
    <t>ZX_PE-GO-U-162902</t>
  </si>
  <si>
    <t>Gulf Orchid</t>
  </si>
  <si>
    <t>Vanilla Addiction 3.4 Oz Edp Unisex</t>
  </si>
  <si>
    <t>ZX_PE-BHA-M-062639</t>
  </si>
  <si>
    <t>Mini Bharara King 0.34 Oz Edp Men</t>
  </si>
  <si>
    <t>ZX_PE-BHA-U-947491</t>
  </si>
  <si>
    <t>Champagne Black  3.4 Oz Edp Unisex</t>
  </si>
  <si>
    <t>ZX_PE-BHA-M-062653</t>
  </si>
  <si>
    <t>Pharaoh Ramasses I 3.4 Oz Edp  Men</t>
  </si>
  <si>
    <t>ZX_PE-BHA-M-062691</t>
  </si>
  <si>
    <t>Pharaoh Ramasses II 3.4 Oz Edp Men</t>
  </si>
  <si>
    <t>ZX_PE-BHA-U-062417</t>
  </si>
  <si>
    <t>Enigma 3.4 Oz Edp Unisex</t>
  </si>
  <si>
    <t>ZX_PE-BHA-U-062424</t>
  </si>
  <si>
    <t>Essense 3.4 Oz Edp Unisex</t>
  </si>
  <si>
    <t>ZX_PE-BHA-W-062684</t>
  </si>
  <si>
    <t>Enchanted 3.4 Oz Edp Women</t>
  </si>
  <si>
    <t>ZX_PE-BHA-M-062547</t>
  </si>
  <si>
    <t>Set Onyx 5pc 3.4 Oz Edp Men</t>
  </si>
  <si>
    <t>ZX_PE-BHA-M-670169</t>
  </si>
  <si>
    <t>Set King  5pc Edp + Lotion + Pharaoh Minis Men</t>
  </si>
  <si>
    <t>ZX_PE-FRN-U-377902</t>
  </si>
  <si>
    <t>Veneno 3.4 Oz Edp Unisex</t>
  </si>
  <si>
    <t>ZX_PE-VA-W-626841</t>
  </si>
  <si>
    <t>Born In Roma Donna Purple Melancholia 1.7 Oz Edp Women</t>
  </si>
  <si>
    <t>ZX_PE-PR-W-654819</t>
  </si>
  <si>
    <t>Paco Fame Feline 2.7 Oz Edp Women</t>
  </si>
  <si>
    <t>ZX_PE-EMP-W-902427</t>
  </si>
  <si>
    <t>The Scent Of Karol G 3.4 Oz Edp Women</t>
  </si>
  <si>
    <t>ZX_PE-GA-M-747058</t>
  </si>
  <si>
    <t>Emporio Armani Stronger With You Powerfully 3.4 Oz Edp Men</t>
  </si>
  <si>
    <t>ZX_PE-BV-W-423369</t>
  </si>
  <si>
    <t>Omnia Crystal 3.4 Oz Edp Women</t>
  </si>
  <si>
    <t>ZX_PE-JP-M-115209</t>
  </si>
  <si>
    <t>Le Beau Narcisse 2.5 Oz Edp Men</t>
  </si>
  <si>
    <t>ZX_PE-BU-W-693876</t>
  </si>
  <si>
    <t>Her 3.4 Oz Edp Women</t>
  </si>
  <si>
    <t>ZX_PE-AH-U-132485</t>
  </si>
  <si>
    <t>Amber Oud Rouge 4.0 Oz Edp Unisex</t>
  </si>
  <si>
    <t>ZX_PE-RA-W-178072</t>
  </si>
  <si>
    <t>Hawas Pink 3.4 Oz Edp Women</t>
  </si>
  <si>
    <t>ZX_PE-BHA-W-670336</t>
  </si>
  <si>
    <t>Rome La Bomba 3.4 Oz Edt Women</t>
  </si>
  <si>
    <t>ZX_PE-BHA-M-670428</t>
  </si>
  <si>
    <t>Rome Lucky 3.4 Oz Edp Men</t>
  </si>
  <si>
    <t>ZX_PE-RI-U-504031</t>
  </si>
  <si>
    <t>Freeze 3.4 Oz Edp Unisex</t>
  </si>
  <si>
    <t>ZX_PE-RY-U-571361</t>
  </si>
  <si>
    <t>Rayhaan</t>
  </si>
  <si>
    <t>Tonquin Giza 3.4 Oz Edp Unisex</t>
  </si>
  <si>
    <t>ZX_PE-RY-U-571002</t>
  </si>
  <si>
    <t>Elixir 3.4  Oz Edp Unisex</t>
  </si>
  <si>
    <t>ZX_PE-RY-M-571026</t>
  </si>
  <si>
    <t>Nocturno Elixir 3.4 Oz Edp Men</t>
  </si>
  <si>
    <t>ZX_PE-RY-W-571347</t>
  </si>
  <si>
    <t>Kiss 3.4 Oz Edp Women</t>
  </si>
  <si>
    <t>ZX_PE-RY-M-571170</t>
  </si>
  <si>
    <t>Pacific Aura 3.4 Oz Edp Men</t>
  </si>
  <si>
    <t>ZX_PE-GO-W-164630</t>
  </si>
  <si>
    <t>Vanilla Seduction 3.4 Oz Edp Women</t>
  </si>
  <si>
    <t>ZX_PE-RY-M-571330</t>
  </si>
  <si>
    <t>Acquatica 3.4 Oz Edp Men</t>
  </si>
  <si>
    <t>ZX_PE-AR-W-501715</t>
  </si>
  <si>
    <t>Body Mist God Is A Woman 8.0 Oz Women</t>
  </si>
  <si>
    <t>ZX_PE-HB-M-096202</t>
  </si>
  <si>
    <t>Boss Bottled Beyond 3.4 Oz Edp Men</t>
  </si>
  <si>
    <t>ZX_PE-VA-W-673070</t>
  </si>
  <si>
    <t>Set Donna Born In Roma 3.4 Oz Edp + 10 ML Edp Women</t>
  </si>
  <si>
    <t>ZX_PE-LT-W-347156</t>
  </si>
  <si>
    <t>Jouri 3.4 Oz Edp Women</t>
  </si>
  <si>
    <t>ZX_PE-LT-W-349723</t>
  </si>
  <si>
    <t>Ana Abiyedh Passion 2.0 Oz Edp Women</t>
  </si>
  <si>
    <t>ZX_PE-LT-M-348856</t>
  </si>
  <si>
    <t>ZX_PE-LT-U-348764</t>
  </si>
  <si>
    <t>ZX_PE-LT-U-348771</t>
  </si>
  <si>
    <t>ZX_PE-LT-U-348832</t>
  </si>
  <si>
    <t>ZX_PE-LT-W-348757</t>
  </si>
  <si>
    <t>ZX_PE-LT-W-348788</t>
  </si>
  <si>
    <t>ZX_PE-LT-W-348795</t>
  </si>
  <si>
    <t>ZX_PE-LT-W-348801</t>
  </si>
  <si>
    <t>ZX_PE-LT-W-348818</t>
  </si>
  <si>
    <t>ZX_PE-LT-W-348825</t>
  </si>
  <si>
    <t>ZX_PE-LT-W-348863</t>
  </si>
  <si>
    <t>ZX_PE-MA-M-340515</t>
  </si>
  <si>
    <t>Galactic Men Intense 3.4 Oz Edp Men</t>
  </si>
  <si>
    <t>ZX_PE-MA-M-340522</t>
  </si>
  <si>
    <t>Galactic Men Elixir 3.4 Oz Edp Men</t>
  </si>
  <si>
    <t>ZX_PE-MA-W-349013</t>
  </si>
  <si>
    <t>ZX_PE-MA-W-349006</t>
  </si>
  <si>
    <t>ZX_PE-JM-U-043743</t>
  </si>
  <si>
    <t>Goal Colombia 3.4 Oz Edp Unisex</t>
  </si>
  <si>
    <t>ZX_PE-JM-U-043729</t>
  </si>
  <si>
    <t>Goal Argentina 3.4 Oz Edp Unisex</t>
  </si>
  <si>
    <t>ZX_PE-JM-U-043750</t>
  </si>
  <si>
    <t>Goal Portugal 3.4 Oz Edp Unisex</t>
  </si>
  <si>
    <t>ZX_PE-JP-W-105316</t>
  </si>
  <si>
    <t>Divine Elixir 3.4 Oz Edp Women</t>
  </si>
  <si>
    <t>ZX_PE-FRN-U-379326</t>
  </si>
  <si>
    <t>Aromatix X Xandal 3.4 Oz Edp Unisex</t>
  </si>
  <si>
    <t>ZX_PE-LA-W-397253</t>
  </si>
  <si>
    <t>La Vie Est Belle Vanille Nude 3.4Oz Edp Women</t>
  </si>
  <si>
    <t>ZX_PE-PR-M-641833</t>
  </si>
  <si>
    <t>Invictus Victory Absolu 3.4 Oz Parfum Intense Men</t>
  </si>
  <si>
    <t>ZX_PE-FRN-U-379227</t>
  </si>
  <si>
    <t>Aromatix Royal Taboo 3.4 Oz Edp Unisex</t>
  </si>
  <si>
    <t>ZX_PE-JP-M-058483</t>
  </si>
  <si>
    <t>Le Male Pride 4.2 Oz Edt Men</t>
  </si>
  <si>
    <t>ZX_PE-LA-W-299229</t>
  </si>
  <si>
    <t>Idole Power 3.4 Oz Edp Women</t>
  </si>
  <si>
    <t>ZX_PE-PR-W-663187</t>
  </si>
  <si>
    <t>Million Gold Pure Diamonds 3 Oz Edp Women</t>
  </si>
  <si>
    <t>ZX_PE-CK-W-608409</t>
  </si>
  <si>
    <t>Escape 3.4 Oz Edp Women</t>
  </si>
  <si>
    <t>ZX_PE-DG-M-403282</t>
  </si>
  <si>
    <t>K 3.4 Oz Edp Men</t>
  </si>
  <si>
    <t>ZX_PE-LA-W-380392</t>
  </si>
  <si>
    <t>O Zenith 3.4 Oz Edt Women</t>
  </si>
  <si>
    <t>ZX_PE-LA-W-380408</t>
  </si>
  <si>
    <t>Over The Top 3.4 Oz Edt Women</t>
  </si>
  <si>
    <t>ZX_PE-LA-W-380415</t>
  </si>
  <si>
    <t>Off Now 3.4 Oz Edt Women</t>
  </si>
  <si>
    <t>ZX_PE-JP-M-092043</t>
  </si>
  <si>
    <t>Set Scandal  3.3 Oz + 0.68 Oz Edt Men without QR</t>
  </si>
  <si>
    <t>ZX_PE-JP-W-092128</t>
  </si>
  <si>
    <t>Set Scandal  2.7 Oz + 20ML Edp Women without QR</t>
  </si>
  <si>
    <t>ZX_PE-JP-W-102483</t>
  </si>
  <si>
    <t>La Belle Flower Edition 3.3 Oz Edp Women without QR</t>
  </si>
  <si>
    <t>ZX_PE-PR-W-656226</t>
  </si>
  <si>
    <t>Set Fame 2.7 Oz Edp + 3.3 Oz + 20ML Edp Women</t>
  </si>
  <si>
    <t>ZX_PE-JM-U-043736</t>
  </si>
  <si>
    <t>Goal Brazil 3.4 Oz Edp Unisex</t>
  </si>
  <si>
    <t>ZX_PE-JM-M-082174</t>
  </si>
  <si>
    <t>Man Ice 3.4 Oz Edt Men</t>
  </si>
  <si>
    <t>ZX_PE-DI-W-385568</t>
  </si>
  <si>
    <t>Fuel For Life 1.7 Oz Edp Women</t>
  </si>
  <si>
    <t>ZX_PE-PR-M-600304</t>
  </si>
  <si>
    <t>One Million Elixir 3.4 Oz Edp Men</t>
  </si>
  <si>
    <t>ZX_PE-CH-M-099766</t>
  </si>
  <si>
    <t>Bad Boy Cobalt 1.7 Oz Edp Men</t>
  </si>
  <si>
    <t>ZX_PE-RA-M-555460</t>
  </si>
  <si>
    <t>Set Hawas Viper 3.38 Oz Edp + 3.38 Oz Face &amp; Beard Wash + 3.38 Oz Shower Gel Men</t>
  </si>
  <si>
    <t>ZX_PE-AU-W-116373</t>
  </si>
  <si>
    <t>Oros Donna 3.4 Oz Edp Women</t>
  </si>
  <si>
    <t>ZX_PE-AU-M-815823</t>
  </si>
  <si>
    <t>Old Money 3.4 Oz Edp Men</t>
  </si>
  <si>
    <t>ZX_PE-AU-U-196405</t>
  </si>
  <si>
    <t>Set Emotions Collection 3.4 Oz Edp + 6pcs 15Ml Edp Unisex</t>
  </si>
  <si>
    <t>ZX_PE-MA-M-735916</t>
  </si>
  <si>
    <t>Jorge Di Profumo Deep Blue  3.4 Oz Edp Men</t>
  </si>
  <si>
    <t>ZX_PE-VA-M-626872</t>
  </si>
  <si>
    <t>Uomo Born In Roma Purple Melancholia 3.4 Oz Edt Men</t>
  </si>
  <si>
    <t>ZX_PE-MB-W-081931</t>
  </si>
  <si>
    <t>Emblem Elixir 2.5 Oz Edp Women</t>
  </si>
  <si>
    <t>ZX_PE-EMP-U-908962</t>
  </si>
  <si>
    <t>Set Mangofizz By Stallion 53 3.4 Oz Edp + 0.68 Oz Edp Unisex</t>
  </si>
  <si>
    <t>ZX_PE-EMP-U-908986</t>
  </si>
  <si>
    <t>Set Morning Dive By Stallion 53 3.4 Oz Edp + 0.68 Oz Edp Unisex</t>
  </si>
  <si>
    <t>ZX_PE-EMP-U-908948</t>
  </si>
  <si>
    <t>Set Lahab 3.4 Oz + 20Ml Edp Unisex</t>
  </si>
  <si>
    <t>ZX_PE-EMP-U-908955</t>
  </si>
  <si>
    <t>Set Lahab By Stallion 53 3.4 Oz Edp + 3.4 Oz Sg + 3.4 Oz Facial cleaner + 0.68 Oz Edp Unisex</t>
  </si>
  <si>
    <t>ZX_PE-EMP-U-908979</t>
  </si>
  <si>
    <t>Set Mangofizz By Stallion 53 3.4 Oz Edp + 3.4 Oz Sg + 3.4 Oz Facial cleaner + 0.68 Oz Edp Unisex</t>
  </si>
  <si>
    <t>ZX_PE-EMP-U-908993</t>
  </si>
  <si>
    <t>Set Morning Dive By Stallion 53 3.4 Oz Edp + 3.4 Oz Sg + 3.4 Oz Facial cleaner + 0.68 Oz Edp Unisex</t>
  </si>
  <si>
    <t>ZX_PE-JD-M-006031</t>
  </si>
  <si>
    <t>Halloween Man X 4.2 Oz Edt Men</t>
  </si>
  <si>
    <t>ZX_PE-DK-W-950444</t>
  </si>
  <si>
    <t>Dkny 24/7 3.4 Oz Edp Women</t>
  </si>
  <si>
    <t>ZX_PE-FRN-M-000957</t>
  </si>
  <si>
    <t>Amber Empire 3.4 Oz Edp Men</t>
  </si>
  <si>
    <t>ZX_PE-JP-M-080385</t>
  </si>
  <si>
    <t>Scandal Absolu 3.4 Oz Edp Men</t>
  </si>
  <si>
    <t>ZX_PE-AB-W-084922</t>
  </si>
  <si>
    <t>The Icon Splendid 3.4 Oz Edp Women</t>
  </si>
  <si>
    <t>ZX_PE-AB-W-124277</t>
  </si>
  <si>
    <t>The Icon Supreme 3.4 Oz Edp Women</t>
  </si>
  <si>
    <t>ZX_PE-JP-M-102339</t>
  </si>
  <si>
    <t>Le Male Elixir Absolu 2.5 Oz Edp Men</t>
  </si>
  <si>
    <t>ZX_PE-ZI-W-071051</t>
  </si>
  <si>
    <t>Fatima Pink 3.4 Oz Edp Women</t>
  </si>
  <si>
    <t>ZX_PE-IM-M-118471</t>
  </si>
  <si>
    <t>Set Leau Dissey 3 Pc ( 4.2 Oz Edt, 1.6 Oz Shower Gel, 1.6 Oz After Shave balm) Men</t>
  </si>
  <si>
    <t>ZX_PE-CH-M-972656</t>
  </si>
  <si>
    <t>212 Heroes Forever Young 3.0 Oz Edt Men</t>
  </si>
  <si>
    <t>ZX_PE-KOK-U-539162</t>
  </si>
  <si>
    <t>King Of Kings</t>
  </si>
  <si>
    <t>Royal Crown 3.4 O z Edp Unisex</t>
  </si>
  <si>
    <t>ZX_PE-KOK-M-659640</t>
  </si>
  <si>
    <t>Royal Island 3.4 O z Edp Men</t>
  </si>
  <si>
    <t>ZX_PE-KOK-M-540816</t>
  </si>
  <si>
    <t>Royal Noir 3.4 O z Edp Men</t>
  </si>
  <si>
    <t>ZX_PE-KOK-U-538936</t>
  </si>
  <si>
    <t>Royal Gold 3.4 O z Edp Unisex</t>
  </si>
  <si>
    <t>ZX-PE-GA-W-061809</t>
  </si>
  <si>
    <t>Emporio Armani 3.4 Oz Edp Women</t>
  </si>
  <si>
    <t>ZX_PE-AFN-W-002048</t>
  </si>
  <si>
    <t>Supremacy Pink 3.4 Oz Edp Women</t>
  </si>
  <si>
    <t>ZX_PE-DG-M-403381</t>
  </si>
  <si>
    <t>Set The One 3.4 Oz Edt + 10 Ml Edt + 1.7 Oz Gel Men</t>
  </si>
  <si>
    <t>ZX_PE-JM-U-043767</t>
  </si>
  <si>
    <t>Goal Usa 3.4 Oz Edp Unisex</t>
  </si>
  <si>
    <t>ZX_PE-L-W-149198</t>
  </si>
  <si>
    <t>L.12.12 Rose Sparkling 3.4 Oz Edt Women</t>
  </si>
  <si>
    <t>ZX_PE-MB-M-127950</t>
  </si>
  <si>
    <t>Legend Red 3.4 Oz Edp Men</t>
  </si>
  <si>
    <t>ZX_PE-MB-M-144230</t>
  </si>
  <si>
    <t>Legend Blue 3.4 Oz Edp Men</t>
  </si>
  <si>
    <t>ZX_PE-P-M-172997</t>
  </si>
  <si>
    <t>Paradigme 3.4 Oz Edp Men</t>
  </si>
  <si>
    <t>ZX_PE-YL-M-114645</t>
  </si>
  <si>
    <t>Myslf Le Parfum 3.4 Oz Edp Men</t>
  </si>
  <si>
    <t>ZX_PE-YL-W-069557</t>
  </si>
  <si>
    <t>Libre Intense 3 Oz Edp Women</t>
  </si>
  <si>
    <t>ZX_PE-RY-M-571279</t>
  </si>
  <si>
    <t>Italia 3.4 Oz Edp Men</t>
  </si>
  <si>
    <t>ZX_PE-AY-U-912379</t>
  </si>
  <si>
    <t>Arabiyat</t>
  </si>
  <si>
    <t>Al Noor 3.0 Oz Edp Unisex</t>
  </si>
  <si>
    <t>ZX_PE-BHA-M-670367</t>
  </si>
  <si>
    <t>Set Rome Pour Homme 3.4 Oz + Deo 5.1 Oz + Body Lotion 5.1 Oz + Shower Gel 5.1 Oz + 20 Ml Edp Men</t>
  </si>
  <si>
    <t>ZX_PE-BHA-M-670381</t>
  </si>
  <si>
    <t>Set Rome Extradose Pour Homme 3.4 Oz + Deo 5.1 Oz + Body Lotion 5.1 Oz + Shower Gel 5.1 Oz + 20 Ml Edp Men</t>
  </si>
  <si>
    <t>ZX_PE-BHA-W-670374</t>
  </si>
  <si>
    <t>Set Rome Pour Femme 3.4 Oz + Fragrance Mist 4.1 Oz + Body Lotion 5.1 Oz + Shower Gel 5.1 Oz + 20 Ml Edp Women</t>
  </si>
  <si>
    <t>ZX_PE-BHA-W-670398</t>
  </si>
  <si>
    <t>Set Rome Extradose Pour Femme 3.4 Oz + Fragrance Mist 4.1 Oz + Body Lotion 5.1 Oz + Shower Gel 5.1 Oz + 20 Ml Edp Women</t>
  </si>
  <si>
    <t>ZX_PE-AY-M-912348</t>
  </si>
  <si>
    <t>Marwa 3.4 Oz Edp Men</t>
  </si>
  <si>
    <t>ZX_PE-AY-W-912362</t>
  </si>
  <si>
    <t>Uhud 3. Oz Edp Women</t>
  </si>
  <si>
    <t>ZX_PE-BHA-W-670060</t>
  </si>
  <si>
    <t>Set Rome Pour Femme 2 Pcs 3.4 Oz Edp Women</t>
  </si>
  <si>
    <t>ZX_PE-BHA-M-670350</t>
  </si>
  <si>
    <t>Rey de Reyes 3.4 Oz Edp Men</t>
  </si>
  <si>
    <t>ZX_PE-JM-U-043637</t>
  </si>
  <si>
    <t>Game of Spades Black Sapphire 3.4 Oz Edp Unisex</t>
  </si>
  <si>
    <t>ZX_PE-DM-U-769558</t>
  </si>
  <si>
    <t>Nitro Gold 3.4 Oz Edt Unisex</t>
  </si>
  <si>
    <t>ZX_PE-MAN-U-190881</t>
  </si>
  <si>
    <t>Rose Jasmine 4.0 Oz Edp Unisex</t>
  </si>
  <si>
    <t>ZX_PE-AFN-U-072218</t>
  </si>
  <si>
    <t>Happy Oud 3.4 Oz Edp Unisex</t>
  </si>
  <si>
    <t>ZX_PE-LT-U-730065</t>
  </si>
  <si>
    <t>Black Origami 3.4 Oz Edp Unisex</t>
  </si>
  <si>
    <t>ZX_PE-MZ-M-081032</t>
  </si>
  <si>
    <t>Select Nigth 3.4 Oz Edp Men</t>
  </si>
  <si>
    <t>ZX_PE-AY-U-021629</t>
  </si>
  <si>
    <t>Oud Al Layl Concentrated Perfume Oil 12 Ml Unisex</t>
  </si>
  <si>
    <t>ZX_PE-AFN-U-070269</t>
  </si>
  <si>
    <t>Oud Is Great 3.4 Oz Edp Unisex</t>
  </si>
  <si>
    <t>ZX_PE-MAN-U-191826</t>
  </si>
  <si>
    <t>Gold Aoud 4.0 Oz Edp Unisex</t>
  </si>
  <si>
    <t>ZX_PE-ZA-U-727621</t>
  </si>
  <si>
    <t>Royale Amethyst 2.7 Oz Edp Unisex</t>
  </si>
  <si>
    <t>ZX_PE-LT-M-738689</t>
  </si>
  <si>
    <t>Al Areeq Silver 3.3 Oz Edp Unisex</t>
  </si>
  <si>
    <t>ZX_PE-AH-W-131594</t>
  </si>
  <si>
    <t>L'Aventure Rose 6.7 Oz Edp Women</t>
  </si>
  <si>
    <t>ZX_PE-LT-U-064841</t>
  </si>
  <si>
    <t>Rouat Al Oud 3.4 Oz Edp Unisex</t>
  </si>
  <si>
    <t>ZX_PE-MZ-M-061262</t>
  </si>
  <si>
    <t>Man Bright 3.4 Oz Edp Men</t>
  </si>
  <si>
    <t>ZX_PE-MZ-M-111012</t>
  </si>
  <si>
    <t>Sign 3.4 Oz Edp Men</t>
  </si>
  <si>
    <t>ZX_PE-LT-U-457062</t>
  </si>
  <si>
    <t>Ramaad Al Oud  3.4 Oz Edp Unisex</t>
  </si>
  <si>
    <t>ZX_PE-AH-U-813616</t>
  </si>
  <si>
    <t>L'Aventure Iris  3.4 Oz Edp Unisex</t>
  </si>
  <si>
    <t>ZX_PE-LT-W-738078</t>
  </si>
  <si>
    <t>Winners Trophy Gold 3.4 Oz Edp Women</t>
  </si>
  <si>
    <t>ZX_PE-AU-M-189629</t>
  </si>
  <si>
    <t>Odyssey Aoud 2.0 Oz Edp Men</t>
  </si>
  <si>
    <t>ZX_PE-JM-U-043033</t>
  </si>
  <si>
    <t>Game Of Spades Gold 3.4 Oz Parfum Unisex</t>
  </si>
  <si>
    <t>ZX_PE-LT-W-450414</t>
  </si>
  <si>
    <t>Qaaed 3.4 Oz Edp Women</t>
  </si>
  <si>
    <t>ZX_PE-BU-M-905758</t>
  </si>
  <si>
    <t>Classic 3.3 Oz Edt Men</t>
  </si>
  <si>
    <t>ZX_PE-CH-M-023655</t>
  </si>
  <si>
    <t>212 Heroes 5.0 Oz Edt Men</t>
  </si>
  <si>
    <t>ZX_PE-RY-M-138719</t>
  </si>
  <si>
    <t>Imperia 3.4 Oz Edp Men</t>
  </si>
  <si>
    <t>ZX_PE-UB-M-222028</t>
  </si>
  <si>
    <t>Dark 3.3 Oz Edt Men</t>
  </si>
  <si>
    <t>ZX_PE-UB-M-735755</t>
  </si>
  <si>
    <t>Prestige Platinum 3.0 Oz Edt Men</t>
  </si>
  <si>
    <t>ZX_PE-UB-M-223667</t>
  </si>
  <si>
    <t>Prestige Elixir 3.0 Oz Edt Men</t>
  </si>
  <si>
    <t>ZX_PE-UB-M-222820</t>
  </si>
  <si>
    <t>Citrus 3.3 Oz Edt Men</t>
  </si>
  <si>
    <t>ZX_PE-UB-M-735861</t>
  </si>
  <si>
    <t>Prestige Legacy 3.0 Oz Edt Men</t>
  </si>
  <si>
    <t>ZX_PE-FW-M-329160</t>
  </si>
  <si>
    <t>Cuir Leather 3.4 Oz Edp Men</t>
  </si>
  <si>
    <t>ZX_PE-FW-M-326176</t>
  </si>
  <si>
    <t>Avant Intense 3.4 Oz Edp Men</t>
  </si>
  <si>
    <t>ZX_PE-KP-W-820318</t>
  </si>
  <si>
    <t>Mad Potion 3.4 Oz Edp Women</t>
  </si>
  <si>
    <t>ZX_PE-KP--843076</t>
  </si>
  <si>
    <t>Royal Revolution 3.4 Oz Edp Women</t>
  </si>
  <si>
    <t>ZX_PE-AU-M-041742</t>
  </si>
  <si>
    <t>Niche Black Onyx 3.0 Oz Edt Men</t>
  </si>
  <si>
    <t>ZX_PE-MA-U-591605</t>
  </si>
  <si>
    <t>Sceptre Oceana 3.4 Oz Edp Unisex</t>
  </si>
  <si>
    <t>ZX_PE-UB-M-222042</t>
  </si>
  <si>
    <t>Flame 3.3 Oz Edt Men</t>
  </si>
  <si>
    <t>ZX_PE-UB-M-222103</t>
  </si>
  <si>
    <t>Milestone 3.3 Oz Edt Men</t>
  </si>
  <si>
    <t>ZX_PE-UB-M-736370</t>
  </si>
  <si>
    <t>Brazil 3.4 Oz Edt Men</t>
  </si>
  <si>
    <t>ZX_PE-GU-M-320711</t>
  </si>
  <si>
    <t>Man 2.5 Oz Edt Men</t>
  </si>
  <si>
    <t>ZX_PE-CK-M-871284</t>
  </si>
  <si>
    <t>Eternity Air  3.4 Oz Edt Men</t>
  </si>
  <si>
    <t>ZX_PE-GU-W-320919</t>
  </si>
  <si>
    <t>Dare 3.4 Oz Edt Women</t>
  </si>
  <si>
    <t>ZX_PE-PE-M-011212</t>
  </si>
  <si>
    <t>360 Very Blue 3.4 Oz Edt Men</t>
  </si>
  <si>
    <t>ZX_PE-GU-M-327208</t>
  </si>
  <si>
    <t>Effect 3.4 Oz Edt Men</t>
  </si>
  <si>
    <t>ZX_PE-DG-W-180042</t>
  </si>
  <si>
    <t>Dolce Shine 2.5 Oz Edp Women</t>
  </si>
  <si>
    <t>ZX_PE-PH-W-580561</t>
  </si>
  <si>
    <t>Pink Rush 3.4 Oz Edp Women</t>
  </si>
  <si>
    <t>ZX_PE-PE-M-011861</t>
  </si>
  <si>
    <t>Perry Ellis18 6.8 Oz Edt Men</t>
  </si>
  <si>
    <t>ZX_PE-UB-M-222035</t>
  </si>
  <si>
    <t>Bold 3.3 Oz Edt Men</t>
  </si>
  <si>
    <t>ZX_PE-LT-W-599427</t>
  </si>
  <si>
    <t>Body Spray Yara Tous 6.6 Oz Spray Women</t>
  </si>
  <si>
    <t>ZX_PE-LT-W-341444</t>
  </si>
  <si>
    <t>Body Spray Hayaati Florence 6.3 Oz Women</t>
  </si>
  <si>
    <t>ZX_PE-LT-M-345480</t>
  </si>
  <si>
    <t>Body Spray Khamrah Qahwa 6.8 Oz Men</t>
  </si>
  <si>
    <t>ZX_PE-CD-W-378575</t>
  </si>
  <si>
    <t>Hypnotic Poison 1.7 Oz Edt Women</t>
  </si>
  <si>
    <t>ZX_PE-LT-U-454412</t>
  </si>
  <si>
    <t>Ana Abiyedh Rouge 2.0 Oz Edp Unisex</t>
  </si>
  <si>
    <t>ZX_PE-PH-W-573341</t>
  </si>
  <si>
    <t>Rose Rush 3.4 Oz Edp Women</t>
  </si>
  <si>
    <t>ZX_PE-PH-W-583562</t>
  </si>
  <si>
    <t>Love Rush 3.4 Oz Edp Women</t>
  </si>
  <si>
    <t>ZX_PE-HO-W-267009</t>
  </si>
  <si>
    <t>Canyon Escape 3.4 Oz Edp Women</t>
  </si>
  <si>
    <t>ZX_PE-MO-W-991457</t>
  </si>
  <si>
    <t>I Love Love 3.4 Oz Edt Women</t>
  </si>
  <si>
    <t>ZX_PE-KP-W-125167</t>
  </si>
  <si>
    <t>Mad Love 3.4 Oz Edp Women</t>
  </si>
  <si>
    <t>ZX_PE-LT-W-345688</t>
  </si>
  <si>
    <t>Yara Pure Concentrated Perfume Oil 0.67 Oz Women</t>
  </si>
  <si>
    <t>ZX_PE-GU-M-326706</t>
  </si>
  <si>
    <t>Uomo Intenso 3.4 Oz Edp Men</t>
  </si>
  <si>
    <t>ZX_PE-GU-M-336606</t>
  </si>
  <si>
    <t>Uomo Acqua 3.4 Oz Edt Men</t>
  </si>
  <si>
    <t>ZX_PE-PH-W-575307</t>
  </si>
  <si>
    <t>Platinum Rush 3.4 Oz Edp Women</t>
  </si>
  <si>
    <t>ZX_PE-JP-W-080422</t>
  </si>
  <si>
    <t>Scandal Absolu Parfum Concentre 2.7 Oz Women</t>
  </si>
  <si>
    <t>ZX_PE-GU-U-323576</t>
  </si>
  <si>
    <t>Amore Portofino 3.4 Oz Edt Unisex</t>
  </si>
  <si>
    <t>ZX_PE-TM-W-056921</t>
  </si>
  <si>
    <t>Alien 2.0 Oz Edp Women Refillable</t>
  </si>
  <si>
    <t>ZX_PE-GU-M-320315</t>
  </si>
  <si>
    <t>Seductive 3.4 Oz Edt Men</t>
  </si>
  <si>
    <t>ZX_PE-PE-W-014763</t>
  </si>
  <si>
    <t>Set 360 3.4 Oz Edp &amp; 3.0 Oz Shower Gel &amp; Mini Women</t>
  </si>
  <si>
    <t>ZX_PE-LT-W-591872</t>
  </si>
  <si>
    <t>Body Spray Yara Moi 6.6 Oz Women</t>
  </si>
  <si>
    <t>ZX_PE-AU-M-190694</t>
  </si>
  <si>
    <t>Body Spray Odyssey Wild One 6.8 Oz Men</t>
  </si>
  <si>
    <t>ZX_PE-MB-M-028325</t>
  </si>
  <si>
    <t>Presence 2.5 Oz Edt Men</t>
  </si>
  <si>
    <t>ZX_PE-RAV-M-341338</t>
  </si>
  <si>
    <t>Rage 3.4 Oz Edp Men</t>
  </si>
  <si>
    <t>ZX_PE-DK-W-962096</t>
  </si>
  <si>
    <t>Body Mist Be Delicious Ice Pop Very Cherry 8.4 Oz Women</t>
  </si>
  <si>
    <t>ZX_PE-HB-M-957666</t>
  </si>
  <si>
    <t>Set The Scent ( 3 Pc ) 3.3 Oz Edt / Shower Gel 3.3 Oz / Deodorant  2.4 Oz  Men</t>
  </si>
  <si>
    <t>ZX_PE-AU-M-801925</t>
  </si>
  <si>
    <t>Body Mist Odyssey White Edition 8.4 Oz Men</t>
  </si>
  <si>
    <t>ZX_PE-BT-M-497394</t>
  </si>
  <si>
    <t>Bentley 3.4 Oz Edt Men</t>
  </si>
  <si>
    <t>ZX_PE-RT-M-700742</t>
  </si>
  <si>
    <t>Insurrection Ii Dark 3 Oz Edt Men</t>
  </si>
  <si>
    <t>ZX_PE-YL-M-003866</t>
  </si>
  <si>
    <t>Kouros 3.3 Oz Edt Men</t>
  </si>
  <si>
    <t>ZX_PE-AH-U-813029</t>
  </si>
  <si>
    <t>Amber Oud Ruby 2.0 Oz Edp unisex</t>
  </si>
  <si>
    <t>ZX_PE-L-M-149297</t>
  </si>
  <si>
    <t>Essential 4.1 Oz Edt Men</t>
  </si>
  <si>
    <t>ZX_PE-LT-M-734889</t>
  </si>
  <si>
    <t>Body Spray Hayaati 6.3 Oz Men</t>
  </si>
  <si>
    <t>ZX_PE-GU-M-321213</t>
  </si>
  <si>
    <t>Dare Homme 3.4 Oz Edt Men</t>
  </si>
  <si>
    <t>ZX_PE-LT-U-738184</t>
  </si>
  <si>
    <t>Tharwah Silver 3.4 Oz Edp Unisex</t>
  </si>
  <si>
    <t>ZX_PE-ZI-U-075622</t>
  </si>
  <si>
    <t>Tiramisu Carmel 3.4 Oz Edp Unisex</t>
  </si>
  <si>
    <t>ZX_PE-JM-U-248632</t>
  </si>
  <si>
    <t>Game Of Spades Win 3.4 Oz Edp Unisex</t>
  </si>
  <si>
    <t>ZX_PE-JP-W-032520</t>
  </si>
  <si>
    <t>So Scandal 2.8 Oz Edp Women</t>
  </si>
  <si>
    <t>ZX_PE-GU-M-320766</t>
  </si>
  <si>
    <t>Guess 5.1 Oz Edt Men</t>
  </si>
  <si>
    <t>ZX_PE-DK-W-950505</t>
  </si>
  <si>
    <t>Body Mist Be Delicious 8.4 Oz Women</t>
  </si>
  <si>
    <t>ZX_PE-PCO-U-205559</t>
  </si>
  <si>
    <t>Khair 3.4 Oz Edp Unisex</t>
  </si>
  <si>
    <t>ZX_PE-G-M-344157</t>
  </si>
  <si>
    <t>Guilty Absolute 3 Oz Edp Men</t>
  </si>
  <si>
    <t>ZX_PE-ATR-U-296026</t>
  </si>
  <si>
    <t>Amazonas Drift 3.4 Oz Edp Unisex</t>
  </si>
  <si>
    <t>ZX_PE-AU-M-804193</t>
  </si>
  <si>
    <t>Set Odyssey Tyrant 3.4 Oz Edp +3.4Bl+1.7Deo+8.4 Shower Gel Men</t>
  </si>
  <si>
    <t>ZX_PE-MM-U-661264</t>
  </si>
  <si>
    <t>Replica Springtime In A Park 3.4 Oz Edt Unisex</t>
  </si>
  <si>
    <t>ZX_PE-TO-M-509694</t>
  </si>
  <si>
    <t>Man Chill 3.4 Oz Edt Men</t>
  </si>
  <si>
    <t>ZX_PE-JN-M-046734</t>
  </si>
  <si>
    <t>Black Musk 3.0 Oz Edc Men</t>
  </si>
  <si>
    <t>ZX_PE-UB-M-735748</t>
  </si>
  <si>
    <t>Prestige Black 3.0 Oz Men</t>
  </si>
  <si>
    <t>ZX_PE-HO-M-267535</t>
  </si>
  <si>
    <t>Canyon Rush 3.4 Oz Edt Men</t>
  </si>
  <si>
    <t>ZX_PE-DK-W-950512</t>
  </si>
  <si>
    <t>Body Mist Bedelicious Fresh Blossom 8.4 Oz Women</t>
  </si>
  <si>
    <t>ZX_PE-V-W-818112</t>
  </si>
  <si>
    <t>Bright Crystal Absolu 3 Oz Edp Women</t>
  </si>
  <si>
    <t>ZX_PE-LT-U-738092</t>
  </si>
  <si>
    <t>Hala Silver 3.4 Oz Edp Men</t>
  </si>
  <si>
    <t>ZX_PE-NR-M-107741</t>
  </si>
  <si>
    <t>Vetiver Musc 3.3 Oz Edt Men</t>
  </si>
  <si>
    <t>ZX_PE-DG-W-182060</t>
  </si>
  <si>
    <t>Dolce Rose 2.5 Oz Edt Women</t>
  </si>
  <si>
    <t>ZX_PE-GU-W-324283</t>
  </si>
  <si>
    <t>Seductive Blue 2.5 Oz Edt Women</t>
  </si>
  <si>
    <t>ZX_PE-HB-M-623359</t>
  </si>
  <si>
    <t>Boss Orange 3.4 Oz Edt Men</t>
  </si>
  <si>
    <t>ZX_PE-CD-M-838185</t>
  </si>
  <si>
    <t>Homme Intense 3.4 Oz Edp Men</t>
  </si>
  <si>
    <t>ZX_PE-LT-U-738108</t>
  </si>
  <si>
    <t>Afaq Gold 3.4 Oz Edp Unisex</t>
  </si>
  <si>
    <t>ZX_PE-BTO-M-550327</t>
  </si>
  <si>
    <t>Tribu Blue 3.4 Oz Edp Men</t>
  </si>
  <si>
    <t>ZX_PE-L-M-149334</t>
  </si>
  <si>
    <t>L'Homme 3.4 Oz Edt Men</t>
  </si>
  <si>
    <t>ZX_PE-CD-M-627499</t>
  </si>
  <si>
    <t>Eau Sauvage 3.4 Oz Edt Men</t>
  </si>
  <si>
    <t>ZX_PE-K-W-384064</t>
  </si>
  <si>
    <t>World Power 2.5 Oz Edp Women</t>
  </si>
  <si>
    <t>ZX_PE-JM-U-043040</t>
  </si>
  <si>
    <t>Game Of Spades Ruby 3.4 Oz Parfum Unisex</t>
  </si>
  <si>
    <t>ZX_PE-MZ-W-026248</t>
  </si>
  <si>
    <t>Rose 3 Oz Edt Women</t>
  </si>
  <si>
    <t>ZX_PE-OR-U-158852</t>
  </si>
  <si>
    <t>Royal Collection Noble 2.7 Ox Edp Unisex</t>
  </si>
  <si>
    <t>ZX_PE-DK-W-950703</t>
  </si>
  <si>
    <t>Body Mist Bedelicious Pool Party Bay Breeze 8.4 Oz Women</t>
  </si>
  <si>
    <t>ZX_PE-FI-M-294555</t>
  </si>
  <si>
    <t>Fila</t>
  </si>
  <si>
    <t>Fresh Blue 3.4 Oz Edt Men</t>
  </si>
  <si>
    <t>ZX_PE-CH-M-954331</t>
  </si>
  <si>
    <t>Chic For Men 2 Oz Edt Men</t>
  </si>
  <si>
    <t>ZX_PE-V-W-891078</t>
  </si>
  <si>
    <t>Mini Versace Crystal Noir 0.50 Oz Parfum Women</t>
  </si>
  <si>
    <t>ZX_PE-AU-W-176131</t>
  </si>
  <si>
    <t>Eter Desert Flower 3.4 Oz Edp Women</t>
  </si>
  <si>
    <t>ZX_PE-DK-W-962119</t>
  </si>
  <si>
    <t>Body Mist  Be Delicious Ice Pop Citrus 8.4 Oz Women</t>
  </si>
  <si>
    <t>ZX_PE-D-M-174275</t>
  </si>
  <si>
    <t>Cool Water Intense 4.2 Oz Edp Men</t>
  </si>
  <si>
    <t>ZX_PE-TO-M-834416</t>
  </si>
  <si>
    <t>Tous Sport 3.4 Oz Edt Men</t>
  </si>
  <si>
    <t>ZX_PE-DK-W-950529</t>
  </si>
  <si>
    <t>Body Mist Golden Delicious 8.4 Oz Women</t>
  </si>
  <si>
    <t>ZX_PE-DK-W-962102</t>
  </si>
  <si>
    <t>Body Mist Be Delicious Ice Pop Berry Bliss 8.4 Oz Women</t>
  </si>
  <si>
    <t>ZX_PE-HO-M-260017</t>
  </si>
  <si>
    <t>Wave 3.4 Oz Edt Men</t>
  </si>
  <si>
    <t>ZX_PE-DK-W-950574</t>
  </si>
  <si>
    <t>Body Mist Be Delicious Orchard St 8.4 Oz Women</t>
  </si>
  <si>
    <t>ZX_PE-AU-W-168150</t>
  </si>
  <si>
    <t>Miss Magnifiq 3.4 Oz Edp Women</t>
  </si>
  <si>
    <t>ZX_PE-PR-M-608409</t>
  </si>
  <si>
    <t>Set Phantom 2Pc (3.4 Oz Edt ,5.1 Oz Deo) Men Without cellophane and display box</t>
  </si>
  <si>
    <t>ZX_PE-JM-U-043071</t>
  </si>
  <si>
    <t>Game Of Spades Yellow Sapphire  3.4 Oz Parfum Unisex</t>
  </si>
  <si>
    <t>ZX_PE-AJ-M-010233</t>
  </si>
  <si>
    <t>Aristocrat 2.5 Oz Edp Men</t>
  </si>
  <si>
    <t>ZX_PE-AH-M-130153</t>
  </si>
  <si>
    <t>Amber Oud Blue Edition 2.0 Oz Edp Men</t>
  </si>
  <si>
    <t>ZX_PE-CK-M-000319</t>
  </si>
  <si>
    <t>Contradiction 3.4 Oz Edt Men</t>
  </si>
  <si>
    <t>ZX_PE-JM-M-109369</t>
  </si>
  <si>
    <t>Urban Hero 3.3 Oz Edp Men</t>
  </si>
  <si>
    <t>ZX_PE-GA-M-070249</t>
  </si>
  <si>
    <t>Emporio Armani 3.4 Oz Edt Men</t>
  </si>
  <si>
    <t>ZX_PE-MM-W-932464</t>
  </si>
  <si>
    <t>Replica Lazy Sunday Morning 3.4 Oz Edt Women</t>
  </si>
  <si>
    <t>ZX_PE-CH-M-099759</t>
  </si>
  <si>
    <t>Bad Boy Cobalt Electrique 3.4 Oz Edp Men</t>
  </si>
  <si>
    <t>ZX_PE-P-M-782949</t>
  </si>
  <si>
    <t>Prada Luna Rossa Black 3.4 Oz Edp For Men</t>
  </si>
  <si>
    <t>ZX_PE-LP-U-738306</t>
  </si>
  <si>
    <t>Maharjan Silver 3.4 Oz Edp Unisex</t>
  </si>
  <si>
    <t>ZX_PE-GU-M-326607</t>
  </si>
  <si>
    <t>ZX_PE-DK-W-950680</t>
  </si>
  <si>
    <t>Body Mist Bedelicious Pool Party Mai Tai 8.4 Oz Women</t>
  </si>
  <si>
    <t>ZX_PE-DK-W-950697</t>
  </si>
  <si>
    <t>Body Mist Bedelicious Pool Party Lime Mojito 8.4 Oz Women</t>
  </si>
  <si>
    <t>ZX_PE-GA-W-172525</t>
  </si>
  <si>
    <t>Acqua Di Gioia 3.4 Oz Edp Women</t>
  </si>
  <si>
    <t>ZX_PE-GU-M-321985</t>
  </si>
  <si>
    <t>1981 Indigo 3.4 Oz Edt Men</t>
  </si>
  <si>
    <t>ZX_PE-EH-W-190017</t>
  </si>
  <si>
    <t>Ed Hardy</t>
  </si>
  <si>
    <t>Hearts &amp; Daggers 3.4 Oz Edp Women</t>
  </si>
  <si>
    <t>ZX_PE-BD-M-008441</t>
  </si>
  <si>
    <t>Beekman Place 3.3 Oz Edp Men</t>
  </si>
  <si>
    <t>ZX_PE-IM-M-485189</t>
  </si>
  <si>
    <t>Leau Bleue Dissey Pour Homme 2.5 Oz Edt Men</t>
  </si>
  <si>
    <t>ZX_PE-VR-M-659652</t>
  </si>
  <si>
    <t>Spicebomb Extreme 1.7 Oz Edp Men</t>
  </si>
  <si>
    <t>ZX_PE-TO-W-508918</t>
  </si>
  <si>
    <t>Love The Onyx 3.04 Oz Edp Women</t>
  </si>
  <si>
    <t>ZX_PE-VR-M-191556</t>
  </si>
  <si>
    <t>Spicebomb Night Vision 3.4 Oz Edt Men</t>
  </si>
  <si>
    <t>ZX_PE-BN-W-018701</t>
  </si>
  <si>
    <t>Sisterland Blue Neroli 2.7 Oz Edt Women</t>
  </si>
  <si>
    <t>ZX_PE-CI-M-511494</t>
  </si>
  <si>
    <t>Discover 3.4 Oz Edt Men</t>
  </si>
  <si>
    <t>ZX_PE-AH-M-812787</t>
  </si>
  <si>
    <t>Amber Oud Blue Edition 6.7 Oz Edt Men</t>
  </si>
  <si>
    <t>ZX_PE-HO-W-267245</t>
  </si>
  <si>
    <t>Canyon Sky 3.4 Oz Edp Women</t>
  </si>
  <si>
    <t>ZX_PE-LT-U-066319</t>
  </si>
  <si>
    <t>Ser Al Khulood Brown 3.4 Oz Edp Unisex</t>
  </si>
  <si>
    <t>ZX_PE-MO-W-900176</t>
  </si>
  <si>
    <t>Set Toy 2 Bubble Gum 3 Pc 3.4 Oz Edt + 10 Ml Edt + 3.4 Oz Body Lotion Women</t>
  </si>
  <si>
    <t>ZX_PE-BTO-M-550372</t>
  </si>
  <si>
    <t>Tribu Black 3.4 Oz Edp Men</t>
  </si>
  <si>
    <t>ZX_PE-JL-W-080304</t>
  </si>
  <si>
    <t>Glow 3.4 Oz Edt Women</t>
  </si>
  <si>
    <t>ZX_PE-VA-W-261401</t>
  </si>
  <si>
    <t>Born In Roma Yellow Dream 3.4 Oz Edp Women</t>
  </si>
  <si>
    <t>ZX_PE-CO-M-147118</t>
  </si>
  <si>
    <t>Set Coach Green (3 pcs) 3.3 Oz Edt / 3.3 Shower Gel/ 0.50 Oz Edt Men</t>
  </si>
  <si>
    <t>ZX_PE-LT-M-730362</t>
  </si>
  <si>
    <t>Maahir Black Edition 3.4 Oz Edp Men</t>
  </si>
  <si>
    <t>ZX_PE-DIS-M-090092</t>
  </si>
  <si>
    <t>Set Captain America Backpack + 1.7 Zo Edt Men + 10.14 Oz Shower Gel</t>
  </si>
  <si>
    <t>ZX_PE-JM-W-582019</t>
  </si>
  <si>
    <t>Dubai Queen 3.4 Oz Edp Women</t>
  </si>
  <si>
    <t>ZX_PE-LT-M-349105</t>
  </si>
  <si>
    <t>Set Fakhar 2 Pcs 3.4 Oz Edp Body Spray 6.3 Oz Men</t>
  </si>
  <si>
    <t>ZX_PE-MA-W-590646</t>
  </si>
  <si>
    <t>Glacier Bella 3.4 Oz Edp Women</t>
  </si>
  <si>
    <t>ZX_PE-LT-U-340010</t>
  </si>
  <si>
    <t>Set Badee Al Oud Honor And Glory 3 Pcs 100 Oz Edp + 200 Oz Deo + 1.7 Oz Hairmist</t>
  </si>
  <si>
    <t>ZX_PE-CO-M-141253</t>
  </si>
  <si>
    <t>ZX_PE-ADI-M-322021</t>
  </si>
  <si>
    <t>Pure Game 3.3 Oz Edt Men</t>
  </si>
  <si>
    <t>ZX_PE-GU-M-321305</t>
  </si>
  <si>
    <t>Marciano 3.4 Oz Edt Men</t>
  </si>
  <si>
    <t>ZX_PE-AU-W-168143</t>
  </si>
  <si>
    <t>Mystique 3.4 Oz  Edp Women</t>
  </si>
  <si>
    <t>ZX_PE-MA-U-735787</t>
  </si>
  <si>
    <t>Bright Peach 2.7 Oz Edp Unisex</t>
  </si>
  <si>
    <t>ZX_PE-LT-U-736548</t>
  </si>
  <si>
    <t>Raed Oud 3.4 Oz Edp Unisex</t>
  </si>
  <si>
    <t>ZX_PE-LT-U-738290</t>
  </si>
  <si>
    <t>Maharjan Gold 3.4 Oz Edp Unisex</t>
  </si>
  <si>
    <t>ZX_PE-LT-U-733226</t>
  </si>
  <si>
    <t>Ana Abiyedh Poudree 2.0 Oz Edp Unisex</t>
  </si>
  <si>
    <t>ZX_PE-LT-U-349679</t>
  </si>
  <si>
    <t>Give Me Gourmand Choco Overdose 2.5 Oz Edp Unisex</t>
  </si>
  <si>
    <t>ZX_PE-LT-U-349662</t>
  </si>
  <si>
    <t>Give Me Gourmand Cookie Crave 2.5 Oz Edp Unisex</t>
  </si>
  <si>
    <t>ZX_PE-HO-M-268617</t>
  </si>
  <si>
    <t>Festival Nite 3.4 Oz Edt Men</t>
  </si>
  <si>
    <t>ZX_PE-DG-M-049456</t>
  </si>
  <si>
    <t>K 3.4 Oz Edt Men</t>
  </si>
  <si>
    <t>ZX_PE-CD-W-206174</t>
  </si>
  <si>
    <t>Addict 3.4 Oz Edt Women</t>
  </si>
  <si>
    <t>ZX_PE-DG-M-188727</t>
  </si>
  <si>
    <t>The One Gold Intense  3.3 Oz Edp Men</t>
  </si>
  <si>
    <t>ZX_PE-0-W-912282</t>
  </si>
  <si>
    <t>Love &amp; Luck 3.4 Oz Edp Women</t>
  </si>
  <si>
    <t>ZX_PE-LT-U-069037</t>
  </si>
  <si>
    <t>Ekhtiari 3.4 Oz Edp Unisex</t>
  </si>
  <si>
    <t>ZX_PE-GA-M-954174</t>
  </si>
  <si>
    <t>Acqua Di Gio 1.6 Oz Parfum Men Refillable</t>
  </si>
  <si>
    <t>ZX_PE-CK-U-049189</t>
  </si>
  <si>
    <t>Mini Ck One 0.50 Oz Edt Unisex</t>
  </si>
  <si>
    <t>ZX_PE-CO-M-113724</t>
  </si>
  <si>
    <t>ZX_PE-V-W-817498</t>
  </si>
  <si>
    <t>Brigth Crystal 6.7 Oz Edt Women</t>
  </si>
  <si>
    <t>ZX_PE-CK-W-150410</t>
  </si>
  <si>
    <t>Obsesion Nigth 3.4 Oz Edp Women</t>
  </si>
  <si>
    <t>ZX_PE-AU-M-812068</t>
  </si>
  <si>
    <t>Scentasy Matcha Magix 3.4 Oz Edp Men</t>
  </si>
  <si>
    <t>ZX_PE-LT-W-348054</t>
  </si>
  <si>
    <t>Nebras Elixir 3.4 Oz Edp Women</t>
  </si>
  <si>
    <t>ZX_PE-BS-W-258111</t>
  </si>
  <si>
    <t>Blissful Fantasy 3.4 Oz Edt Women</t>
  </si>
  <si>
    <t>ZX_PE-PE-M-009493</t>
  </si>
  <si>
    <t>360 Collection Noir 3.4 Oz Edt Men</t>
  </si>
  <si>
    <t>ZX_PE-AH-M-813579</t>
  </si>
  <si>
    <t>L'Aventure Fraiche 3.4 Oz Edp Men</t>
  </si>
  <si>
    <t>ZX_PE-RL-M-012825</t>
  </si>
  <si>
    <t>Polo Green 4.2 Oz Edt Men</t>
  </si>
  <si>
    <t>ZX_PE-LT-U-595771</t>
  </si>
  <si>
    <t>Teriaq Intense 3.4 Oz Edp Unisex</t>
  </si>
  <si>
    <t>ZX_PE-GU-M-320377</t>
  </si>
  <si>
    <t>Seductive Noir 3.4 Oz Edt Men</t>
  </si>
  <si>
    <t>ZX_PE-AH-W-130092</t>
  </si>
  <si>
    <t>Laventure Gold 3.4 Oz Edp Women</t>
  </si>
  <si>
    <t>ZX_PE-BS-W-636933</t>
  </si>
  <si>
    <t>Body Mist Fantasy 8.0 Oz Women</t>
  </si>
  <si>
    <t>ZX_PE-LT-U-591971</t>
  </si>
  <si>
    <t>Art Of Arabia III 3.4 Oz Edp Unisex</t>
  </si>
  <si>
    <t>ZX_PE-LT-U-348061</t>
  </si>
  <si>
    <t>Set Pride 5X 0.67 Oz Bike 1910-Shaheen Silver-African Drummer-Shuyukh Silver-Vintage Radio Edp Unisex</t>
  </si>
  <si>
    <t>ZX_PE-PE-M-006157</t>
  </si>
  <si>
    <t>360 Collection 3.4 Oz Edt Men</t>
  </si>
  <si>
    <t>ZX_PE-ZA-W-731550</t>
  </si>
  <si>
    <t>Z 40 3.4 Oz Edp Women</t>
  </si>
  <si>
    <t>ZX_PE-BS-W-228992</t>
  </si>
  <si>
    <t>Naked Fantasy 3.4 Oz Edp Women</t>
  </si>
  <si>
    <t>ZX_PE-ZA-W-731697</t>
  </si>
  <si>
    <t>Z 16 3.4 Oz Edp Women</t>
  </si>
  <si>
    <t>ZX_PE-LT-W-340089</t>
  </si>
  <si>
    <t>Set Fakhar Rose Gold 3.4 Oz 6.7 Body Spray 1.7 Oz Hairmist Edp Women</t>
  </si>
  <si>
    <t>ZX_PE-JL-W-110018</t>
  </si>
  <si>
    <t>Miami Glow 3.4 Oz Edt Women</t>
  </si>
  <si>
    <t>ZX_PE-LT-U-344506</t>
  </si>
  <si>
    <t>Set Badee Al Oud Collection 0.16 Oz Edp Unisex</t>
  </si>
  <si>
    <t>ZX_PE-AU-M-166149</t>
  </si>
  <si>
    <t>Odyssey Aoud 3.4 Oz Edp Men</t>
  </si>
  <si>
    <t>ZX_PE-LT-U-737101</t>
  </si>
  <si>
    <t>Velvet Rose 3.4 oz Edp Women</t>
  </si>
  <si>
    <t>ZX_PE-IM-M-486025</t>
  </si>
  <si>
    <t>Leau Dissey Pour Homme Intense 2.5 Oz Edt Men</t>
  </si>
  <si>
    <t>ZX_PE-TH-M-055373</t>
  </si>
  <si>
    <t>Tommy 1 Oz Edt Men</t>
  </si>
  <si>
    <t>ZX_PE-AU-M-804162</t>
  </si>
  <si>
    <t>Set Odyssey Limoni 3.4 Oz 4Pc Edp Men</t>
  </si>
  <si>
    <t>ZX_PE-BN-W-022425</t>
  </si>
  <si>
    <t>Set Sisterland Green Jasmi Ne 2.7 Oz Edt / 2.5 Body Lotion Women</t>
  </si>
  <si>
    <t>ZX_PE-MA-W-340621</t>
  </si>
  <si>
    <t>Sceptre Desert 3.4 Oz Edp Women</t>
  </si>
  <si>
    <t>ZX_PE-P-W-000597</t>
  </si>
  <si>
    <t>Paradoxe Virtual Flower 3.0 Oz Edp Women Refillable</t>
  </si>
  <si>
    <t>ZX_PE-FI-M-002065</t>
  </si>
  <si>
    <t>ZX_PE-AU-M-199413</t>
  </si>
  <si>
    <t>Sawdaa Sehr Aleuyn 2.5 Oz Edp Men</t>
  </si>
  <si>
    <t>ZX_PE-YL-M-316560</t>
  </si>
  <si>
    <t>Lhomme 3.4 Oz Edt Men</t>
  </si>
  <si>
    <t>ZX_PE-FI-M-294623</t>
  </si>
  <si>
    <t>ZX_PE-MO-M-064106</t>
  </si>
  <si>
    <t>Uomo 4.2 Oz Edt Men</t>
  </si>
  <si>
    <t>ZX_PE-LT-U-595764</t>
  </si>
  <si>
    <t>Teriaq 3.4 Oz Edp Unisex</t>
  </si>
  <si>
    <t>ZX_PE-JP-M-317527</t>
  </si>
  <si>
    <t>Jean Paul Gaultier 2.5 Oz Edt Men</t>
  </si>
  <si>
    <t>ZX_PE-VR-W-417685</t>
  </si>
  <si>
    <t>Set Mini Flowerbomb 0.34 Oz Edp/ 0.24 Oz Women</t>
  </si>
  <si>
    <t>ZX_PE-DIS-K-089751</t>
  </si>
  <si>
    <t>Set Minnie Toiletry Bag + 1.7 Oz Edt Women + 3.4 Oz Shower Gel</t>
  </si>
  <si>
    <t>ZX_PE-AU-U-166163</t>
  </si>
  <si>
    <t>Space Age 3.4 Oz Edp Unisex</t>
  </si>
  <si>
    <t>ZX_PE-AH-W-131747</t>
  </si>
  <si>
    <t>L'Aventure Gold 6.7 Oz Edp Women</t>
  </si>
  <si>
    <t>ZX_PE-AU-M-810613</t>
  </si>
  <si>
    <t>Delights Bon Bon 3.4 Oz Edp Unisex</t>
  </si>
  <si>
    <t>ZX_PE-LT-U-739020</t>
  </si>
  <si>
    <t>Qaed Al Fursan Unlimited 3.0 Oz Edp Unisex</t>
  </si>
  <si>
    <t>ZX_PE-RA-M-555132</t>
  </si>
  <si>
    <t>Hawas Viper 3.4 Oz Edp Men</t>
  </si>
  <si>
    <t>ZX_PE-LT-M-346135</t>
  </si>
  <si>
    <t>Asad 5Th Anniversary 2 Pcs Asad And Asad Zanzibar 3.4 Oz Men</t>
  </si>
  <si>
    <t>ZX_PE-AH-U-130559</t>
  </si>
  <si>
    <t>Amber Oud Ruby 4 Oz Edp Unisex</t>
  </si>
  <si>
    <t>ZX_PE-MA-U-340546</t>
  </si>
  <si>
    <t>Jean Lowe Azure 3.4 Oz Edp Unisex</t>
  </si>
  <si>
    <t>ZX_PE-AU-M-175523</t>
  </si>
  <si>
    <t>Set Odyssey Mega 3.4 Oz 4Pc Edp Men</t>
  </si>
  <si>
    <t>ZX_PE-AH-M-814859</t>
  </si>
  <si>
    <t>Amber Oud Aqua Dubai Extrait De Parfum 2.5 Oz Unisex</t>
  </si>
  <si>
    <t>ZX_PE-LT-W-349259</t>
  </si>
  <si>
    <t>Set Yara Tous  3 Pcs 3.4 Oz Edp + 12Ml Travel Spray + 50Ml Hairmist Women</t>
  </si>
  <si>
    <t>ZX_PE-GU-W-321107</t>
  </si>
  <si>
    <t>Marciano 3.4 Oz Edp Women</t>
  </si>
  <si>
    <t>ZX_PE-LT-U-592718</t>
  </si>
  <si>
    <t>Artisan Ethnique 3.4 Oz Edp Unisex</t>
  </si>
  <si>
    <t>ZX_PE-AU-M-809280</t>
  </si>
  <si>
    <t>Set Odyssey Artisto 3.4 Edt Oz +3.4Bl+1.7Deo+8.4Shampoo Women</t>
  </si>
  <si>
    <t>ZX_PE-LT-W-349099</t>
  </si>
  <si>
    <t>Set Badee Al Oud Noble Blush 2 Pcs Gift Set With 3.4 Oz Edp + 6.7 Oz Women</t>
  </si>
  <si>
    <t>ZX_PE-A-M-016617</t>
  </si>
  <si>
    <t>Wanted 3.4 Oz Edt Men</t>
  </si>
  <si>
    <t>ZX_PE-DG-W-183487</t>
  </si>
  <si>
    <t>Mini Dg Light Blue 0.15 Oz Edt Women</t>
  </si>
  <si>
    <t>ZX_PE-LT-W-349365</t>
  </si>
  <si>
    <t>Set Badee Al Oud Noble Blush  3 Pcs 3.4 Oz Edp + 12Ml Travel Spray + 50Ml Hairmist Women</t>
  </si>
  <si>
    <t>ZX_PE-PR-M-630349</t>
  </si>
  <si>
    <t>One Million Gold Intense 3.4 Oz Edp Men</t>
  </si>
  <si>
    <t>ZX_PE-LT-U-451527</t>
  </si>
  <si>
    <t>Lail Maleki 3.4 Oz Edp Unisex</t>
  </si>
  <si>
    <t>ZX_PE-PR-M-627530</t>
  </si>
  <si>
    <t>Invictus Parfum 3.4 Oz Men</t>
  </si>
  <si>
    <t>ZX_PE-LT-U-598956</t>
  </si>
  <si>
    <t>Mishlah 3.4 Oz Edp Unisex</t>
  </si>
  <si>
    <t>ZX_PE-GU-M-001634</t>
  </si>
  <si>
    <t>Seductive Homme Blue 3.4 Oz Edt Men</t>
  </si>
  <si>
    <t>ZX_PE-LT-U-349655</t>
  </si>
  <si>
    <t>Give Me Gourmand Vanilla Freak 2.5 Oz Edp Unisex</t>
  </si>
  <si>
    <t>ZX_PE-CH-W-026243</t>
  </si>
  <si>
    <t>Good Girl Legere 2.7 Oz Edp Women</t>
  </si>
  <si>
    <t>ZX_PE-AU-W-810378</t>
  </si>
  <si>
    <t>Luna 3.4 Oz Edp Women</t>
  </si>
  <si>
    <t>ZX_PE-JP-M-102537</t>
  </si>
  <si>
    <t>Le Beau Flower 4.2 Oz Edp Men</t>
  </si>
  <si>
    <t>ZX_PE-YL-M-683401</t>
  </si>
  <si>
    <t>Y 3.3 oz EDT for Men</t>
  </si>
  <si>
    <t>ZX_PE-AU-W-815038</t>
  </si>
  <si>
    <t>Delights Dubai Delicacy Red Velvet 2.37 Oz Edp Women</t>
  </si>
  <si>
    <t>ZX_PE-AU-M-136838</t>
  </si>
  <si>
    <t>Set Club De Nuit Milestone 3.4 Oz Edp + 3.4 Bl + 1.7 Deo + 8.4 Shampoo Men</t>
  </si>
  <si>
    <t>ZX_PE-D-M-446527</t>
  </si>
  <si>
    <t>Set Cool Water 5Pc (4.2 Oz Edt, 2.4 Oz Deostick, 2.5 Oz A/Shave Balm, 2.5 Oz S/Gel, 0.50 Oz Edt) Men</t>
  </si>
  <si>
    <t>ZX_PE-HO-M-267030</t>
  </si>
  <si>
    <t>Canyon Escape 3.4 Oz Edt Men</t>
  </si>
  <si>
    <t>ZX_PE-MB-M-128391</t>
  </si>
  <si>
    <t>Individuel Tonic 2.5 Oz Edt Men</t>
  </si>
  <si>
    <t>ZX_PE-MB-W-154437</t>
  </si>
  <si>
    <t>Set Signature 3 Pcs  3.0 Oz Edp , 3.4 Oz B/L, 7.5 ml  Women</t>
  </si>
  <si>
    <t>ZX_PE-MW-M-425501</t>
  </si>
  <si>
    <t>Tabac</t>
  </si>
  <si>
    <t>Tabac 10.0 Oz EDC for Men</t>
  </si>
  <si>
    <t>ZX_PE-MZ-M-085023</t>
  </si>
  <si>
    <t>Set Select 1.7 Oz Edt &amp; 2.5 Oz Deo Stick Men</t>
  </si>
  <si>
    <t>ZX_PE-SF-M-891702</t>
  </si>
  <si>
    <t>Bright Leather 3.4 Oz Edt Men</t>
  </si>
  <si>
    <t>ZX_PE-BU-M-820799</t>
  </si>
  <si>
    <t>Hero 3.4 Oz Edt Men</t>
  </si>
  <si>
    <t>ZX_PE-BU-M-838227</t>
  </si>
  <si>
    <t>Mr Burberry 1.7 Oz Edp Men</t>
  </si>
  <si>
    <t>ZX_PE-CQ-W-052959</t>
  </si>
  <si>
    <t>Happy 1.7 Oz Edp Women</t>
  </si>
  <si>
    <t>ZX_PE-HE-M-001348</t>
  </si>
  <si>
    <t>Terre 3.4 Oz Edt Men</t>
  </si>
  <si>
    <t>ZX_PE-A-M-015245</t>
  </si>
  <si>
    <t>Chrome Legend 4.2 Oz Edt Men</t>
  </si>
  <si>
    <t>ZX_PE-HB-M-623311</t>
  </si>
  <si>
    <t>In Motion 3.3 Oz Edt Men</t>
  </si>
  <si>
    <t>ZX_PE-AU-M-196412</t>
  </si>
  <si>
    <t>Connoisseur 3.4 Oz Edp Men</t>
  </si>
  <si>
    <t>ZX_PE-MB-M-028394</t>
  </si>
  <si>
    <t>Individuel 2.5 Oz Edt Men</t>
  </si>
  <si>
    <t>ZX_PE-LT-U-599090</t>
  </si>
  <si>
    <t>Sehr 3.4 Oz Edp Unisex</t>
  </si>
  <si>
    <t>ZX_PE-AU-W-163919</t>
  </si>
  <si>
    <t>Tag Donna Di Terra 3.4 Oz Edp Women</t>
  </si>
  <si>
    <t>ZX_PE-JP-W-050760</t>
  </si>
  <si>
    <t>Scandal Le Parfum 2.7 Oz Edp Women</t>
  </si>
  <si>
    <t>ZX_PE-SC-W-677345</t>
  </si>
  <si>
    <t>Sweet Tooth Cherry Baby 2.5 Oz Edp Women</t>
  </si>
  <si>
    <t>ZX_PE-PE-M-015647</t>
  </si>
  <si>
    <t>360 Very Blue 6.8Oz Edt Men</t>
  </si>
  <si>
    <t>ZX_PE-IM-M-874750</t>
  </si>
  <si>
    <t>Nuit Dissey 4.2 Oz Edt Men</t>
  </si>
  <si>
    <t>ZX_PE-AU-W-091051</t>
  </si>
  <si>
    <t>Set Le Femme 3.4 Oz Edt Spr + 3.4Bl +1.7Deo+8.4 Oz Splash Women</t>
  </si>
  <si>
    <t>ZX_PE-CH-M-723760</t>
  </si>
  <si>
    <t>212 Vip 3.4 Oz Edt Men</t>
  </si>
  <si>
    <t>ZX_PE-HO-W-267504</t>
  </si>
  <si>
    <t>Canyon Rush 3.4 Oz Edp Women</t>
  </si>
  <si>
    <t>ZX_PE-HO-M-267146</t>
  </si>
  <si>
    <t>Canyon Sky 3.4 Oz Edt Men</t>
  </si>
  <si>
    <t>ZX_PE-LT-U-349334</t>
  </si>
  <si>
    <t>Pride Eternal Vanille 3.4 Oz Edp Unisex</t>
  </si>
  <si>
    <t>ZX_PE-IM-W-300154</t>
  </si>
  <si>
    <t>Leau Dissey 1.7 Oz Edt Women</t>
  </si>
  <si>
    <t>ZX_PE-JP-M-012669</t>
  </si>
  <si>
    <t>Le Male 4.2 Oz Edt Men</t>
  </si>
  <si>
    <t>ZX_PE-HO-M-268518</t>
  </si>
  <si>
    <t>Festival Vibes 3.4 Oz Edt Men</t>
  </si>
  <si>
    <t>ZX_PE-MA-U-735428</t>
  </si>
  <si>
    <t>Infini Oud 3.4 Oz Edp Unisex</t>
  </si>
  <si>
    <t>ZX_PE-HB-W-830393</t>
  </si>
  <si>
    <t>Alive 2.7 Oz Edp Women</t>
  </si>
  <si>
    <t>ZX_PE-JD-M-502519</t>
  </si>
  <si>
    <t>Halloween Man Rock On 4.2 Oz Edt Men</t>
  </si>
  <si>
    <t>ZX_PE-MO-W-991600</t>
  </si>
  <si>
    <t>Funny 1.7 Oz Edt Women</t>
  </si>
  <si>
    <t>ZX_PE-V-W-858552</t>
  </si>
  <si>
    <t>Dylan Turquise 3.3 Oz Edt Women</t>
  </si>
  <si>
    <t>ZX_PE-CH-M-081600</t>
  </si>
  <si>
    <t>Herrera 3.4 Oz Edt Men</t>
  </si>
  <si>
    <t>ZX_PE-VA-M-024807</t>
  </si>
  <si>
    <t>Uomo Born In Roma Green Stravaganza 3.4 Oz Edt Men</t>
  </si>
  <si>
    <t>ZX_PE-AF-M-167019</t>
  </si>
  <si>
    <t>First Instinct Blue 3.4 Oz Edt Men</t>
  </si>
  <si>
    <t>ZX_PE-AU-W-106145</t>
  </si>
  <si>
    <t>Flavia Ampario 3.4 Oz Edp Women</t>
  </si>
  <si>
    <t>ZX_PE-V-M-500037</t>
  </si>
  <si>
    <t>Eau Fraiche 3.4 Oz Edt Men</t>
  </si>
  <si>
    <t>ZX_PE-NW-M-735908</t>
  </si>
  <si>
    <t>Golf Red 3.4 Oz Edt Men</t>
  </si>
  <si>
    <t>ZX_PE-NW-M-220130</t>
  </si>
  <si>
    <t>Prestige Free Man 3.3 Oz Edt Men</t>
  </si>
  <si>
    <t>ZX_PE-NW-M-220352</t>
  </si>
  <si>
    <t>Prestige Official 3.3 Oz Edt Men</t>
  </si>
  <si>
    <t>ZX_PE-NW-M-220420</t>
  </si>
  <si>
    <t>Zap 3.3 Oz Edt Men</t>
  </si>
  <si>
    <t>ZX_PE-NW-M-221724</t>
  </si>
  <si>
    <t>Prestige Hero 3.3 Oz Edt Men</t>
  </si>
  <si>
    <t>ZX_PE-NW-M-221748</t>
  </si>
  <si>
    <t>Pure Sense 3.3 Oz Edt Men</t>
  </si>
  <si>
    <t>ZX_PE-NW-M-730538</t>
  </si>
  <si>
    <t>2 3.3 Oz Edt Men</t>
  </si>
  <si>
    <t>ZX_PE-NW-M-730675</t>
  </si>
  <si>
    <t>Exceed 3.3 Oz Edt Men</t>
  </si>
  <si>
    <t>ZX_PE-NW-M-730705</t>
  </si>
  <si>
    <t>Prestige The Man 3.3 Oz Edt Men</t>
  </si>
  <si>
    <t>ZX_PE-NW-M-730897</t>
  </si>
  <si>
    <t>Prestige Club N1 3.3 Oz Edt Men</t>
  </si>
  <si>
    <t>ZX_PE-NW-M-730903</t>
  </si>
  <si>
    <t>Luxury 3.3 Oz Edt Men</t>
  </si>
  <si>
    <t>ZX_PE-NW-M-732037</t>
  </si>
  <si>
    <t>Seduction 3.3 Oz Edt Men</t>
  </si>
  <si>
    <t>ZX_PE-NW-M-735113</t>
  </si>
  <si>
    <t>Prestige Ego Gold 3.3 Oz Edt Men</t>
  </si>
  <si>
    <t>ZX_PE-NW-U-223698</t>
  </si>
  <si>
    <t>Oriental Amira 3.3 Oz Edp Unisex</t>
  </si>
  <si>
    <t>ZX_PE-NW-W-220031</t>
  </si>
  <si>
    <t>Douceur 3.3 Oz Edp Women</t>
  </si>
  <si>
    <t>ZX_PE-NW-W-220208</t>
  </si>
  <si>
    <t>Prestige Classic Oud 3.3 Oz Edp Women</t>
  </si>
  <si>
    <t>ZX_PE-NW-W-220215</t>
  </si>
  <si>
    <t>Prestige Daily Perfume 3.3 Oz Edp Women</t>
  </si>
  <si>
    <t>ZX_PE-NW-W-220253</t>
  </si>
  <si>
    <t>Prestige Dangerous 3.3 Oz Edp Women</t>
  </si>
  <si>
    <t>ZX_PE-NW-W-220345</t>
  </si>
  <si>
    <t>Prestige Parfum De Nuit 3.3 Oz Edp Women</t>
  </si>
  <si>
    <t>ZX_PE-NW-W-220376</t>
  </si>
  <si>
    <t>Orange Balloon 3.3 Oz Edp Women</t>
  </si>
  <si>
    <t>ZX_PE-NW-W-220932</t>
  </si>
  <si>
    <t>Prestige Sweetie 3.3 Oz Edp Women</t>
  </si>
  <si>
    <t>ZX_PE-NW-W-221076</t>
  </si>
  <si>
    <t>Prestige Sensual 3.3 Oz Edp Women</t>
  </si>
  <si>
    <t>ZX_PE-NW-W-221489</t>
  </si>
  <si>
    <t>Prestige Hola 3.3 Oz Edp Women</t>
  </si>
  <si>
    <t>ZX_PE-NW-W-221731</t>
  </si>
  <si>
    <t>Prestige Pure Sense 3.3 Oz Edp Women</t>
  </si>
  <si>
    <t>ZX_PE-NW-W-222196</t>
  </si>
  <si>
    <t>Prestige My Style 3.3 Oz Edp Women</t>
  </si>
  <si>
    <t>ZX_PE-NW-W-222981</t>
  </si>
  <si>
    <t>Prestige Classic Woman 3.3 Oz Edp Women</t>
  </si>
  <si>
    <t>ZX_PE-NW-W-223629</t>
  </si>
  <si>
    <t>Mona 3.3 Oz Edp Women</t>
  </si>
  <si>
    <t>ZX_PE-NW-W-223636</t>
  </si>
  <si>
    <t>Nour 3.3 Oz Edp Women</t>
  </si>
  <si>
    <t>ZX_PE-NW-W-730521</t>
  </si>
  <si>
    <t>Eva 3.3 Oz Edp Women</t>
  </si>
  <si>
    <t>ZX_PE-NW-W-730545</t>
  </si>
  <si>
    <t>Ii 3.3 Oz Edp Women</t>
  </si>
  <si>
    <t>ZX_PE-NW-W-730552</t>
  </si>
  <si>
    <t>L'Or 3.3 Oz Edp Women</t>
  </si>
  <si>
    <t>ZX_PE-NW-W-730620</t>
  </si>
  <si>
    <t>Forever 3.3 Oz Edp Women</t>
  </si>
  <si>
    <t>ZX_PE-NW-W-730712</t>
  </si>
  <si>
    <t>Oh Light 3.3 Oz Edp Women</t>
  </si>
  <si>
    <t>ZX_PE-NW-W-730873</t>
  </si>
  <si>
    <t>French Can Can 3.4 Oz Edp Women</t>
  </si>
  <si>
    <t>ZX_PE-NW-W-730910</t>
  </si>
  <si>
    <t>Luxury 3.3 Oz Edp Women</t>
  </si>
  <si>
    <t>ZX_PE-NW-W-732082</t>
  </si>
  <si>
    <t>Tracy 3.3 Oz Edp Women</t>
  </si>
  <si>
    <t>ZX_PE-NW-W-734468</t>
  </si>
  <si>
    <t>Perfumes In Love 3.3 Oz Edp Women</t>
  </si>
  <si>
    <t>ZX_PE-NW-W-735069</t>
  </si>
  <si>
    <t>Prestige Princess Charming 3.3 Oz Edp Women</t>
  </si>
  <si>
    <t>ZX_PE-NW-W-735137</t>
  </si>
  <si>
    <t>Prestige Velvet 3.3 Oz Edp Women</t>
  </si>
  <si>
    <t>ZX_PE-NW-W-735151</t>
  </si>
  <si>
    <t>Prestige Fluo Pink 3.3 Oz Edp Women</t>
  </si>
  <si>
    <t>ZX_PE-NW-W-736455</t>
  </si>
  <si>
    <t>Candy Cancan 3.3 Oz Edp Women</t>
  </si>
  <si>
    <t>ZX_PE-NW-W-736479</t>
  </si>
  <si>
    <t>Prestige Silence 3.3 Oz Edp Women</t>
  </si>
  <si>
    <t>ZX_PE-NW-M-220123</t>
  </si>
  <si>
    <t>Prestige Volcano 3.3 Oz Edt Men</t>
  </si>
  <si>
    <t>ZX_PE-NW-M-220246</t>
  </si>
  <si>
    <t>Story Of Black 3.3 Oz Edt Men</t>
  </si>
  <si>
    <t>ZX_PE-NW-M-220482</t>
  </si>
  <si>
    <t>Story Of White 3.3 Oz Edt Men</t>
  </si>
  <si>
    <t>ZX_PE-NW-M-730637</t>
  </si>
  <si>
    <t>Never Fear 3.3 Oz Edt Men</t>
  </si>
  <si>
    <t>ZX_PE-NW-M-735106</t>
  </si>
  <si>
    <t>Ego Silver 3.3 Oz Edt Men</t>
  </si>
  <si>
    <t>ZX_PE-NW-W-220550</t>
  </si>
  <si>
    <t>Prestige My Brand 3.3 Oz Edp Women</t>
  </si>
  <si>
    <t>ZX_PE-NW-W-222752</t>
  </si>
  <si>
    <t>Pretty Intense 3.3 Oz Edp Women</t>
  </si>
  <si>
    <t>ZX_PE-NW-W-730651</t>
  </si>
  <si>
    <t>Blue Sky 3.3 Oz Edp Women</t>
  </si>
  <si>
    <t>ZX_PE-NW-W-730668</t>
  </si>
  <si>
    <t>Rich 3.3 Oz Edp Women</t>
  </si>
  <si>
    <t>ZX_PE-NW-W-735076</t>
  </si>
  <si>
    <t>Prestige Princess Dreaming 3.3 Oz Edp Women</t>
  </si>
  <si>
    <t>ZX_PE-NW-M-220116</t>
  </si>
  <si>
    <t>Gt 3.3 Oz Edt Men</t>
  </si>
  <si>
    <t>ZX_PE-NW-M-220154</t>
  </si>
  <si>
    <t>Prestige Strong 3.3 Oz Edt Men</t>
  </si>
  <si>
    <t>ZX_PE-NW-M-220260</t>
  </si>
  <si>
    <t>Prestige The Royal 3.3 Oz Edt Men</t>
  </si>
  <si>
    <t>ZX_PE-NW-M-221175</t>
  </si>
  <si>
    <t>Prestige Gt Darker 3.3 Oz Edt Men</t>
  </si>
  <si>
    <t>ZX_PE-NW-M-733683</t>
  </si>
  <si>
    <t>Prestige Extasia 3.4 Oz Edt Men</t>
  </si>
  <si>
    <t>ZX_PE-NW-W-220949</t>
  </si>
  <si>
    <t>Prestige Dani 3.3 Oz Edp Women</t>
  </si>
  <si>
    <t>ZX_PE-NW-W-221632</t>
  </si>
  <si>
    <t>Prestige Jessy Kiss 3.3 Oz Edp Women</t>
  </si>
  <si>
    <t>ZX_PE-NW-W-222967</t>
  </si>
  <si>
    <t>Prestige Black Rose 3.3 Oz Edp Women</t>
  </si>
  <si>
    <t>ZX_PE-NW-W-734314</t>
  </si>
  <si>
    <t>Prestige Gold 3.3 Oz Edp Women</t>
  </si>
  <si>
    <t>ZX_PE-NW-W-220338</t>
  </si>
  <si>
    <t>Prestige Fashionista 3.3 Oz Edp Women</t>
  </si>
  <si>
    <t>ZX_PE-NW-W-222950</t>
  </si>
  <si>
    <t>Prestige Star 3.3 Oz Edp Women</t>
  </si>
  <si>
    <t>ZX_PE-NW-M-220062</t>
  </si>
  <si>
    <t>Master Essence 3.4 Oz Edt Men</t>
  </si>
  <si>
    <t>ZX_PE-NW-M-220758</t>
  </si>
  <si>
    <t>Set Prestige Volcano 3.3 Oz + 4.3 Oz + 4.3 Oz + 15 Ml Edt Men</t>
  </si>
  <si>
    <t>ZX_PE-NW-M-734413</t>
  </si>
  <si>
    <t>L'Homme 3.3 Oz Edt Men</t>
  </si>
  <si>
    <t>ZX_PE-NW-M-734451</t>
  </si>
  <si>
    <t>Prestige Extasia Black 3.4 Oz Edt Men</t>
  </si>
  <si>
    <t>ZX_PE-NW-W-220109</t>
  </si>
  <si>
    <t>Master Essence Pink Gold 3.4 Oz Edp Women</t>
  </si>
  <si>
    <t>ZX_PE-NW-W-221045</t>
  </si>
  <si>
    <t>Prestige Mysterious Girl 3.3 Oz Edp Women</t>
  </si>
  <si>
    <t>ZX_PE-NW-W-220093</t>
  </si>
  <si>
    <t>Master Of Gold 3.3 Oz Edp Women</t>
  </si>
  <si>
    <t>ZX_PE-NW-W-220901</t>
  </si>
  <si>
    <t>Essence Purple 3.4 Oz Edp Women</t>
  </si>
  <si>
    <t>ZX_PE-NW-M-735793</t>
  </si>
  <si>
    <t>Prestige 4 3.3 Oz Edt Men</t>
  </si>
  <si>
    <t>ZX_PE-NW-U-222974</t>
  </si>
  <si>
    <t>Prestige Y 3.3 Oz Edp Unisex</t>
  </si>
  <si>
    <t>ZX_PE-NW-W-220413</t>
  </si>
  <si>
    <t>Pop 3.3 Oz Edp Women</t>
  </si>
  <si>
    <t>ZX_PE-NW-W-221083</t>
  </si>
  <si>
    <t>Prestige Secret 3.3 Oz Edp Women</t>
  </si>
  <si>
    <t>ZX_PE-NW-W-221649</t>
  </si>
  <si>
    <t>Prestige Phantom 3.3 Oz Edp Women</t>
  </si>
  <si>
    <t>ZX_PE-NW-W-735809</t>
  </si>
  <si>
    <t>Prestige 4 3.3 Oz Edp Women</t>
  </si>
  <si>
    <t>ZX_PE-NW-W-737087</t>
  </si>
  <si>
    <t>Prestige Cute 3.3 Oz Edp Women</t>
  </si>
  <si>
    <t>ZX_PE-NW-M-730644</t>
  </si>
  <si>
    <t>Blue Sky 3.3 Oz Edt Men</t>
  </si>
  <si>
    <t>ZX_PE-NW-W-220239</t>
  </si>
  <si>
    <t>Prestige Cool 3.3 Oz Edp Women</t>
  </si>
  <si>
    <t>ZX_PE-NW-M-220925</t>
  </si>
  <si>
    <t>Prestige The Nb 3.3 Oz Edt Men</t>
  </si>
  <si>
    <t>ZX_PE-NW-M-733560</t>
  </si>
  <si>
    <t>Prestige Commando 3.4 Oz Edt Men</t>
  </si>
  <si>
    <t>ZX_PE-NW-M-734277</t>
  </si>
  <si>
    <t>Prestige Gold 3.3 Oz Edt Men</t>
  </si>
  <si>
    <t>ZX_PE-NW-M-220192</t>
  </si>
  <si>
    <t>Prestige Only You 3.3 Oz Edt Men</t>
  </si>
  <si>
    <t>ZX_PE-NW-M-220475</t>
  </si>
  <si>
    <t>Prestige Only You Black 3.3 Oz Edt Men</t>
  </si>
  <si>
    <t>ZX_PE-NW-M-222769</t>
  </si>
  <si>
    <t>Intense Gold Ace 3.3 Oz Edp Men</t>
  </si>
  <si>
    <t>ZX_PE-NW-W-220307</t>
  </si>
  <si>
    <t>Set L'Or 3.3 Oz + 4.3 Oz + 4.3 Oz + 15 Ml Edp Women</t>
  </si>
  <si>
    <t>ZX_PE-NW-W-221144</t>
  </si>
  <si>
    <t>Set Prestige Silence 3.3 Oz + 4.3 Oz + 4.3 Oz + 15 Ml Edp Women</t>
  </si>
  <si>
    <t>ZX_PE-NW-W-222295</t>
  </si>
  <si>
    <t>Set Luxury 3.3 Oz + 4.4 Oz + 4.4 Oz + 15 Ml Edp Women</t>
  </si>
  <si>
    <t>ZX_PE-NW-W-222547</t>
  </si>
  <si>
    <t>Set Prestige Fashionista 3.3 Oz + 4.4 Oz + 4.4 Oz + 15 Ml Edp Women</t>
  </si>
  <si>
    <t>ZX_PE-NW-W-222554</t>
  </si>
  <si>
    <t>Set Prestige Dani 3.3 Oz + 4.4 Oz + 4.4 Oz + 15 Ml Edp Women</t>
  </si>
  <si>
    <t>ZX_PE-NW-W-734895</t>
  </si>
  <si>
    <t>Set Gold 3.3 Oz + 4.3 Oz + 4.3 Oz + 15 Ml Edp Women</t>
  </si>
  <si>
    <t>ZX_PE-NW-W-734901</t>
  </si>
  <si>
    <t>Set French Can Can 3.4 Oz + 4.3 Oz + 4.3 Oz + 15 Ml Edp Women</t>
  </si>
  <si>
    <t>ZX_PE-NW-W-220765</t>
  </si>
  <si>
    <t>Set Prestige Princess Dreaming 3.3 Oz + 15 Ml + 4.3 Oz + 4.3 Oz Edp Women</t>
  </si>
  <si>
    <t>ZX_PE-NW-M-734321</t>
  </si>
  <si>
    <t>Unic 3.3 Oz Edt Men</t>
  </si>
  <si>
    <t>ZX_PE-NW-W-221496</t>
  </si>
  <si>
    <t>Prestige New Style 3.3 Oz Edp Women</t>
  </si>
  <si>
    <t>ZX_PE-NW-W-735090</t>
  </si>
  <si>
    <t>Prestige Together Day 3.3 Oz Edp Women</t>
  </si>
  <si>
    <t>ZX_PE-NW-W-220772</t>
  </si>
  <si>
    <t>Set Prestige 4 Delicious 3.3 Oz + 4.3 Oz+ 4.3 Oz + 15 Ml Edp Women</t>
  </si>
  <si>
    <t>ZX_PE-UB-W-222165</t>
  </si>
  <si>
    <t>My Love 3.4 Oz Edp Women</t>
  </si>
  <si>
    <t>ZX_PE-LT-U-097129</t>
  </si>
  <si>
    <t>LATTAFA</t>
  </si>
  <si>
    <t>Washwashah 100Ml Edp + Deo</t>
  </si>
  <si>
    <t>ZX_PE-FR-M-005559</t>
  </si>
  <si>
    <t>273 Red 2.5 Oz Edc Men</t>
  </si>
  <si>
    <t>ZX_PE-LT-W-064834</t>
  </si>
  <si>
    <t>Rouat Al Musk 3.4 Oz Edp Women</t>
  </si>
  <si>
    <t>ZX_PE-MA-U-599267</t>
  </si>
  <si>
    <t xml:space="preserve">Lava 100Ml Edp </t>
  </si>
  <si>
    <t>ZX_PE-VUR-U-342175</t>
  </si>
  <si>
    <t>VURV</t>
  </si>
  <si>
    <t xml:space="preserve">Vurv Kiara Soul 100 Ml </t>
  </si>
  <si>
    <t>ZX_PE-VUR-U-595948</t>
  </si>
  <si>
    <t xml:space="preserve">Vurv Millesime Edt Fearless 100 Ml </t>
  </si>
  <si>
    <t>ZX_PE-VUR-U-342113</t>
  </si>
  <si>
    <t xml:space="preserve">Vurv My Pride 100 Ml </t>
  </si>
  <si>
    <t>ZX_PE-VUR-U-341642</t>
  </si>
  <si>
    <t xml:space="preserve">Vurv Timeline For Men Freeze 100 Ml </t>
  </si>
  <si>
    <t>ZX_PE-PE-W-003293</t>
  </si>
  <si>
    <t>Tester Perry Ellis 3.4 Oz Edp Women</t>
  </si>
  <si>
    <t>ZX_PE-AU-M-092058</t>
  </si>
  <si>
    <t>Shades 3.4 Oz Edt Men</t>
  </si>
  <si>
    <t>ZX_PE-LT-U-345831</t>
  </si>
  <si>
    <t xml:space="preserve">Sheikh Shuyukh Supreme 100Ml Edp  </t>
  </si>
  <si>
    <t>ZX_PE-LT-U-069211</t>
  </si>
  <si>
    <t xml:space="preserve">Rave Pure Desire Gold 100Ml Edp </t>
  </si>
  <si>
    <t>ZX_PE-LQ-M-500902</t>
  </si>
  <si>
    <t>Encre Noire Ort 3.4 Oz Edt Men</t>
  </si>
  <si>
    <t>ZX_PE-VUR-U-738450</t>
  </si>
  <si>
    <t xml:space="preserve">Vurv Invoke 100Ml Natural Vaporisateur  </t>
  </si>
  <si>
    <t>ZX_PE-TO-W-507003</t>
  </si>
  <si>
    <t>Oh The Origin 3.4 Oz Edt Women</t>
  </si>
  <si>
    <t>ZX_PE-AU-M-092065</t>
  </si>
  <si>
    <t>The Warrior 3.4 Oz Edt Men</t>
  </si>
  <si>
    <t>ZX_PE-AU-M-114157</t>
  </si>
  <si>
    <t>Venetian 3.4 Oz  Edp Men</t>
  </si>
  <si>
    <t>ZX_PE-D-M-000565</t>
  </si>
  <si>
    <t>Cool Water 2.5 Oz Edt Men</t>
  </si>
  <si>
    <t>ZX_PE-C-W-063703</t>
  </si>
  <si>
    <t>Amor Amor 1.7 Oz Edt Women</t>
  </si>
  <si>
    <t>ZX_PE-LT-U-599625</t>
  </si>
  <si>
    <t>Esraa 20Ml Pure Concentrated Oil</t>
  </si>
  <si>
    <t>ZX_PE-LT-U-599663</t>
  </si>
  <si>
    <t>Haakem 20Ml Pure Concentrated Oil</t>
  </si>
  <si>
    <t>ZX_PE-JL-W-080601</t>
  </si>
  <si>
    <t>Still 3.4 Oz Edp Women</t>
  </si>
  <si>
    <t>ZX_PE-CO-M-126632</t>
  </si>
  <si>
    <t>Open Road 2.0 Oz Edt Men</t>
  </si>
  <si>
    <t>ZX_PE-LT-U-345718</t>
  </si>
  <si>
    <t>Yara Candy 20Ml Pure Concentrated Perfume Oil</t>
  </si>
  <si>
    <t>ZX_PE-RL-W-002944</t>
  </si>
  <si>
    <t>Romance 1 Oz Edp Women</t>
  </si>
  <si>
    <t>ZX_PE-FL-U-160628</t>
  </si>
  <si>
    <t>FLAVIA</t>
  </si>
  <si>
    <t xml:space="preserve">Flavia Ma Estic Oud Intense 100Ml Edp </t>
  </si>
  <si>
    <t>ZX_PE-EC-W-293960</t>
  </si>
  <si>
    <t>Escada</t>
  </si>
  <si>
    <t>Magnetism 2.5 Oz Edp Women</t>
  </si>
  <si>
    <t>ZX_PE-JU-W-257138</t>
  </si>
  <si>
    <t>Tester Viva Juicy Neon 3.4 Oz Edp Women</t>
  </si>
  <si>
    <t>ZX_PE-SA-U-045608</t>
  </si>
  <si>
    <t>SWISS ARABIAN</t>
  </si>
  <si>
    <t xml:space="preserve">Swiss Arabian Shaghaf Oud Elixir 75Ml Edp </t>
  </si>
  <si>
    <t>ZX_PE-MZ-M-024787</t>
  </si>
  <si>
    <t>Mercedes Benz Intense 4.0 Oz Edt Men</t>
  </si>
  <si>
    <t>ZX_PE-V-M-500020</t>
  </si>
  <si>
    <t>Eau Fraiche 1.7 Oz Edt Men</t>
  </si>
  <si>
    <t>ZX_PE-MZ-M-024824</t>
  </si>
  <si>
    <t>Mercedes Benz 3 Oz Edp Men</t>
  </si>
  <si>
    <t>ZX_PE-GI-W-122554</t>
  </si>
  <si>
    <t>Amarige 1.7 Oz Edt Women</t>
  </si>
  <si>
    <t>ZX_PE-LT-U-593098</t>
  </si>
  <si>
    <t xml:space="preserve">Niche Emarati Durrah 100Ml Edp </t>
  </si>
  <si>
    <t>ZX_PE-SF-W-893324</t>
  </si>
  <si>
    <t>Signorina Libera 3.4 Oz Edp Women</t>
  </si>
  <si>
    <t>ZX_PE-LT-W-346111</t>
  </si>
  <si>
    <t>Pride Queen of Arabia 3.4 Oz Edp Women</t>
  </si>
  <si>
    <t>ZX_PE-VR-U-662567</t>
  </si>
  <si>
    <t>Viktor &amp; Rolf Good Fortune Women 90Ml Edp  Tester</t>
  </si>
  <si>
    <t>ZX_PE-HE-M-012375</t>
  </si>
  <si>
    <t>Terre D'Hermes Eau Givree 1.7 Oz Edt Men</t>
  </si>
  <si>
    <t>ZX_PE-MO-U-885671</t>
  </si>
  <si>
    <t>MOSCHINO</t>
  </si>
  <si>
    <t>Moschino Toy 2 Bubblegum Women 3Psc Gift Set With 50Ml Edt + 50Ml Body Lotion + 50Ml Shower Gel</t>
  </si>
  <si>
    <t>ZX_PE-P-U-739004</t>
  </si>
  <si>
    <t>PRADA</t>
  </si>
  <si>
    <t xml:space="preserve">Prada Candy Florale Women 50Ml Edt </t>
  </si>
  <si>
    <t>ZX_PE-LA-W-034912</t>
  </si>
  <si>
    <t>Tresor 1.7 Oz Edp Women</t>
  </si>
  <si>
    <t>ZX_PE-MT-U-450935</t>
  </si>
  <si>
    <t>Aoud Purple Rose 3.4 Oz Edp Unisex</t>
  </si>
  <si>
    <t>ZX_PE-CK-U-455217</t>
  </si>
  <si>
    <t>Ck Euphoria Women 3 Psc. Gift Set With 50Ml Edp + 10Ml Edp + 100Ml Bl</t>
  </si>
  <si>
    <t>ZX_PE-JM-U-142663</t>
  </si>
  <si>
    <t>JIMMY CHOO</t>
  </si>
  <si>
    <t>Jimmy Choo Rose Passion Women 3Psc Set With 100Ml Edp + 100Ml B/L + 8Ml Edp</t>
  </si>
  <si>
    <t>ZX_PE-MT-W-454308</t>
  </si>
  <si>
    <t>The New Rose 3.4 Oz Edp Women</t>
  </si>
  <si>
    <t>ZX_PE-MT-U-454445</t>
  </si>
  <si>
    <t>Aoud Jasmine 3.4 Oz Edp Unisex</t>
  </si>
  <si>
    <t>ZX_PE-BU-W-905963</t>
  </si>
  <si>
    <t>My Burberry 3.0 Oz Edp Women</t>
  </si>
  <si>
    <t>ZX_PE-GI-U-002717</t>
  </si>
  <si>
    <t>GIVENCHY</t>
  </si>
  <si>
    <t xml:space="preserve">Givenchy Ange Ou Demon Le Secret Women 100Ml Edp </t>
  </si>
  <si>
    <t>ZX_PE-BU-M-820805</t>
  </si>
  <si>
    <t>Hero 5.0 Oz Edt Men</t>
  </si>
  <si>
    <t>ZX_PE-G-W-958691</t>
  </si>
  <si>
    <t>Ambrosia Di Fiori 3.4 Oz Edp Women</t>
  </si>
  <si>
    <t>ZX_PE-MJ-W-779994</t>
  </si>
  <si>
    <t>Perfect Intense 3.4 Oz Edp Women</t>
  </si>
  <si>
    <t>ZX_PE-JP-U-090728</t>
  </si>
  <si>
    <t>Jean Paul Gaultier Divine Women 2 Pcs Set With 100Ml Edp + 75Ml Shower Gel</t>
  </si>
  <si>
    <t>ZX_PE-CK-U-606504</t>
  </si>
  <si>
    <t xml:space="preserve">Ck Obsession Men 75Ml Edt </t>
  </si>
  <si>
    <t>ZX_PE-EL-W-017752</t>
  </si>
  <si>
    <t>Youth Dew 2.25 Oz Edp Women</t>
  </si>
  <si>
    <t>ZX_PE-G-W-976097</t>
  </si>
  <si>
    <t>Tester Guilty Pour Femme 3.0 Oz Edt Women</t>
  </si>
  <si>
    <t>ZX_PE-LT-U-344933</t>
  </si>
  <si>
    <t xml:space="preserve">Yara 12Ml Travel </t>
  </si>
  <si>
    <t>ZX_PE-CK-U-072451</t>
  </si>
  <si>
    <t>Ck Eternity Men 10Ml Edt  (Mini)</t>
  </si>
  <si>
    <t>ZX_PE-LT-U-458601</t>
  </si>
  <si>
    <t>Room Thameen Maali Collection</t>
  </si>
  <si>
    <t>ZX_PE-LT-U-731192</t>
  </si>
  <si>
    <t xml:space="preserve">Lail Maleki 30 Ml Edp </t>
  </si>
  <si>
    <t>ZX_PE-LT-U-596716</t>
  </si>
  <si>
    <t xml:space="preserve">Najdia 30Ml Edp </t>
  </si>
  <si>
    <t>ZX_PE-NYL-U-830308</t>
  </si>
  <si>
    <t>NYLAA</t>
  </si>
  <si>
    <t xml:space="preserve">Nylaa Oud Al Qadima 100Ml Edp </t>
  </si>
  <si>
    <t>ZX_PE-NYL-U-830322</t>
  </si>
  <si>
    <t xml:space="preserve">Nylaa Oud Mania 100Ml Edp </t>
  </si>
  <si>
    <t>ZX_PE-LT-U-599762</t>
  </si>
  <si>
    <t>Sing 75Ml Edp  For Kids</t>
  </si>
  <si>
    <t>ZX_PE-NYL-U-832449</t>
  </si>
  <si>
    <t xml:space="preserve">Nylaa Hiya Al Wafa 100Ml Edp </t>
  </si>
  <si>
    <t>ZX_PE-NYL-U-830292</t>
  </si>
  <si>
    <t xml:space="preserve">Nylaa Hubb Al Zahab 100Ml Edp </t>
  </si>
  <si>
    <t>ZX_PE-NYL-U-832425</t>
  </si>
  <si>
    <t xml:space="preserve">Nylaa Lamsat Al Tabac 100Ml Edp </t>
  </si>
  <si>
    <t>ZX_PE-VR-U-665988</t>
  </si>
  <si>
    <t xml:space="preserve">Viktor &amp; Rolf Good Fortune 10Ml Edp </t>
  </si>
  <si>
    <t>ZX_PE-MA-U-340942</t>
  </si>
  <si>
    <t xml:space="preserve">Toro Glace Pour Homme 100Ml Edp </t>
  </si>
  <si>
    <t>ZX_PE-ASA-U-068245</t>
  </si>
  <si>
    <t>ASDAAF AMEER</t>
  </si>
  <si>
    <t xml:space="preserve">Asdaaf Bawadi 100Ml Edp </t>
  </si>
  <si>
    <t>ZX_PE-ASA-U-068221</t>
  </si>
  <si>
    <t>Asdaaf Golden Oud New Edition  Man 100Ml Edp Sp</t>
  </si>
  <si>
    <t>ZX_PE-NYL-U-832456</t>
  </si>
  <si>
    <t xml:space="preserve">Nylaa Musk Taifi 100Ml Edp </t>
  </si>
  <si>
    <t>ZX_PE-NYL-U-832494</t>
  </si>
  <si>
    <t xml:space="preserve">Nylaa Oriental Odyssey 100Ml Edp </t>
  </si>
  <si>
    <t>ZX_PE-NYL-U-832395</t>
  </si>
  <si>
    <t xml:space="preserve">Nylaa Oud Al Farah 100Ml </t>
  </si>
  <si>
    <t>ZX_PE-MA-U-341000</t>
  </si>
  <si>
    <t>ZX_PE-NYL-U-832418</t>
  </si>
  <si>
    <t xml:space="preserve">Nylaa Oud Al Hanaan 100Ml </t>
  </si>
  <si>
    <t>ZX_PE-NYL-U-832432</t>
  </si>
  <si>
    <t xml:space="preserve">Nylaa Uhura 100Ml Edp </t>
  </si>
  <si>
    <t>ZX_PE-VUR-U-342311</t>
  </si>
  <si>
    <t xml:space="preserve">Vurv Bouquet Rouge 100Ml Edp </t>
  </si>
  <si>
    <t>ZX_PE-MA-U-340768</t>
  </si>
  <si>
    <t xml:space="preserve">Avant Silk 100Ml Edp </t>
  </si>
  <si>
    <t>ZX_PE-MA-U-340928</t>
  </si>
  <si>
    <t xml:space="preserve">Rose Origami 100Ml Edp </t>
  </si>
  <si>
    <t>ZX_PE-MA-U-340584</t>
  </si>
  <si>
    <t xml:space="preserve">h Victorioso Heroic 100Ml Edp </t>
  </si>
  <si>
    <t>ZX_PE-ATR-U-296002</t>
  </si>
  <si>
    <t>ATRALIA</t>
  </si>
  <si>
    <t xml:space="preserve">Atralia Amazonas Avalanche 100Ml Edp </t>
  </si>
  <si>
    <t>ZX_PE-ATR-U-296019</t>
  </si>
  <si>
    <t xml:space="preserve">Atralia Amazonas Solstice 100Ml Edp </t>
  </si>
  <si>
    <t>ZX_PE-MA-U-343189</t>
  </si>
  <si>
    <t xml:space="preserve">Coral Blush 80Ml Edp </t>
  </si>
  <si>
    <t>ZX_PE-MA-U-735527</t>
  </si>
  <si>
    <t xml:space="preserve">Maison Exclusif Oud Collection 100Ml Edp  </t>
  </si>
  <si>
    <t>ZX_PE-MA-U-598673</t>
  </si>
  <si>
    <t xml:space="preserve">Vouge Night 100Ml Edp </t>
  </si>
  <si>
    <t>ZX_PE-MA-U-598680</t>
  </si>
  <si>
    <t xml:space="preserve">Vouge Party 100Ml Edp </t>
  </si>
  <si>
    <t>ZX_PE-MA-U-598697</t>
  </si>
  <si>
    <t xml:space="preserve">Vouge Rouge 100Ml Edp </t>
  </si>
  <si>
    <t>ZX_PE-MA-U-591612</t>
  </si>
  <si>
    <t xml:space="preserve">Sceptre Amazonite 100Ml Edp </t>
  </si>
  <si>
    <t>ZX_PE-LT-M-735770</t>
  </si>
  <si>
    <t>Toscano Leather  2.7 Oz Edp Men</t>
  </si>
  <si>
    <t>ZX_PE-MA-U-342533</t>
  </si>
  <si>
    <t xml:space="preserve">Mia Dolcezza Verde 100Ml Edp </t>
  </si>
  <si>
    <t>ZX_PE-AUR-U-832173</t>
  </si>
  <si>
    <t>AURAA</t>
  </si>
  <si>
    <t xml:space="preserve">Auraa Desire Beyond Time Edp 100Ml </t>
  </si>
  <si>
    <t>ZX_PE-AUR-U-831862</t>
  </si>
  <si>
    <t xml:space="preserve">Auraa Desire Bluish Moon 100Ml Edp </t>
  </si>
  <si>
    <t>ZX_PE-AUR-U-832388</t>
  </si>
  <si>
    <t xml:space="preserve">Auraa Desire Desert Dew Edp 100Ml </t>
  </si>
  <si>
    <t>ZX_PE-AUR-U-832197</t>
  </si>
  <si>
    <t xml:space="preserve">Auraa Desire Destiny Edp 100Ml </t>
  </si>
  <si>
    <t>ZX_PE-AUR-U-832159</t>
  </si>
  <si>
    <t xml:space="preserve">Auraa Desire Foresight Edp 100Ml  </t>
  </si>
  <si>
    <t>ZX_PE-AUR-U-831879</t>
  </si>
  <si>
    <t xml:space="preserve">Auraa Desire Homme Intensus 100Ml Edp </t>
  </si>
  <si>
    <t>ZX_PE-AUR-U-832128</t>
  </si>
  <si>
    <t xml:space="preserve">Auraa Desire Molten Oud Edp 100Ml </t>
  </si>
  <si>
    <t>ZX_PE-AUR-U-831893</t>
  </si>
  <si>
    <t xml:space="preserve">Auraa Desire Noir Grit 100Ml Edp </t>
  </si>
  <si>
    <t>ZX_PE-AUR-U-832111</t>
  </si>
  <si>
    <t xml:space="preserve">Auraa Desire Rusty Island Edp 100Ml </t>
  </si>
  <si>
    <t>ZX_PE-AUR-U-832135</t>
  </si>
  <si>
    <t xml:space="preserve">Auraa Desire Smoked Oud Edp 100Ml </t>
  </si>
  <si>
    <t>ZX_PE-AUR-U-831909</t>
  </si>
  <si>
    <t xml:space="preserve">Auraa Desire Tocco Marrone 100Ml Edp </t>
  </si>
  <si>
    <t>ZX_PE-ATR-U-296309</t>
  </si>
  <si>
    <t xml:space="preserve">Atralia Absolute Noir 100Ml Edp </t>
  </si>
  <si>
    <t>ZX_PE-ATR-U-296378</t>
  </si>
  <si>
    <t xml:space="preserve">Atralia Elixir 100Ml Edp </t>
  </si>
  <si>
    <t>ZX_PE-ATR-U-296118</t>
  </si>
  <si>
    <t xml:space="preserve">Atralia Equest Canter 100Ml Edp </t>
  </si>
  <si>
    <t>ZX_PE-ATR-U-296101</t>
  </si>
  <si>
    <t>Atralia Equest Gallop 100Ml Edp</t>
  </si>
  <si>
    <t>ZX_PE-ATR-U-296125</t>
  </si>
  <si>
    <t xml:space="preserve">Atralia Equest Trot 100Ml Edp </t>
  </si>
  <si>
    <t>ZX_PE-ATR-U-296088</t>
  </si>
  <si>
    <t xml:space="preserve">Atralia Imperial Unus 100Ml Edp </t>
  </si>
  <si>
    <t>ZX_PE-ATR-U-324890</t>
  </si>
  <si>
    <t xml:space="preserve">Atralia 1878 Grandeur Oud 100Ml Edp </t>
  </si>
  <si>
    <t>ZX_PE-ATR-U-324838</t>
  </si>
  <si>
    <t xml:space="preserve">Atralia 1878 Prestige Oud 100Ml Edp </t>
  </si>
  <si>
    <t>ZX_PE-ATR-U-296330</t>
  </si>
  <si>
    <t xml:space="preserve">Atralia 1878 Royal Oud 100Ml Edp </t>
  </si>
  <si>
    <t>ZX_PE-ATR-U-296286</t>
  </si>
  <si>
    <t xml:space="preserve">Atralia Albert Einstein Infinity 100Ml Edp </t>
  </si>
  <si>
    <t>ZX_PE-ATR-U-296262</t>
  </si>
  <si>
    <t xml:space="preserve">Atralia Albert Einstein Timeless 100Ml Edp </t>
  </si>
  <si>
    <t>ZX_PE-ATR-U-296071</t>
  </si>
  <si>
    <t>Atralia Amora Serenity 100Ml Extrait De Parfum</t>
  </si>
  <si>
    <t>ZX_PE-LT-U-341246</t>
  </si>
  <si>
    <t>Maahir Black Edition 3Pcs Giftset With 100Ml Edp + 200Ml Deo + 300 Ml Air Freshner</t>
  </si>
  <si>
    <t>ZX_PE-LT-U-341260</t>
  </si>
  <si>
    <t>Maahir Legacy 3 Pcs Gift Set With 100Ml Edp + 200Ml Deo + 50Ml Air Freshner</t>
  </si>
  <si>
    <t>ZX_PE-LT-U-592961</t>
  </si>
  <si>
    <t xml:space="preserve">Niche Emarati Ghinwa 100Ml Edp </t>
  </si>
  <si>
    <t>ZX_PE-LT-U-592930</t>
  </si>
  <si>
    <t>Niche Emarati Hayaam  3.4 Oz Edp Unisex</t>
  </si>
  <si>
    <t>ZX_PE-LT-U-592169</t>
  </si>
  <si>
    <t>Niche Emarati Lujain  3.4 Oz Edp Unisex</t>
  </si>
  <si>
    <t>ZX_PE-LT-U-593043</t>
  </si>
  <si>
    <t xml:space="preserve">Niche Emarati Classic Stone 100Ml Edp </t>
  </si>
  <si>
    <t>ZX_PE-LT-U-340201</t>
  </si>
  <si>
    <t xml:space="preserve">Niche Emarati Safeer 100Ml Edp </t>
  </si>
  <si>
    <t>ZX_PE-LT-U-593104</t>
  </si>
  <si>
    <t xml:space="preserve">Niche Emarati Al Narjis 100Ml Edp </t>
  </si>
  <si>
    <t>ZX_PE-NP-M-000756</t>
  </si>
  <si>
    <t>Black Is Black 3.4 Oz Edt Men</t>
  </si>
  <si>
    <t>ZX_PE-NP-M-001012</t>
  </si>
  <si>
    <t>Black Is Black Modern Oud 3.4 Oz Edt Men</t>
  </si>
  <si>
    <t>ZX_PE-NP-M-001104</t>
  </si>
  <si>
    <t>Black Is Black Superior 3.4 Oz Edt Men</t>
  </si>
  <si>
    <t>ZX_PE-NP-M-001036</t>
  </si>
  <si>
    <t>Black Is Black Venom 3.4 Oz Edt Men</t>
  </si>
  <si>
    <t>ZX_PE-NP-M-001029</t>
  </si>
  <si>
    <t>Black Is Black Vintage Vinyl 3.4 Oz Edt Men</t>
  </si>
  <si>
    <t>ZX_PE-NP-M-000954</t>
  </si>
  <si>
    <t>Black Is Hot Is Black 3.4 Oz Edt Men</t>
  </si>
  <si>
    <t>ZX_PE-NP-W-002040</t>
  </si>
  <si>
    <t>Floranirvana Ma Belle 3.4 Oz Edp Women</t>
  </si>
  <si>
    <t>ZX_PE-MA-U-459356</t>
  </si>
  <si>
    <t xml:space="preserve">Philos Rosso 100Ml Edp </t>
  </si>
  <si>
    <t>ZX_PE-LT-U-773235</t>
  </si>
  <si>
    <t xml:space="preserve">Raghba Women 100 Ml + 50 Ml Deo </t>
  </si>
  <si>
    <t>ZX_PE-ALZ-U-609965</t>
  </si>
  <si>
    <t>ARD AL ZAAFRAN</t>
  </si>
  <si>
    <t xml:space="preserve">Dirham Wardi 100Ml Edp </t>
  </si>
  <si>
    <t>ZX_PE-LC-M-037603</t>
  </si>
  <si>
    <t>Liz Claiborne</t>
  </si>
  <si>
    <t>Curve Chill 4.2 Oz Edc Men</t>
  </si>
  <si>
    <t>ZX_PE-TL-W-004596</t>
  </si>
  <si>
    <t>Rumba 3.3 Oz Edt Women</t>
  </si>
  <si>
    <t>ZX_PE-MA-U-340829</t>
  </si>
  <si>
    <t>Exquisite Prive 100Ml Edp ..</t>
  </si>
  <si>
    <t>ZX_PE-LT-U-590134</t>
  </si>
  <si>
    <t xml:space="preserve">Safwaan L'Autre Oud 100Ml Edp </t>
  </si>
  <si>
    <t>ZX_PE-LT-U-345695</t>
  </si>
  <si>
    <t>Yara Tous 20Ml Pure Concentrated Perfume Oil</t>
  </si>
  <si>
    <t>ZX_PE-A-W-017485</t>
  </si>
  <si>
    <t>Wanted Girl Tonic 2.7 Oz Edt Women</t>
  </si>
  <si>
    <t>ZX_PE-IM-W-516052</t>
  </si>
  <si>
    <t>Rose &amp; Rose 3.0 Oz Edp Women</t>
  </si>
  <si>
    <t>ZX_PE-HE-U-797097</t>
  </si>
  <si>
    <t>L'Ombre Des Merveilles 1.7 Oz Edp Unisex</t>
  </si>
  <si>
    <t>ZX_PE-LA-W-155112</t>
  </si>
  <si>
    <t>Poeme 3.4 Oz Edp Women</t>
  </si>
  <si>
    <t>ZX_PE-VX-W-401331</t>
  </si>
  <si>
    <t>Tester Swiss Army Forget Me Not 3.4 Oz Edt Women</t>
  </si>
  <si>
    <t>ZX_PE-V-W-500266</t>
  </si>
  <si>
    <t>Tester Red Jeans 2.5 Oz Edt Women</t>
  </si>
  <si>
    <t>ZX_PE-V-W-250277</t>
  </si>
  <si>
    <t>Tester Versace 1.7 Oz Edp Women</t>
  </si>
  <si>
    <t>ZX_PE-V-W-250260</t>
  </si>
  <si>
    <t>Versace 1.7 Oz Edp Women</t>
  </si>
  <si>
    <t>ZX_PE-AF-M-169525</t>
  </si>
  <si>
    <t>Authentic Moment 3.4 Oz Edt Men</t>
  </si>
  <si>
    <t>ZX_PE-MK-W-420010</t>
  </si>
  <si>
    <t>Gorgeous 1 Oz Edp Women</t>
  </si>
  <si>
    <t>ZX_PE-RL-M-321831</t>
  </si>
  <si>
    <t>Polo Red Rush 2.5 Oz Edp Men</t>
  </si>
  <si>
    <t>ZX_PE-IM-M-048044</t>
  </si>
  <si>
    <t>Cedre 3.4 Oz Edt Men</t>
  </si>
  <si>
    <t>ZX_PE-YL-M-316546</t>
  </si>
  <si>
    <t>L Homme 2 Oz Edt Men</t>
  </si>
  <si>
    <t>ZX_PE-IM-U-090920</t>
  </si>
  <si>
    <t>ISSEY MIYAKE</t>
  </si>
  <si>
    <t>Issey Miyake Men 2 Psc. Gift Set With 125Ml + 40Ml</t>
  </si>
  <si>
    <t>ZX_PE-VR-W-000011</t>
  </si>
  <si>
    <t>Flowerbomb 1.7 Oz Edp Women</t>
  </si>
  <si>
    <t>ZX_PE-G-W-524146</t>
  </si>
  <si>
    <t>Guilty Absolute Pour Femme 1.7 Oz Edo Women</t>
  </si>
  <si>
    <t>ZX_PE-HE-M-500022</t>
  </si>
  <si>
    <t>H24 3.3 Edt Men Refillable</t>
  </si>
  <si>
    <t>ZX_PE-LA-W-629370</t>
  </si>
  <si>
    <t>Idole 1.7 Oz Edp Women</t>
  </si>
  <si>
    <t>ZX_PE-VR-W-872387</t>
  </si>
  <si>
    <t>Flower Bomb Dew 3.4 Oz Edp Women</t>
  </si>
  <si>
    <t>ZX_PE-CE-W-842822</t>
  </si>
  <si>
    <t>Chloe</t>
  </si>
  <si>
    <t>Naturelle 3.4 Oz Edp Women</t>
  </si>
  <si>
    <t>ZX_PE-TF-W-000062</t>
  </si>
  <si>
    <t>Black Orchid 1.7 Oz Edp Women</t>
  </si>
  <si>
    <t>ZX_PE-MA-U-730225</t>
  </si>
  <si>
    <t xml:space="preserve">Narissa Peach 100Ml Edp </t>
  </si>
  <si>
    <t>ZX_PE-ALZ-U-142704</t>
  </si>
  <si>
    <t xml:space="preserve">Ahlam Al Arab Two Pcs Gift Set 80Ml + Perfume  </t>
  </si>
  <si>
    <t>ZX_PE-GE-W-492108</t>
  </si>
  <si>
    <t>Gres</t>
  </si>
  <si>
    <t>Cabotine Rose 3.4 Oz Edt Women</t>
  </si>
  <si>
    <t>ZX_PE-MA-U-459165</t>
  </si>
  <si>
    <t xml:space="preserve">Maitre De Blue 100Ml Edp </t>
  </si>
  <si>
    <t>ZX_PE-LT-U-593851</t>
  </si>
  <si>
    <t>Turab Aldhahab 3.4 Oz Edp Unisex</t>
  </si>
  <si>
    <t>ZX_PE-ALZ-U-682010</t>
  </si>
  <si>
    <t xml:space="preserve">Ahlam Al Khalee 80Ml Edp </t>
  </si>
  <si>
    <t>ZX_PE-ALZ-U-623985</t>
  </si>
  <si>
    <t xml:space="preserve">Ta Al Malik 100Ml Edp </t>
  </si>
  <si>
    <t>ZX_PE-VUR-U-453842</t>
  </si>
  <si>
    <t xml:space="preserve">Vurv Craft Noire 100Ml Edp </t>
  </si>
  <si>
    <t>ZX_PE-ALZ-U-645128</t>
  </si>
  <si>
    <t xml:space="preserve">Dirham 100Ml Edp </t>
  </si>
  <si>
    <t>ZX_PE-ALZ-U-422452</t>
  </si>
  <si>
    <t xml:space="preserve">Hayaati Women 100Ml Edp </t>
  </si>
  <si>
    <t>ZX_PE-ALZ-U-125486</t>
  </si>
  <si>
    <t xml:space="preserve">Heibah 100Ml Edp </t>
  </si>
  <si>
    <t>ZX_PE-ALZ-U-524651</t>
  </si>
  <si>
    <t xml:space="preserve">Fakhar Al Oud The White Oud 100Ml Edp </t>
  </si>
  <si>
    <t>ZX_PE-ALZ-U-524675</t>
  </si>
  <si>
    <t xml:space="preserve">Layalina 100Ml Edp </t>
  </si>
  <si>
    <t>ZX_PE-ALZ-U-590165</t>
  </si>
  <si>
    <t xml:space="preserve">Barez 100Ml Edp </t>
  </si>
  <si>
    <t>ZX_PE-ALZ-U-728840</t>
  </si>
  <si>
    <t xml:space="preserve">Bab Al Hamra 100Ml Edp </t>
  </si>
  <si>
    <t>ZX_PE-ALZ-U-785298</t>
  </si>
  <si>
    <t xml:space="preserve">Hayaati Men 100Ml Edp </t>
  </si>
  <si>
    <t>ZX_PE-ALZ-U-735718</t>
  </si>
  <si>
    <t xml:space="preserve">Shahrazad 100Ml Edp </t>
  </si>
  <si>
    <t>ZX_PE-LT-U-598666</t>
  </si>
  <si>
    <t xml:space="preserve">Asad Zanzibar Men 100Ml Edp </t>
  </si>
  <si>
    <t>ZX_PE-ALZ-U-524699</t>
  </si>
  <si>
    <t xml:space="preserve">Meethaq 100Ml Edp </t>
  </si>
  <si>
    <t>ZX_PE-ALZ-U-735640</t>
  </si>
  <si>
    <t xml:space="preserve">Satwa 100Ml Edp </t>
  </si>
  <si>
    <t>ZX_PE-ALZ-U-524668</t>
  </si>
  <si>
    <t xml:space="preserve">Rica 100Ml Edp </t>
  </si>
  <si>
    <t>ZX_PE-ALZ-U-594773</t>
  </si>
  <si>
    <t xml:space="preserve">Oud 24 Hours 2Pcs Gift Set With 100Ml Edp + Deo </t>
  </si>
  <si>
    <t>ZX_PE-ALZ-U-524804</t>
  </si>
  <si>
    <t xml:space="preserve">Forerer Silver Red 100Ml Edp </t>
  </si>
  <si>
    <t>ZX_PE-ALZ-U-524811</t>
  </si>
  <si>
    <t xml:space="preserve">Forever Gold Blue 100Ml Edp </t>
  </si>
  <si>
    <t>ZX_PE-ALZ-U-524729</t>
  </si>
  <si>
    <t xml:space="preserve">Saher Al Layali 100Ml Edp </t>
  </si>
  <si>
    <t>ZX_PE-ALZ-U-733158</t>
  </si>
  <si>
    <t xml:space="preserve">Al Dirgham Special Edition 100Ml Edp </t>
  </si>
  <si>
    <t>ZX_PE-ALZ-U-524781</t>
  </si>
  <si>
    <t xml:space="preserve">Meetha Extrait De Rouge 100Ml Edp </t>
  </si>
  <si>
    <t>ZX_PE-PE-M-010819</t>
  </si>
  <si>
    <t>Aqua Extreme 3.4 Oz Edt Men</t>
  </si>
  <si>
    <t>ZX_PE-K-W-404199</t>
  </si>
  <si>
    <t>Tester Flower By Kenzo 1.7 Oz Edp Women</t>
  </si>
  <si>
    <t>ZX_PE-EL-W-595045</t>
  </si>
  <si>
    <t>Sensuous 1.7 Oz Edp Women</t>
  </si>
  <si>
    <t>ZX_PE-LT-U-590110</t>
  </si>
  <si>
    <t xml:space="preserve">Pride Lahdath 80Ml Edp </t>
  </si>
  <si>
    <t>ZX_PE-CO-M-126625</t>
  </si>
  <si>
    <t>Open Road 3.4 Oz Edt Men</t>
  </si>
  <si>
    <t>ZX_PE-MO-W-991617</t>
  </si>
  <si>
    <t>Funny 3.4 Oz Edt Women</t>
  </si>
  <si>
    <t>ZX_PE-BU-W-905192</t>
  </si>
  <si>
    <t>London 1.7 Oz Edp Women</t>
  </si>
  <si>
    <t>ZX_PE-RL-M-416126</t>
  </si>
  <si>
    <t>Tester Polo Red 4.2 Oz Edt Men</t>
  </si>
  <si>
    <t>ZX_PE-HB-M-607054</t>
  </si>
  <si>
    <t>Tester Boss # 6 3.4 Oz Edt Men</t>
  </si>
  <si>
    <t>ZX_PE-BU-W-905000</t>
  </si>
  <si>
    <t>Touch 3.3 Oz Edp Women</t>
  </si>
  <si>
    <t>ZX_PE-BU-W-904966</t>
  </si>
  <si>
    <t>Brit Sheer 3.4 Oz Edt Women</t>
  </si>
  <si>
    <t>ZX_PE-RL-M-454614</t>
  </si>
  <si>
    <t>Tester Polo Green Cologne Intense 4.0 Oz Edp Men</t>
  </si>
  <si>
    <t>ZX_PE-CO-W-078337</t>
  </si>
  <si>
    <t>Tester Signature New York 3 Oz Edp Women</t>
  </si>
  <si>
    <t>ZX_PE-LA-W-034905</t>
  </si>
  <si>
    <t>Tresor 1 Oz Edp Women</t>
  </si>
  <si>
    <t>ZX_PE-GA-W-380259</t>
  </si>
  <si>
    <t>Diamonds 1.7 Oz Edp Women</t>
  </si>
  <si>
    <t>ZX_PE-JM-M-067508</t>
  </si>
  <si>
    <t>Man Blue 3.4 Oz Edt Men</t>
  </si>
  <si>
    <t>ZX_PE-RL-M-512933</t>
  </si>
  <si>
    <t>Tester Ralph Club 3.4 Oz Edp Men</t>
  </si>
  <si>
    <t>ZX_PE-RL-M-454539</t>
  </si>
  <si>
    <t>Polo Cologne Intense 4.0 Oz Edp Men</t>
  </si>
  <si>
    <t>ZX_PE-VR-W-662543</t>
  </si>
  <si>
    <t>Good Fortune 1.7 Oz Edp Women</t>
  </si>
  <si>
    <t>ZX_PE-LA-U-029390</t>
  </si>
  <si>
    <t>LANCOME</t>
  </si>
  <si>
    <t xml:space="preserve">Lancome Miracle Women 50Ml Edp </t>
  </si>
  <si>
    <t>ZX_PE-TM-W-040920</t>
  </si>
  <si>
    <t>Angel 1.7 Oz Edt Women Refillable</t>
  </si>
  <si>
    <t>ZX_PE-MJ-W-452079</t>
  </si>
  <si>
    <t>Daisy Love 1.7 Oz Edt Women</t>
  </si>
  <si>
    <t>ZX_PE-VR-W-879905</t>
  </si>
  <si>
    <t>Bonbon 1.7 Oz Edp Women</t>
  </si>
  <si>
    <t>ZX_PE-G-W-339207</t>
  </si>
  <si>
    <t>Guilty 1.6 Oz Edt Women</t>
  </si>
  <si>
    <t>ZX_PE-MT-U-453707</t>
  </si>
  <si>
    <t>White Musk 3.4 Oz Edp Unisex</t>
  </si>
  <si>
    <t>ZX_PE-MAN-U-190362</t>
  </si>
  <si>
    <t>Black Intenstive Aoud 4.0 Oz Edp Unisex</t>
  </si>
  <si>
    <t>ZX_PE-RL-U-768919</t>
  </si>
  <si>
    <t xml:space="preserve">Ralph Lauren Polo Red Men 125Ml Parfum </t>
  </si>
  <si>
    <t>ZX_PE-MAN-U-190522</t>
  </si>
  <si>
    <t>Gold Intensitive Oud 4.0 Oz Edp Unisex</t>
  </si>
  <si>
    <t>ZX_PE-TM-W-056952</t>
  </si>
  <si>
    <t>Alien 2.0 Oz Edp Women Not Refillable</t>
  </si>
  <si>
    <t>ZX_PE-CO-M-097659</t>
  </si>
  <si>
    <t>New York 6.7 Oz Edt Men</t>
  </si>
  <si>
    <t>ZX_PE-HE-U-797080</t>
  </si>
  <si>
    <t>L'Ombre Des Merveilles 3.4 Oz Edp Unisex</t>
  </si>
  <si>
    <t>ZX_PE-MAN-U-190805</t>
  </si>
  <si>
    <t>Rose Aoud &amp; Musc 4.0 Oz Edp Unisex</t>
  </si>
  <si>
    <t>ZX_PE-BU-W-892442</t>
  </si>
  <si>
    <t>Her London Dream 3.4 Oz Edp Women</t>
  </si>
  <si>
    <t>ZX_PE-VR-W-622639</t>
  </si>
  <si>
    <t>Flowerbomb Ruby Orchid 3.4 Oz Edp Women</t>
  </si>
  <si>
    <t>ZX_PE-BD-W-002296</t>
  </si>
  <si>
    <t>Madison Square Park 3.4 Oz Edp Women</t>
  </si>
  <si>
    <t>ZX_PE-RJ-W-292739</t>
  </si>
  <si>
    <t>Roja</t>
  </si>
  <si>
    <t>Roja Enigma 1.7 Oz Edp Women</t>
  </si>
  <si>
    <t>ZX_PE-MO-W-864140</t>
  </si>
  <si>
    <t>Vial Toy 2 Bubble Gum 1.0 Ml Edt Women</t>
  </si>
  <si>
    <t>ZX_PE-ASA-U-735824</t>
  </si>
  <si>
    <t xml:space="preserve">Asdaaf Ameerat Al Arab 200Ml Deo </t>
  </si>
  <si>
    <t>ZX_PE-RB-M-946154</t>
  </si>
  <si>
    <t>Cool Your Body 5.0 Oz Deo Body Spray Men</t>
  </si>
  <si>
    <t>ZX_PE-RB-M-946161</t>
  </si>
  <si>
    <t>Inspire Your Mind 5.0 Oz Deo Body Spray Men</t>
  </si>
  <si>
    <t>ZX_PE-RB-M-946147</t>
  </si>
  <si>
    <t>Move Your Spirit 5.0 Oz Deo Body Spray Men</t>
  </si>
  <si>
    <t>ZX_PE-BS-W-233439</t>
  </si>
  <si>
    <t>Body Mist Prerogative 8.0 Oz Women</t>
  </si>
  <si>
    <t>ZX_PE-LT-U-342496</t>
  </si>
  <si>
    <t>Yara Women 10Ml Roll On</t>
  </si>
  <si>
    <t>ZX_PE-ALZ-U-614617</t>
  </si>
  <si>
    <t xml:space="preserve">Ana Abiyedh 50Ml Edp </t>
  </si>
  <si>
    <t>ZX_PE-BN-W-000690</t>
  </si>
  <si>
    <t>Dreams Live Free 5.0 Oz Deo Women</t>
  </si>
  <si>
    <t>ZX_PE-BN-W-016516</t>
  </si>
  <si>
    <t>Dreams Together 5.0 Oz Deo Women</t>
  </si>
  <si>
    <t>ZX_PE-CY-M-832259</t>
  </si>
  <si>
    <t>Aen 4 Oz Edc Men</t>
  </si>
  <si>
    <t>ZX_PE-OP-M-015007</t>
  </si>
  <si>
    <t>Ocean Pacific</t>
  </si>
  <si>
    <t>Body Spray Ocean Pacific Black 5.0 Oz Men</t>
  </si>
  <si>
    <t>ZX_PE-OP-W-014994</t>
  </si>
  <si>
    <t>Body Mist Summer Breeze 8.0 Oz Women</t>
  </si>
  <si>
    <t>ZX_PE-OP-W-010750</t>
  </si>
  <si>
    <t>Body Mist Beach Paradise 8.0 Oz Women</t>
  </si>
  <si>
    <t>ZX_PE-DIS-K-094312</t>
  </si>
  <si>
    <t>Frozen Olaf 3.4 Oz Edt Kids</t>
  </si>
  <si>
    <t>ZX_PE-DIS-K-082585</t>
  </si>
  <si>
    <t>Snow White 3.4 Oz Edt Kids</t>
  </si>
  <si>
    <t>ZX_PE-VX-M-127785</t>
  </si>
  <si>
    <t>Tester Swiss Army Black Steel 3.4 Oz Edt Men</t>
  </si>
  <si>
    <t>ZX_PE-AE-W-018503</t>
  </si>
  <si>
    <t>Body Mist Twilight Dreams Lavender &amp; Cucumber Women</t>
  </si>
  <si>
    <t>ZX_PE-DIS-W-082608</t>
  </si>
  <si>
    <t>Princess Cinderella 3.4 Oz Edt Kids</t>
  </si>
  <si>
    <t>ZX_PE-DIS-K-092738</t>
  </si>
  <si>
    <t>Princess Jasmine 3.4 Oz Edt Kids</t>
  </si>
  <si>
    <t>ZX_PE-VX-W-127761</t>
  </si>
  <si>
    <t>Tester Swiss Army Victorinox Morning Dew 3.4 Oz Edt Women</t>
  </si>
  <si>
    <t>ZX_PE-WS-W-941999</t>
  </si>
  <si>
    <t>Women Secret</t>
  </si>
  <si>
    <t>Tester Women'S Secret Intimate 3.4 Oz Edp Women</t>
  </si>
  <si>
    <t>ZX_PE-LT-U-736326</t>
  </si>
  <si>
    <t>Expose Intense 3.4 Oz Edp Unisex</t>
  </si>
  <si>
    <t>ZX_PE-LT-M-065053</t>
  </si>
  <si>
    <t>Oud Ispahan 3.4 Oz Edp Men</t>
  </si>
  <si>
    <t>ZX_PE-GE-W-192390</t>
  </si>
  <si>
    <t>Cabochard 3.4 Oz Edt Women</t>
  </si>
  <si>
    <t>ZX_PE-MA-U-734179</t>
  </si>
  <si>
    <t xml:space="preserve">No I Signature 50Ml Edp </t>
  </si>
  <si>
    <t>ZX_PE-KH-U-972947</t>
  </si>
  <si>
    <t>KHADLAJ</t>
  </si>
  <si>
    <t>Khadlaj Hareem Farasha 28Ml Oil</t>
  </si>
  <si>
    <t>ZX_PE-LT-U-453422</t>
  </si>
  <si>
    <t xml:space="preserve">Adeeb 80Ml Edp </t>
  </si>
  <si>
    <t>ZX_PE-AE-U-120493</t>
  </si>
  <si>
    <t>Blushing Candle 14.5 Oz</t>
  </si>
  <si>
    <t>ZX_PE-AE-U-120981</t>
  </si>
  <si>
    <t>Magnolia And Grapefruit Candle 14.5 Oz</t>
  </si>
  <si>
    <t>ZX_PE-AE-U-122695</t>
  </si>
  <si>
    <t>Peach And Daisy Candle 14.5 Oz</t>
  </si>
  <si>
    <t>ZX_PE-AE-U-122701</t>
  </si>
  <si>
    <t>Pink Mango Candle 14.5 Oz</t>
  </si>
  <si>
    <t>ZX_PE-AE-U-122015</t>
  </si>
  <si>
    <t>Raspberry Whipped Cream Candle 14.5 Oz</t>
  </si>
  <si>
    <t>ZX_PE-AE-U-122916</t>
  </si>
  <si>
    <t>Spread Joy Candle 14.5 Oz</t>
  </si>
  <si>
    <t>ZX_PE-AE-U-120516</t>
  </si>
  <si>
    <t>Starry Night Candle 14.5 Oz</t>
  </si>
  <si>
    <t>ZX_PE-AFN-U-010166</t>
  </si>
  <si>
    <t xml:space="preserve">Afnan Pride Pour Homme Rue Baroca 100Ml Edp </t>
  </si>
  <si>
    <t>ZX_PE-MA-U-459271</t>
  </si>
  <si>
    <t xml:space="preserve">Modern Musk 100Ml Edp </t>
  </si>
  <si>
    <t>ZX_PE-LT-U-063707</t>
  </si>
  <si>
    <t>Ameer Al Oud 3.4 Oz Edp Unisex</t>
  </si>
  <si>
    <t>ZX_PE-MA-U-737057</t>
  </si>
  <si>
    <t xml:space="preserve">Cerulean Blue 100Ml Edp </t>
  </si>
  <si>
    <t>ZX_PE-LC-M-030482</t>
  </si>
  <si>
    <t>Curve Wave 4.2 Oz Edc Men</t>
  </si>
  <si>
    <t>ZX_PE-AFN-U-010159</t>
  </si>
  <si>
    <t xml:space="preserve">Afnan Pride Pour Femme Rue Baroca 100Ml Edp </t>
  </si>
  <si>
    <t>ZX_PE-MA-U-734209</t>
  </si>
  <si>
    <t xml:space="preserve">No Iv Signature 50Ml Edp </t>
  </si>
  <si>
    <t>ZX_PE-KH-U-975504</t>
  </si>
  <si>
    <t xml:space="preserve">Khadlaj Aura Crisp Flower 100Ml Edp </t>
  </si>
  <si>
    <t>ZX_PE-ZI-W-074458</t>
  </si>
  <si>
    <t>Noor Jazz 3.4 Oz Edp Women</t>
  </si>
  <si>
    <t>ZX_PE-MA-U-732199</t>
  </si>
  <si>
    <t xml:space="preserve">Bronze For Men 100Ml Edp </t>
  </si>
  <si>
    <t>ZX_PE-NYL-U-832401</t>
  </si>
  <si>
    <t xml:space="preserve">Nylaa Dark Angel 100Ml Edp </t>
  </si>
  <si>
    <t>ZX_PE-ASA-U-599465</t>
  </si>
  <si>
    <t xml:space="preserve">Asdaaf Ameer Al Arab Imperium 100Ml Edp </t>
  </si>
  <si>
    <t>ZX_PE-MA-U-459080</t>
  </si>
  <si>
    <t xml:space="preserve">Anarch 100Ml Edp </t>
  </si>
  <si>
    <t>ZX_PE-MA-W-590844</t>
  </si>
  <si>
    <t>Precios Gold 2.8 Oz Edp Women</t>
  </si>
  <si>
    <t>ZX_PE-AE-U-120479</t>
  </si>
  <si>
    <t>Set Aft Hour 2X3.4 Body Mist+2Xcandles (Twilight Dreams/Starry Night)</t>
  </si>
  <si>
    <t>ZX_PE-LT-U-735497</t>
  </si>
  <si>
    <t>Exclusif Rose 3.4 Oz Edp Unisex</t>
  </si>
  <si>
    <t>ZX_PE-MA-U-459240</t>
  </si>
  <si>
    <t>Karat 3.4 Oz  Edp Unisex</t>
  </si>
  <si>
    <t>ZX_PE-LC-M-021701</t>
  </si>
  <si>
    <t>Bora Bora 3.4 Oz Edc Men</t>
  </si>
  <si>
    <t>ZX_PE-LT-M-730201</t>
  </si>
  <si>
    <t>Man Black 3.4 Oz Edp Men</t>
  </si>
  <si>
    <t>ZX_PE-MR-M-222616</t>
  </si>
  <si>
    <t>Morena</t>
  </si>
  <si>
    <t>Noir 3.4 Oz Edt Men</t>
  </si>
  <si>
    <t>ZX_PE-MA-U-734193</t>
  </si>
  <si>
    <t xml:space="preserve">No Iii Signature 50Ml Edp </t>
  </si>
  <si>
    <t>ZX_PE-MA-U-459387</t>
  </si>
  <si>
    <t xml:space="preserve">Jubiliant Essence 100Ml Edp </t>
  </si>
  <si>
    <t>ZX_PE-D-W-011820</t>
  </si>
  <si>
    <t>Cool Water 1 Oz Edt Women</t>
  </si>
  <si>
    <t>ZX_PE-AU-M-161519</t>
  </si>
  <si>
    <t>Voyage Titan 3.4 Oz Edp Men</t>
  </si>
  <si>
    <t>ZX_PE-ZI-U-073482</t>
  </si>
  <si>
    <t>Bouquet Red 3.4 Oz  Edp Unisex</t>
  </si>
  <si>
    <t>ZX_PE-ZI-W-072874</t>
  </si>
  <si>
    <t>Rose Of Dreams 3.4 Oz Edp Women</t>
  </si>
  <si>
    <t>ZX_PE-LM-M-036621</t>
  </si>
  <si>
    <t>Ab Spirit Millionaire Dark Fusion 3.3 Oz Edp Men</t>
  </si>
  <si>
    <t>ZX_PE-LT-W-734506</t>
  </si>
  <si>
    <t>Thameen Musk So Poudre 3.4 Oz Edp Women</t>
  </si>
  <si>
    <t>ZX_PE-AW-U-029807</t>
  </si>
  <si>
    <t>Ameeri 3.4 Oz Edp Unisex</t>
  </si>
  <si>
    <t>ZX_PE-NYL-U-832487</t>
  </si>
  <si>
    <t xml:space="preserve">Nylaa Nectar Of Eternity 100Ml Edp </t>
  </si>
  <si>
    <t>ZX_PE-PJ-M-942095</t>
  </si>
  <si>
    <t>Pepe Jeans</t>
  </si>
  <si>
    <t>Set Pepe Jeans 1.0 Oz Edt &amp; 1.7 Oz Shower Gel &amp; 1.7 Oz Body Lotion Men</t>
  </si>
  <si>
    <t>ZX_PE-MA-U-735473</t>
  </si>
  <si>
    <t xml:space="preserve">Terra 50Ml Edp </t>
  </si>
  <si>
    <t>ZX_PE-FE-M-139053</t>
  </si>
  <si>
    <t>Ferrari</t>
  </si>
  <si>
    <t>Ferrari Red 4.2 Oz Edt Men</t>
  </si>
  <si>
    <t>ZX_PE-PE-W-007024</t>
  </si>
  <si>
    <t>Tester 360 Pink 3.4 Oz Edp Women</t>
  </si>
  <si>
    <t>ZX_PE-MA-U-590684</t>
  </si>
  <si>
    <t xml:space="preserve">Domino Essence 100Ml Edp </t>
  </si>
  <si>
    <t>ZX_PE-MA-U-599175</t>
  </si>
  <si>
    <t xml:space="preserve">Love Spark 80Ml Edp </t>
  </si>
  <si>
    <t>ZX_PE-MR-U-222234</t>
  </si>
  <si>
    <t>Gold 3.4  Oz Edp Unisex</t>
  </si>
  <si>
    <t>ZX_PE-AFN-M-073079</t>
  </si>
  <si>
    <t>Set Pride 3.4 Oz Edp Men + 3.4 After B + 3.4 Oz Shower Gel</t>
  </si>
  <si>
    <t>ZX_PE-LT-U-068146</t>
  </si>
  <si>
    <t xml:space="preserve">Ser Al Malika 100Ml Edp </t>
  </si>
  <si>
    <t>ZX_PE-LT-U-597294</t>
  </si>
  <si>
    <t xml:space="preserve">Velvet Musk Unisex 100Ml Edp </t>
  </si>
  <si>
    <t>ZX_PE-MA-U-736562</t>
  </si>
  <si>
    <t xml:space="preserve">Winsome 90Ml Edp </t>
  </si>
  <si>
    <t>ZX_PE-PJ-M-942545</t>
  </si>
  <si>
    <t>Cocktail For Him 3.4 Oz Edt Men</t>
  </si>
  <si>
    <t>ZX_PE-WS-W-945324</t>
  </si>
  <si>
    <t>Crystal</t>
  </si>
  <si>
    <t>Set Intimate Daydream 3.4 Oz Edp Women + 6.7 Body Lotion</t>
  </si>
  <si>
    <t>ZX_PE-AFN-W-002284</t>
  </si>
  <si>
    <t>Rare Tiffany 3.4 Oz Edp Women</t>
  </si>
  <si>
    <t>ZX_PE-MA-U-599205</t>
  </si>
  <si>
    <t xml:space="preserve">Flaming Elixir 80 Ml </t>
  </si>
  <si>
    <t>ZX_PE-KH-U-973456</t>
  </si>
  <si>
    <t xml:space="preserve">Khadlaj Hareem Sultan Silver 35Ml Oil </t>
  </si>
  <si>
    <t>ZX_PE-MA-U-340874</t>
  </si>
  <si>
    <t xml:space="preserve">Narissa Et Moi 100Ml Edp </t>
  </si>
  <si>
    <t>ZX_PE-VR-U-984423</t>
  </si>
  <si>
    <t>Viktor &amp; Rolf Good Fortune Women 2Pc Gift Set With 7Ml Edp + 1.2Ml Edp</t>
  </si>
  <si>
    <t>ZX_PE-KH-U-975405</t>
  </si>
  <si>
    <t xml:space="preserve">Khadlaj Intoxicate La Fede 100Ml Edp </t>
  </si>
  <si>
    <t>ZX_PE-LT-U-592725</t>
  </si>
  <si>
    <t xml:space="preserve">Pride Raw Human 100Ml Edp </t>
  </si>
  <si>
    <t>ZX_PE-RA-U-338025</t>
  </si>
  <si>
    <t>Qasamat Morhaf 2.2 Oz Edp Unisex</t>
  </si>
  <si>
    <t>ZX_PE-LT-U-592794</t>
  </si>
  <si>
    <t xml:space="preserve">Pride Embrace 100Ml Edp </t>
  </si>
  <si>
    <t>ZX_PE-LT-U-592756</t>
  </si>
  <si>
    <t xml:space="preserve">Pride Kashan 100Ml Edp </t>
  </si>
  <si>
    <t>ZX_PE-ASA-U-730355</t>
  </si>
  <si>
    <t xml:space="preserve">Asdaaf Hayaati Enta 100Ml Edp </t>
  </si>
  <si>
    <t>ZX_PE-DS-W-852673</t>
  </si>
  <si>
    <t>Dsquared2</t>
  </si>
  <si>
    <t>Red Wood 1 Oz Edt Women</t>
  </si>
  <si>
    <t>ZX_PE-MZ-M-024749</t>
  </si>
  <si>
    <t>Tester Mercedes Benz 4.0 Oz Edt Men</t>
  </si>
  <si>
    <t>ZX_PE-AU-M-155709</t>
  </si>
  <si>
    <t>Venetian Gold 3.4 Oz Edp Men Limited Edition</t>
  </si>
  <si>
    <t>ZX_PE-MA-U-343233</t>
  </si>
  <si>
    <t>Eternal Touch 80Ml Edp 1</t>
  </si>
  <si>
    <t>ZX_PE-MA-U-343202</t>
  </si>
  <si>
    <t>Fusion Intense 80Ml Edp 2</t>
  </si>
  <si>
    <t>ZX_PE-KH-U-977041</t>
  </si>
  <si>
    <t xml:space="preserve">Khadlaj Crystallia Primaso 100Ml Edp </t>
  </si>
  <si>
    <t>ZX_PE-AFN-W-072614</t>
  </si>
  <si>
    <t>Rare Passion 3.4 Oz Edp Women</t>
  </si>
  <si>
    <t>ZX_PE-AFN-W-073130</t>
  </si>
  <si>
    <t>Set Ornament Purple Allure 3.4 Oz Edp Women + 3.4 Onzas Shower Gel + 3.4 Oz Bl</t>
  </si>
  <si>
    <t>ZX_PE-KH-U-976556</t>
  </si>
  <si>
    <t xml:space="preserve">Khadlaj Hareem Sultan Gold 75Ml Edp </t>
  </si>
  <si>
    <t>ZX_PE-AF-M-166012</t>
  </si>
  <si>
    <t>Authentic 3.4 Oz Edt Men</t>
  </si>
  <si>
    <t>ZX_PE-AU-M-155631</t>
  </si>
  <si>
    <t>Ego Tigre 3.4 Oz Edp Men</t>
  </si>
  <si>
    <t>ZX_PE-PJ-M-940268</t>
  </si>
  <si>
    <t>Celebrate Him 3.4 Oz Edp Men</t>
  </si>
  <si>
    <t>ZX_PE-PJ-W-942538</t>
  </si>
  <si>
    <t>Cocktail For Her 2.7 Oz Edt Women</t>
  </si>
  <si>
    <t>ZX_PE-GR-W-117662</t>
  </si>
  <si>
    <t>Mini Petit Robe Noir 0.67 Oz Edp Women Refillable</t>
  </si>
  <si>
    <t>ZX_PE-MA-U-341123</t>
  </si>
  <si>
    <t xml:space="preserve">Luxe Nightlife 100Ml Edp </t>
  </si>
  <si>
    <t>ZX_PE-MA-U-340720</t>
  </si>
  <si>
    <t xml:space="preserve">Infini Intoxicating Cherry 100 Ml </t>
  </si>
  <si>
    <t>ZX_PE-PJ-W-942118</t>
  </si>
  <si>
    <t>Set Celebrate Her 2.7 Oz Edp &amp; 2.7 Oz Body Lotion Women</t>
  </si>
  <si>
    <t>ZX_PE-PJ-M-942149</t>
  </si>
  <si>
    <t>Set Pepe Jeans 3.4 Oz Edt  &amp; 2.7 Oz Shower Gel Men</t>
  </si>
  <si>
    <t>ZX_PE-AFN-W-073277</t>
  </si>
  <si>
    <t>Set Souvenir Desert Rose 3.4 Oz Edp Women + 3.4 Bl+ 3.4 Sg</t>
  </si>
  <si>
    <t>ZX_PE-PJ-M-940251</t>
  </si>
  <si>
    <t>Celebrate Him 3.4 Oz Edp &amp; 2.7 Oz Shower Gel Men</t>
  </si>
  <si>
    <t>ZX_PE-LT-U-340058</t>
  </si>
  <si>
    <t>Oud Mood 3 Pcs Gift Set With 100Ml Edp  200Ml Deo  50Ml Hairmist</t>
  </si>
  <si>
    <t>ZX_PE-OD-W-571007</t>
  </si>
  <si>
    <t>Oscar 3.4 Oz Edt Women</t>
  </si>
  <si>
    <t>ZX_PE-MZ-M-091031</t>
  </si>
  <si>
    <t>The Move Express Yourself 3.4 Oz Edt Men</t>
  </si>
  <si>
    <t>ZX_PE-SA-U-045783</t>
  </si>
  <si>
    <t xml:space="preserve">Swiss Arabian Shaghaf Oud Royale 75Ml Edp </t>
  </si>
  <si>
    <t>ZX_PE-LT-M-591995</t>
  </si>
  <si>
    <t>Pride La Collection D'Antiquities (Watch)  3.4 Oz Edp Men</t>
  </si>
  <si>
    <t>ZX_PE-ES-W-340103</t>
  </si>
  <si>
    <t>Le Parfum In White 1.0 Oz Edp Women</t>
  </si>
  <si>
    <t>ZX_PE-OR-U-158036</t>
  </si>
  <si>
    <t>Xo Exsclusif Oud Emerald 2.0 Oz Edp Unisex</t>
  </si>
  <si>
    <t>ZX_PE-OR-U-158029</t>
  </si>
  <si>
    <t>Xo Xclusif Oud Sport 2.0 Oz Edp Unisex</t>
  </si>
  <si>
    <t>ZX_PE-ES-W-340707</t>
  </si>
  <si>
    <t>Le Parfum Lumiere 1.0 Oz Edp Women</t>
  </si>
  <si>
    <t>ZX_PE-BU-U-905215</t>
  </si>
  <si>
    <t>BURBERRY</t>
  </si>
  <si>
    <t xml:space="preserve">Burberry London Men 100Ml Edt </t>
  </si>
  <si>
    <t>ZX_PE-LT-M-593005</t>
  </si>
  <si>
    <t>Niche Emarati Vintage Castle 3.4 Oz Edp Men</t>
  </si>
  <si>
    <t>ZX_PE-LT-M-592084</t>
  </si>
  <si>
    <t>Pride Emarati Toleen 3.4 Oz Edp Men</t>
  </si>
  <si>
    <t>ZX_PE-MZ-M-081018</t>
  </si>
  <si>
    <t>Select 3.4 Oz Edt Men</t>
  </si>
  <si>
    <t>ZX_PE-AFN-U-002109</t>
  </si>
  <si>
    <t xml:space="preserve">Afnan Tribute Blue 100Ml Edp  </t>
  </si>
  <si>
    <t>ZX_PE-BT-M-497547</t>
  </si>
  <si>
    <t>Bentley Intense 3.4 Oz Edp Men</t>
  </si>
  <si>
    <t>ZX_PE-AH-U-158333</t>
  </si>
  <si>
    <t>Mini Set Orientica Luxury Collection 5X10Ml</t>
  </si>
  <si>
    <t>ZX_PE-LT-U-341215</t>
  </si>
  <si>
    <t>Badee Al Oud Honor And Glory 3Pcs Gift Set With 100 Ml Edp + 200Ml Deo + 300Ml Air Freshner</t>
  </si>
  <si>
    <t>ZX_PE-LT-U-341253</t>
  </si>
  <si>
    <t>Maahir 3 Pcs Gift Set With 100Ml Edp+ 200Ml Deo + 300Ml Air Freshner</t>
  </si>
  <si>
    <t>ZX_PE-RA-U-204092</t>
  </si>
  <si>
    <t>RASASI</t>
  </si>
  <si>
    <t xml:space="preserve">Rasasi La Yuqawam Jasmine Wisp Women 75Ml Edp </t>
  </si>
  <si>
    <t>ZX_PE-LT-U-593081</t>
  </si>
  <si>
    <t>Niche Emarati Remas  3.4 Oz Edp Unisex</t>
  </si>
  <si>
    <t>ZX_PE-DG-U-183647</t>
  </si>
  <si>
    <t>DOLCE &amp; GABBANA</t>
  </si>
  <si>
    <t xml:space="preserve">Dolce &amp; Gabbana Q  Women 30Ml Edp </t>
  </si>
  <si>
    <t>ZX_PE-LT-U-592985</t>
  </si>
  <si>
    <t>Niche Emarati Zikra  3.4 Oz Edp Unisex</t>
  </si>
  <si>
    <t>ZX_PE-LT-M-594293</t>
  </si>
  <si>
    <t>Pride Emarati Antique 3.4 Oz Edp Men</t>
  </si>
  <si>
    <t>ZX_PE-AH-W-270171</t>
  </si>
  <si>
    <t>Le Motif Wild Neroli 2.9 Oz Edp Women</t>
  </si>
  <si>
    <t>ZX_PE-LO-M-841895</t>
  </si>
  <si>
    <t>Set Lempicka 3.4 Oz Edt &amp; After Shave Gel 2.5 Oz Men</t>
  </si>
  <si>
    <t>ZX_PE-EO-W-080441</t>
  </si>
  <si>
    <t>Emor London</t>
  </si>
  <si>
    <t>Oud No Xi 4.2 Oz Edp Women</t>
  </si>
  <si>
    <t>ZX_PE-EO-M-080335</t>
  </si>
  <si>
    <t>Oud No4 4.2 Oz Edp Men</t>
  </si>
  <si>
    <t>ZX_PE-EO-U-080212</t>
  </si>
  <si>
    <t>Oud No9 4.2 Oz Edp Unisex</t>
  </si>
  <si>
    <t>ZX_PE-NR-W-890136</t>
  </si>
  <si>
    <t>Narciso Rodriguez 1.7 Oz Edp Women</t>
  </si>
  <si>
    <t>ZX_PE-GR-W-114746</t>
  </si>
  <si>
    <t>Petit Robe Noir 3.4 Oz Edt Women</t>
  </si>
  <si>
    <t>ZX_PE-AH-U-270485</t>
  </si>
  <si>
    <t>Orientica Rose 3.0 Oz Edp Unisex</t>
  </si>
  <si>
    <t>ZX_PE-VR-W-662581</t>
  </si>
  <si>
    <t>Good Fortune 3.0 Oz Edp Women</t>
  </si>
  <si>
    <t>ZX_PE-NR-W-053958</t>
  </si>
  <si>
    <t>Ambre 3 Oz Edp Women</t>
  </si>
  <si>
    <t>ZX_PE-MJ-W-780037</t>
  </si>
  <si>
    <t>Perfect Intense 1.7 Oz Edp Women</t>
  </si>
  <si>
    <t>ZX_PE-GI-U-369412</t>
  </si>
  <si>
    <t xml:space="preserve">Givenchy Very Irresistible Women 75Ml Edt </t>
  </si>
  <si>
    <t>ZX_PE-MT-M-450614</t>
  </si>
  <si>
    <t>Aoud Cuir D Arabie 3.4 Oz Edp Men</t>
  </si>
  <si>
    <t>ZX_PE-NR-W-012700</t>
  </si>
  <si>
    <t>Musc Noir 3.3 Oz Edp Women</t>
  </si>
  <si>
    <t>ZX_PE-CE-W-395709</t>
  </si>
  <si>
    <t>Nomade Naturelle 2.5 Oz Edp Women</t>
  </si>
  <si>
    <t>ZX_PE-NR-W-840652</t>
  </si>
  <si>
    <t>Poudree 3 Oz Edp Women</t>
  </si>
  <si>
    <t>ZX_PE-MAN-U-192113</t>
  </si>
  <si>
    <t>Gold Incense 4.0 Oz Edp Unisex</t>
  </si>
  <si>
    <t>ZX_PE-CQ-M-168097</t>
  </si>
  <si>
    <t>Drama Diffe Moist Lotion 2 X1.7 Oz + Gel 3 X4.2 Oz</t>
  </si>
  <si>
    <t>ZX_PE-G-W-048181</t>
  </si>
  <si>
    <t>Flora Gorgeous Jasmine 3.4 Oz Edp Women</t>
  </si>
  <si>
    <t>ZX_PE-YL-M-621053</t>
  </si>
  <si>
    <t>Ysl Nuit Le Parfume 3.4 Oz Edp Men</t>
  </si>
  <si>
    <t>ZX_PE-AE-U-854092</t>
  </si>
  <si>
    <t>Good Fortune 3.0 Edp L + 2.4 Candle</t>
  </si>
  <si>
    <t>ZX_PE-HE-M-013457</t>
  </si>
  <si>
    <t>Terre D'Hermes 6.7 Oz Edt Men</t>
  </si>
  <si>
    <t>ZX_PE-RJ-M-292227</t>
  </si>
  <si>
    <t>Roja Scandal 1.7 Oz Edp Men</t>
  </si>
  <si>
    <t>ZX_PE-RV-W-004628</t>
  </si>
  <si>
    <t>Charlie Blue 3.4 Oz Edt Women</t>
  </si>
  <si>
    <t>ZX_PE-NW-M-730996</t>
  </si>
  <si>
    <t>Golf Blue 3.4 Oz Edt Men</t>
  </si>
  <si>
    <t>ZX_PE-GE-W-492559</t>
  </si>
  <si>
    <t>Tester Cabotine Rose 3.4 Oz Edt Women</t>
  </si>
  <si>
    <t>ZX_PE-EA-W-373906</t>
  </si>
  <si>
    <t>True Love 3.3 Oz Edt Women</t>
  </si>
  <si>
    <t>ZX_PE-EA-W-555313</t>
  </si>
  <si>
    <t>Blue Grass 3.4 Oz Edp Women</t>
  </si>
  <si>
    <t>ZX_PE-LM-M-000813</t>
  </si>
  <si>
    <t>Ab Spirit Millionaire 3.3 Oz Edp Men</t>
  </si>
  <si>
    <t>ZX_PE-LC-W-030475</t>
  </si>
  <si>
    <t>Curve Wave 3.4 Oz Edt Women</t>
  </si>
  <si>
    <t>ZX_PE-ET-W-450607</t>
  </si>
  <si>
    <t>Diamonds And Rubies 3.3 Oz Edt Women</t>
  </si>
  <si>
    <t>ZX_PE-ET-W-450409</t>
  </si>
  <si>
    <t>Diamond &amp; Sapphires 3.3 Oz Edt Women</t>
  </si>
  <si>
    <t>ZX_PE-LC-M-046254</t>
  </si>
  <si>
    <t>Connect 4.2 Oz Edc Men</t>
  </si>
  <si>
    <t>ZX_PE-LC-W-046223</t>
  </si>
  <si>
    <t>Curve Connect 3.4 Oz Edt Women</t>
  </si>
  <si>
    <t>ZX_PE-LC-M-018251</t>
  </si>
  <si>
    <t>Mambo 3.4 Oz Edc Men</t>
  </si>
  <si>
    <t>ZX_PE-FR-M-004859</t>
  </si>
  <si>
    <t>Touch 3.4 Oz Edt Men</t>
  </si>
  <si>
    <t>ZX_PE-RA-U-338018</t>
  </si>
  <si>
    <t>Qasamat Bareeq 2.2 Oz Edp Unisex</t>
  </si>
  <si>
    <t>ZX_PE-MA-U-340812</t>
  </si>
  <si>
    <t>Encode Mountain 100 Ml</t>
  </si>
  <si>
    <t>ZX_PE-JS-W-578643</t>
  </si>
  <si>
    <t>Fancy Forever 3.4 Oz Edp Women</t>
  </si>
  <si>
    <t>ZX_PE-JO-W-000059</t>
  </si>
  <si>
    <t>Joop 3.4 Oz Edt Women</t>
  </si>
  <si>
    <t>ZX_PE-ET-W-010115</t>
  </si>
  <si>
    <t>Passion 2.5 Oz Edt Women</t>
  </si>
  <si>
    <t>ZX_PE-EA-W-557331</t>
  </si>
  <si>
    <t>White Tea 3.4 Oz Edt Women</t>
  </si>
  <si>
    <t>ZX_PE-LC-W-026201</t>
  </si>
  <si>
    <t>Curve Crush 3.4 Oz Edt Women</t>
  </si>
  <si>
    <t>ZX_PE-KP-W-816552</t>
  </si>
  <si>
    <t>Killer Queen 3.4 Oz Edp Women</t>
  </si>
  <si>
    <t>ZX_PE-LC-M-026249</t>
  </si>
  <si>
    <t>Curve Crush 4.2 Oz Edc Men</t>
  </si>
  <si>
    <t>ZX_PE-LC-M-180726</t>
  </si>
  <si>
    <t>Curve Black 4.2 Oz Edc Men</t>
  </si>
  <si>
    <t>ZX_PE-AU-W-041469</t>
  </si>
  <si>
    <t>Skye 3.4 Oz Edp Women</t>
  </si>
  <si>
    <t>ZX_PE-BR-W-116221</t>
  </si>
  <si>
    <t>Wildbloom 3.4 Oz Edp Women</t>
  </si>
  <si>
    <t>ZX_PE-SF-W-114076</t>
  </si>
  <si>
    <t>Incanto Charm 3.4 Oz Edt Women</t>
  </si>
  <si>
    <t>ZX_PE-PH-W-550144</t>
  </si>
  <si>
    <t>Dazzle 4.2 Oz Edp Women</t>
  </si>
  <si>
    <t>ZX_PE-CK-M-073627</t>
  </si>
  <si>
    <t>Truth 3.4 Oz Edt Men</t>
  </si>
  <si>
    <t>ZX_PE-LT-U-735275</t>
  </si>
  <si>
    <t>Amberley Amoroso 3.4 Oz Edp Unisex</t>
  </si>
  <si>
    <t>ZX_PE-BU-U-905208</t>
  </si>
  <si>
    <t xml:space="preserve">Burberry London Women 30Ml Edp </t>
  </si>
  <si>
    <t>ZX_PE-MK-W-419960</t>
  </si>
  <si>
    <t>Tester Gorgeous 3.4 Oz Edp Women</t>
  </si>
  <si>
    <t>ZX_PE-AU-M-163971</t>
  </si>
  <si>
    <t>Le Parfait Homme 6.8 Oz  Edp Men</t>
  </si>
  <si>
    <t>ZX_PE-MK-W-296462</t>
  </si>
  <si>
    <t>Tester Michael Kors Sexy Amber 3.4 Oz Edp Women</t>
  </si>
  <si>
    <t>ZX_PE-JO-M-809915</t>
  </si>
  <si>
    <t>Homme Joop 6.7 Oz Edt Men</t>
  </si>
  <si>
    <t>ZX_PE-BU-W-905697</t>
  </si>
  <si>
    <t>Classic 1.7 Oz Edp Women</t>
  </si>
  <si>
    <t>ZX_PE-LC-M-134866</t>
  </si>
  <si>
    <t>Curve 4.2 Oz Edc Men</t>
  </si>
  <si>
    <t>ZX_PE-MK-W-419953</t>
  </si>
  <si>
    <t>Gorgeous 3.4 Oz Edp Women</t>
  </si>
  <si>
    <t>ZX_PE-C-W-016358</t>
  </si>
  <si>
    <t>Noa 3.4 Oz Edt Women</t>
  </si>
  <si>
    <t>ZX_PE-V-W-250468</t>
  </si>
  <si>
    <t>Versace 3.4 Oz Edp Women</t>
  </si>
  <si>
    <t>ZX_PE-BU-W-905185</t>
  </si>
  <si>
    <t>London 3.4 Oz Edp Women</t>
  </si>
  <si>
    <t>ZX_PE-LV-W-515671</t>
  </si>
  <si>
    <t>Lanvin</t>
  </si>
  <si>
    <t>Eclat Darpege 3.4 Oz Edp Women</t>
  </si>
  <si>
    <t>ZX_PE-MZ-M-061171</t>
  </si>
  <si>
    <t>Man Intense 3.4 Oz Edt Men</t>
  </si>
  <si>
    <t>ZX_PE-JH-W-025508</t>
  </si>
  <si>
    <t>Jimmy Choo 3.4 Oz Edt Women</t>
  </si>
  <si>
    <t>ZX_PE-D-M-359789</t>
  </si>
  <si>
    <t>Cool Water 6.7 Oz Edt Men</t>
  </si>
  <si>
    <t>ZX_PE-BU-M-905253</t>
  </si>
  <si>
    <t>Brit 3.4 Oz Edt Women</t>
  </si>
  <si>
    <t>ZX_PE-EL-W-086871</t>
  </si>
  <si>
    <t>Beautiful 2.5 Oz Edp Women</t>
  </si>
  <si>
    <t>ZX_PE-EL-W-095885</t>
  </si>
  <si>
    <t>Estee 1.7 Oz Edp Women</t>
  </si>
  <si>
    <t>ZX_PE-AH-W-136285</t>
  </si>
  <si>
    <t>Junoon 2.5 Oz Edp Women</t>
  </si>
  <si>
    <t>ZX_PE-AH-W-131754</t>
  </si>
  <si>
    <t>Floral Sculpture 2.5 Oz Edp Women</t>
  </si>
  <si>
    <t>ZX_PE-CH-M-974759</t>
  </si>
  <si>
    <t>212 Heroes 1.7 Oz Edt Men</t>
  </si>
  <si>
    <t>ZX_PE-CK-M-471727</t>
  </si>
  <si>
    <t>Eternity 6.7 Oz Edt Men</t>
  </si>
  <si>
    <t>ZX_PE-BV-M-416118</t>
  </si>
  <si>
    <t>Man Terrae Essence 2.0 Oz Edp Men</t>
  </si>
  <si>
    <t>ZX_PE-CE-U-974465</t>
  </si>
  <si>
    <t>CHLOE</t>
  </si>
  <si>
    <t>Chloe Women 4 Mini Set With Nomade 5Ml Edt + Rose Tangerine 5Ml Edt + Signature 5Ml Edp + Nomade 5Ml</t>
  </si>
  <si>
    <t>ZX_PE-G-W-481081</t>
  </si>
  <si>
    <t>Bloom 1.0 Oz Edp Women</t>
  </si>
  <si>
    <t>ZX_PE-HB-M-823776</t>
  </si>
  <si>
    <t>Hugo Green 6.7 Oz Edt Men No Cellophane</t>
  </si>
  <si>
    <t>ZX_PE-LT-U-346104</t>
  </si>
  <si>
    <t xml:space="preserve">Pride King Of Arabia 100Ml Edp </t>
  </si>
  <si>
    <t>ZX_PE-HB-U-198090</t>
  </si>
  <si>
    <t>HUGO BOSS</t>
  </si>
  <si>
    <t>Hugo Boss Bottled Men 2 Psc. Gift Set With 100Ml Edt + 75Ml Deo</t>
  </si>
  <si>
    <t>ZX_PE-TM-W-056532</t>
  </si>
  <si>
    <t>Angel 1.7 Oz Edp Women Refillable</t>
  </si>
  <si>
    <t>ZX_PE-AH-W-131839</t>
  </si>
  <si>
    <t>Euphoric Roots 2.5 Oz Edp Women</t>
  </si>
  <si>
    <t>ZX_PE-YL-W-002173</t>
  </si>
  <si>
    <t>Paris 2.5 Oz Edt Women</t>
  </si>
  <si>
    <t>ZX_PE-NR-W-890129</t>
  </si>
  <si>
    <t>Narciso Rodriguez 3.3 Oz Edp Women</t>
  </si>
  <si>
    <t>ZX_PE-DG-U-181353</t>
  </si>
  <si>
    <t xml:space="preserve">Dolce &amp; Gabbana Light Blue Eau Intense Women 100Ml Edp </t>
  </si>
  <si>
    <t>ZX_PE-PR-W-568093</t>
  </si>
  <si>
    <t>Olympea 1.7 Oz Edp Women</t>
  </si>
  <si>
    <t>ZX_PE-AH-U-130474</t>
  </si>
  <si>
    <t>Amber Oud White 6.7 Oz Edp Unisex</t>
  </si>
  <si>
    <t>ZX_PE-PR-W-614479</t>
  </si>
  <si>
    <t>Paco Olympea Flora 2.7 Oz Edp Women</t>
  </si>
  <si>
    <t>ZX_PE-AH-M-812589</t>
  </si>
  <si>
    <t>Amber Oud Carbon Edition 6.7 Oz Edp Men</t>
  </si>
  <si>
    <t>ZX_PE-G-W-925127</t>
  </si>
  <si>
    <t>Bamboo 2.5 Oz Edp Women</t>
  </si>
  <si>
    <t>ZX_PE-NR-W-890020</t>
  </si>
  <si>
    <t>Narciso Rodriguez 3.4 Oz Edt Women</t>
  </si>
  <si>
    <t>ZX_PE-HE-M-491736</t>
  </si>
  <si>
    <t>D'Pamplemousse Rose 3.4 Oz Edc Men</t>
  </si>
  <si>
    <t>ZX_PE-CE-W-232385</t>
  </si>
  <si>
    <t>Chloe 2.5 Oz Edp  Women</t>
  </si>
  <si>
    <t>ZX_PE-MJ-W-221208</t>
  </si>
  <si>
    <t>Daisy Fresh 4.2 Oz Edt For Women</t>
  </si>
  <si>
    <t>ZX_PE-HE-M-000608</t>
  </si>
  <si>
    <t>D'Pamplemousse Rose Concentre 3.4 Oz Edt Men</t>
  </si>
  <si>
    <t>ZX_PE-GA-W-816658</t>
  </si>
  <si>
    <t>Si 3.4 Oz Edp Women</t>
  </si>
  <si>
    <t>ZX_PE-JP-U-092067</t>
  </si>
  <si>
    <t xml:space="preserve">Jean Paul Gaultier Divine Women 2 Pcs Set With 100Ml Edp + 10Ml </t>
  </si>
  <si>
    <t>ZX_PE-XJ-W-151553</t>
  </si>
  <si>
    <t>Stars Nio 1.7 Oz Edp Women</t>
  </si>
  <si>
    <t>ZX_PE-RV-W-101310</t>
  </si>
  <si>
    <t>Charlie White 3.4 Oz Edt Women</t>
  </si>
  <si>
    <t>ZX_PE-RV-W-008466</t>
  </si>
  <si>
    <t>Charlie Red 3.4 Oz Edt Women</t>
  </si>
  <si>
    <t>ZX_PE-RV-W-147745</t>
  </si>
  <si>
    <t>Charlie Silver 3.4 Oz Edt Women</t>
  </si>
  <si>
    <t>ZX_PE-JG-M-373084</t>
  </si>
  <si>
    <t>Pure Instict Classic Blue 3.4 Oz Edt Men</t>
  </si>
  <si>
    <t>ZX_PE-LC-W-021770</t>
  </si>
  <si>
    <t>Bora Bora 3.4 Oz Edp Women</t>
  </si>
  <si>
    <t>ZX_PE-CAN-W-634061</t>
  </si>
  <si>
    <t>Candies</t>
  </si>
  <si>
    <t>Candies 3.4 Oz Edp Women</t>
  </si>
  <si>
    <t>ZX_PE-ZI-M-074151</t>
  </si>
  <si>
    <t>Khafaya Blue 3.4 Oz  Edp Men</t>
  </si>
  <si>
    <t>ZX_PE-AFN-W-073109</t>
  </si>
  <si>
    <t>Set Theoreme 3.0 Oz Edp Women + 3.4 Oz B/L + 3.4 Oz Shower Gel</t>
  </si>
  <si>
    <t>ZX_PE-EH-W-794550</t>
  </si>
  <si>
    <t>Tester Ed Hardy 3.4 Oz Edp Women</t>
  </si>
  <si>
    <t>ZX_PE-LC-W-005046</t>
  </si>
  <si>
    <t>Curve 3.3 Oz Edt Women</t>
  </si>
  <si>
    <t>ZX_PE-V-M-996735</t>
  </si>
  <si>
    <t>Tester Lhomme 3.4 Oz Edt Men</t>
  </si>
  <si>
    <t>ZX_PE-D-M-000534</t>
  </si>
  <si>
    <t>Zino 4.2 Oz Edt Men</t>
  </si>
  <si>
    <t>ZX_PE-RL-M-342621</t>
  </si>
  <si>
    <t>Polo Big Pony 3.4 Oz Edt Men</t>
  </si>
  <si>
    <t>ZX_PE-AFN-W-002055</t>
  </si>
  <si>
    <t>Supremary Purple 3.4 Oz Edp Women</t>
  </si>
  <si>
    <t>ZX_PE-AFN-M-073031</t>
  </si>
  <si>
    <t>Set Theoreme 3.0 Oz Edp Men + 3.4 Oz Afb + 3.4 Oz Shower Gel</t>
  </si>
  <si>
    <t>ZX_PE-PE-M-001299</t>
  </si>
  <si>
    <t>Tester 360 3.4 Oz Edt Women</t>
  </si>
  <si>
    <t>ZX_PE-KC-M-553893</t>
  </si>
  <si>
    <t>Kenneth Cole</t>
  </si>
  <si>
    <t>Kenneth Cole Black 3.4 Oz Edt Men</t>
  </si>
  <si>
    <t>ZX_PE-CQ-W-001940</t>
  </si>
  <si>
    <t>Aromatic Elixir 1.5 Oz Edp Women</t>
  </si>
  <si>
    <t>ZX_PE-AFN-U-071525</t>
  </si>
  <si>
    <t>Patchouli On Fire 2.7 Oz Edp Unisex</t>
  </si>
  <si>
    <t>ZX_PE-RL-W-002951</t>
  </si>
  <si>
    <t>Romance 1.7 Oz Edp Women</t>
  </si>
  <si>
    <t>ZX_PE-AFN-W-073208</t>
  </si>
  <si>
    <t>Set Souv Floral Bouquet 3.4 Oz Edp Women + 3.4 Oz B/L+ 3.4 Oz Shower Gel</t>
  </si>
  <si>
    <t>ZX_PE-EC-W-478693</t>
  </si>
  <si>
    <t>Flor Del Sol 3.3 Oz Edt Women</t>
  </si>
  <si>
    <t>ZX_PE-VC-W-582107</t>
  </si>
  <si>
    <t>Vince Camuto</t>
  </si>
  <si>
    <t>Floreale 3.4 Oz Edp Women</t>
  </si>
  <si>
    <t>ZX_PE-AFN-W-040675</t>
  </si>
  <si>
    <t>Violet Bouquet 3.0 Oz Edp Women</t>
  </si>
  <si>
    <t>ZX_PE-MJ-W-389062</t>
  </si>
  <si>
    <t>Jacobs Honey 3.4 Oz Edp Women</t>
  </si>
  <si>
    <t>ZX_PE-GA-M-070232</t>
  </si>
  <si>
    <t>Emporio Armani 1.7 Oz Edt Men</t>
  </si>
  <si>
    <t>ZX_PE-GA-M-058885</t>
  </si>
  <si>
    <t>Acqua Di Gio 3.4 Oz After Shave Lotion Men</t>
  </si>
  <si>
    <t>ZX_PE-DG-W-020264</t>
  </si>
  <si>
    <t>Light Blue 1.6 Oz Edt Women</t>
  </si>
  <si>
    <t>ZX_PE-AFN-U-070207</t>
  </si>
  <si>
    <t>Supremacy In Oud 3.4 Oz Extrait De Parfum Unisex</t>
  </si>
  <si>
    <t>ZX_PE-AFN-U-071921</t>
  </si>
  <si>
    <t>Edict Amberythme 2.7 Oz Edp Unisex</t>
  </si>
  <si>
    <t>ZX_PE-AFN-U-071945</t>
  </si>
  <si>
    <t>Edict Musctique 2.7 Oz Edp Unisex</t>
  </si>
  <si>
    <t>ZX_PE-AFN-U-071938</t>
  </si>
  <si>
    <t>Edict Ouddiction 2.7 Oz Edp Unisex</t>
  </si>
  <si>
    <t>ZX_PE-AFN-W-002239</t>
  </si>
  <si>
    <t>Highness Red 3.4 Oz Edp Women</t>
  </si>
  <si>
    <t>ZX_PE-AFN-M-002246</t>
  </si>
  <si>
    <t>Highness Iii Green  3.4 Oz Edp Men</t>
  </si>
  <si>
    <t>ZX_PE-AFN-W-070160</t>
  </si>
  <si>
    <t>Ix Her Highness Maroon 3.4 Oz Edp  Women</t>
  </si>
  <si>
    <t>ZX_PE-AFN-M-070177</t>
  </si>
  <si>
    <t>Highness X Brown 3.4 Oz Edp Men</t>
  </si>
  <si>
    <t>ZX_PE-AFN-U-002222</t>
  </si>
  <si>
    <t>Vii Highness White 3.4 Oz Edp Unisex</t>
  </si>
  <si>
    <t>ZX_PE-AFN-W-002215</t>
  </si>
  <si>
    <t>Her Highness Black 3.4 Oz Edp Women</t>
  </si>
  <si>
    <t>ZX_PE-MK-U-716444</t>
  </si>
  <si>
    <t>MICHAEL KORS</t>
  </si>
  <si>
    <t>Michael Kors Gorgeous Women 3Pcs Gift Set With 100Ml Edp + 100Ml Bl + Bag</t>
  </si>
  <si>
    <t>ZX_PE-CE-W-232347</t>
  </si>
  <si>
    <t>Chloe 1.7 Oz Edp Women</t>
  </si>
  <si>
    <t>ZX_PE-MT-U-452311</t>
  </si>
  <si>
    <t>Fruits Of The Musk 3.4 Oz Edp Unisex</t>
  </si>
  <si>
    <t>ZX_PE-VR-W-293405</t>
  </si>
  <si>
    <t>Tester Flowerbomb 3.4 Oz Edp Women</t>
  </si>
  <si>
    <t>ZX_PE-TT-U-962202</t>
  </si>
  <si>
    <t>Tiziana Terenzi</t>
  </si>
  <si>
    <t>White Fire 3.4 Oz Edp Unisex</t>
  </si>
  <si>
    <t>ZX_PE-TF-W-000079</t>
  </si>
  <si>
    <t>Black Orchid 3.4 Oz Edp Women</t>
  </si>
  <si>
    <t>ZX_PE-CRE-W-104662</t>
  </si>
  <si>
    <t>Aventus 2.5 Oz Edp Women</t>
  </si>
  <si>
    <t>ZX_PE-LT-U-349730</t>
  </si>
  <si>
    <t>Khamrah Waha 3.4 Oz Edp Unisex</t>
  </si>
  <si>
    <t>ZX_PE-LT-U-161695</t>
  </si>
  <si>
    <t>Ra'ed Absolu 3.4 Oz Edp Unisex</t>
  </si>
  <si>
    <t>ZX_PE-LT-U-161701</t>
  </si>
  <si>
    <t>Ra'ed Intensely 3.4 Oz Edp Unisex</t>
  </si>
  <si>
    <t>ZX_PE-BHA-W-062790</t>
  </si>
  <si>
    <t>Gorgeous Blush 3.4 Oz Edp Women</t>
  </si>
  <si>
    <t>ZX_PE-BHA-W-062721</t>
  </si>
  <si>
    <t>ZX_PE-LT-U-063998</t>
  </si>
  <si>
    <t>24 Carat Pure Gold 3.4 Oz Edp Unisex</t>
  </si>
  <si>
    <t>ZX_PE-LT-U-064001</t>
  </si>
  <si>
    <t>24 Carat White Gold 3.4 Oz Edp Unisex</t>
  </si>
  <si>
    <t>ZX_PE-LT-U-591490</t>
  </si>
  <si>
    <t>Bayaan 3.4 Oz Edp Women</t>
  </si>
  <si>
    <t>ZX_PE-LT-U-598321</t>
  </si>
  <si>
    <t>Mashrabya 3.4 Oz Edp Unisex</t>
  </si>
  <si>
    <t>ZX_PE-LT-U-737927</t>
  </si>
  <si>
    <t>Abaan 3.4 Oz Edp Unisex</t>
  </si>
  <si>
    <t>ZX_PE-MSP-M-670466</t>
  </si>
  <si>
    <t>Stronger Together 3.4 Oz Edp Men</t>
  </si>
  <si>
    <t>ZX_PE-MSP-M-670473</t>
  </si>
  <si>
    <t>Stronger Together Intensely 3.4 Oz Edp Men</t>
  </si>
  <si>
    <t>ZX_PE-BHA-U-062394</t>
  </si>
  <si>
    <t>Peace 3.4 Oz Edp Unisex</t>
  </si>
  <si>
    <t>ZX_PE-BHA-U-062387</t>
  </si>
  <si>
    <t>Placid 3.4 Oz Edp Unisex</t>
  </si>
  <si>
    <t>ZX_PE-BHA-M-670152</t>
  </si>
  <si>
    <t>ZX_PE-BHA-M-670107</t>
  </si>
  <si>
    <t>King 1 Liter Edp Men</t>
  </si>
  <si>
    <t>ZX_PE-CK-U-805874</t>
  </si>
  <si>
    <t>Set CK One 3.4 Oz Edt + 3.4 Body Gel + 15 Ml Edt Unisex</t>
  </si>
  <si>
    <t>Set King 3.4 Oz Edp + 3.4 Oz Aftershave + 6.8 Oz Body Lotion + 2 Pcs Viking 10 Ml Men</t>
  </si>
  <si>
    <t>ZX_PE-ZI-W-077510</t>
  </si>
  <si>
    <t>Tiramisu S'mores 3.4 Oz Edp Women</t>
  </si>
  <si>
    <t>ZX_PE-N-M-248788</t>
  </si>
  <si>
    <t>Pure Blue 3.4 Oz Edt Men</t>
  </si>
  <si>
    <t>ZX_PE-LT-U-735589</t>
  </si>
  <si>
    <t>Mohra 3.4 Oz Edp Unisex</t>
  </si>
  <si>
    <t>ZX_PE-CH-W-137918</t>
  </si>
  <si>
    <t>La Bomba Intense 2.7 Oz Edp Women</t>
  </si>
  <si>
    <t>ZX_PE-FRN-U-379197</t>
  </si>
  <si>
    <t>Chocola Addict 3.4 Oz Edp Unisex</t>
  </si>
  <si>
    <t>Odyssey Go Mango Tropical 3.4 Oz Unisex</t>
  </si>
  <si>
    <t>Body Mist Sehr 8.4 Oz Men</t>
  </si>
  <si>
    <t>Body Mist Yara Tous 8.4 Oz Unisex</t>
  </si>
  <si>
    <t>Body Mist Mayar Natural Intense 8.4 Oz Unisex</t>
  </si>
  <si>
    <t>Body Mist Angham 8.4 Oz Unisex</t>
  </si>
  <si>
    <t>Body Mist Yara 8.4 Oz Women</t>
  </si>
  <si>
    <t>Body Mist Mayar Cherry Intense 8.4 Oz Women</t>
  </si>
  <si>
    <t>Body Mist Haya 8.4 Oz Women</t>
  </si>
  <si>
    <t>Body Mist Eclaire 8.4 Oz Women</t>
  </si>
  <si>
    <t>Body Mist Fakhar 8.4 Oz Women</t>
  </si>
  <si>
    <t>Body Mist Layaan 8.4 Oz Women</t>
  </si>
  <si>
    <t>Body Mist Teriaq 8.4 Oz Women</t>
  </si>
  <si>
    <t>Body Mist Pink Shimmer Secret 8.4 Oz Women</t>
  </si>
  <si>
    <t>Body Mist Delilah Pour Femme 8.4 Oz Women</t>
  </si>
  <si>
    <t>ZX_PE-AU-U-818855</t>
  </si>
  <si>
    <t>Odyssey Soda Pop 3.4 Oz Edp Unisex</t>
  </si>
  <si>
    <t>ZX_PE-AU-W-128215</t>
  </si>
  <si>
    <t>Oros Pure Blooming Maguey 3.4 Oz Edp Women</t>
  </si>
  <si>
    <t>ZX_PE-AU-M-041933</t>
  </si>
  <si>
    <t>Oros 2.8 Oz Edp Men</t>
  </si>
  <si>
    <t>ZX_PE-LT-M-591551</t>
  </si>
  <si>
    <t>Ajayeb Dubai  3.4 Oz  Edp Men</t>
  </si>
  <si>
    <t>ZX_PE-ALZ-W-793923</t>
  </si>
  <si>
    <t>Ard Al Zaafaran</t>
  </si>
  <si>
    <t>Set Yara 1.7 Oz Edp + Roll On 10ML + 20 Gr Body Cream Women</t>
  </si>
  <si>
    <t>ZX_PE-GU-M-323644</t>
  </si>
  <si>
    <t>Iconic 3.4 Oz Edp Men</t>
  </si>
  <si>
    <t>ZX_PE-GU-M-350008</t>
  </si>
  <si>
    <t>Iconic Blue 3.4 Oz Edp Men</t>
  </si>
  <si>
    <t>ZX_PE-GU-W-320209</t>
  </si>
  <si>
    <t>Seductive I'm Yours 2.5 Oz Edt Women</t>
  </si>
  <si>
    <t>ZX_PE-GU-W-323446</t>
  </si>
  <si>
    <t>Bella Vita Paradiso 3.4 Oz Edp Women</t>
  </si>
  <si>
    <t>ZX_PE-GU-W-331007</t>
  </si>
  <si>
    <t>Seductive Kiss 2.5 Oz Edt Women</t>
  </si>
  <si>
    <t>ZX_PE-GU-W-331502</t>
  </si>
  <si>
    <t>ZX_PE-GU-W-331519</t>
  </si>
  <si>
    <t>Seductive Dream 2.5 Oz Edt Women</t>
  </si>
  <si>
    <t>ZX_PE-GU-W-333001</t>
  </si>
  <si>
    <t>Bella Vita 3.4 Oz Edp Women</t>
  </si>
  <si>
    <t>ZX_PE-GU-W-333049</t>
  </si>
  <si>
    <t>Bella Vita Rosa 3.4 Oz Edt Women</t>
  </si>
  <si>
    <t>ZX_PE-GU-W-333100</t>
  </si>
  <si>
    <t>La Mia Bella Vita 3.4 Oz Edp Women</t>
  </si>
  <si>
    <t>ZX_PE-GU-W-350176</t>
  </si>
  <si>
    <t>Seductive Desire 2.5 Oz Edt Women</t>
  </si>
  <si>
    <t>ZX_PE-PR-M-562671</t>
  </si>
  <si>
    <t>One Million Lucky 3.4 Oz Edt Men</t>
  </si>
  <si>
    <t>ZX_PE-AY-U-912355</t>
  </si>
  <si>
    <t>Mahd Al Dhahab 3.4 Oz Edp Unisex</t>
  </si>
  <si>
    <t>ZX_PE-RA-M-331095</t>
  </si>
  <si>
    <t>Hawas Chrome 3.4 Oz Edp Men</t>
  </si>
  <si>
    <t>ZX_PE-BU-W-829044</t>
  </si>
  <si>
    <t>My Burberry Blush 3 Oz Edp Women</t>
  </si>
  <si>
    <t>Seductive Charm 2.5 Oz Edt Women</t>
  </si>
  <si>
    <t>ZX_PE-BHA-W-670411</t>
  </si>
  <si>
    <t>Rome Melancholia 3.4 Oz Edp Women</t>
  </si>
  <si>
    <t>ZX_PE-HD-U-224954</t>
  </si>
  <si>
    <t>Choco Dream 3.4 Oz Edp Unisex</t>
  </si>
  <si>
    <t>ZX_PE-KOK-M-537700</t>
  </si>
  <si>
    <t>Royal Amber 3.4 Oz Edp Men</t>
  </si>
  <si>
    <t>ZX_PE-KOK-W-675690</t>
  </si>
  <si>
    <t>Anarchy The Rebel One 3.4 Oz Edp Women</t>
  </si>
  <si>
    <t>ZX_PE-MO-U-908134</t>
  </si>
  <si>
    <t>Toy 2 Yummy 3.4 Oz Edp Unisex</t>
  </si>
  <si>
    <t>ZX_PE-MO-U-909827</t>
  </si>
  <si>
    <t>Toy 2 Gummy  3.4 Oz Edp Unisex</t>
  </si>
  <si>
    <t>ZX_PE-V-W-901647</t>
  </si>
  <si>
    <t>Crystal Emerald 3 Oz Edp Women</t>
  </si>
  <si>
    <t>ZX_PE-DG-M-403374</t>
  </si>
  <si>
    <t>Set Light Blue 3Pc (3.38 Oz Edt ,1.69 Oz Shower Gel,2.6 Oz Deo Stick) Men</t>
  </si>
  <si>
    <t>Column1</t>
  </si>
  <si>
    <t>https://fc2.cwa.sellercloud.com/images/products/168944.jpg</t>
  </si>
  <si>
    <t>https://fc2.cwa.sellercloud.com/images/products/165187.jpg</t>
  </si>
  <si>
    <t>https://fc2.cwa.sellercloud.com/images/products/168948.jpg</t>
  </si>
  <si>
    <t>https://fc2.cwa.sellercloud.com/images/products/169179.jpg</t>
  </si>
  <si>
    <t>https://fc2.cwa.sellercloud.com/images/products/169203.jpg</t>
  </si>
  <si>
    <t>https://fc2.cwa.sellercloud.com/images/products/168957.jpg</t>
  </si>
  <si>
    <t>https://fc2.cwa.sellercloud.com/images/products/168768.jpg</t>
  </si>
  <si>
    <t>https://fc2.cwa.sellercloud.com/images/products/169539.jpg</t>
  </si>
  <si>
    <t>https://fc2.cwa.sellercloud.com/images/products/166484.jpg</t>
  </si>
  <si>
    <t>https://fc2.cwa.sellercloud.com/images/products/169622.jpg</t>
  </si>
  <si>
    <t>https://fc2.cwa.sellercloud.com/images/products/168705.jpg</t>
  </si>
  <si>
    <t>https://fc2.cwa.sellercloud.com/images/products/168595.jpg</t>
  </si>
  <si>
    <t>https://fc2.cwa.sellercloud.com/images/products/168126.jpg</t>
  </si>
  <si>
    <t>https://fc2.cwa.sellercloud.com/images/products/168739.jpg</t>
  </si>
  <si>
    <t>https://fc2.cwa.sellercloud.com/images/products/164075.jpg</t>
  </si>
  <si>
    <t>https://fc2.cwa.sellercloud.com/images/products/168840.jpg</t>
  </si>
  <si>
    <t>https://fc2.cwa.sellercloud.com/images/products/167355.jpg</t>
  </si>
  <si>
    <t>https://fc2.cwa.sellercloud.com/images/products/169095.jpg</t>
  </si>
  <si>
    <t>https://fc2.cwa.sellercloud.com/images/products/160668.jpg</t>
  </si>
  <si>
    <t>https://fc2.cwa.sellercloud.com/images/products/160166.jpg</t>
  </si>
  <si>
    <t>https://fc2.cwa.sellercloud.com/images/products/167105.jpg</t>
  </si>
  <si>
    <t>https://fc2.cwa.sellercloud.com/images/products/169718.jpg</t>
  </si>
  <si>
    <t>https://fc2.cwa.sellercloud.com/images/products/167531.jpg</t>
  </si>
  <si>
    <t>https://fc2.cwa.sellercloud.com/images/products/169111.jpg</t>
  </si>
  <si>
    <t>https://fc2.cwa.sellercloud.com/images/products/169667.jpg</t>
  </si>
  <si>
    <t>https://fc2.cwa.sellercloud.com/images/products/160591.jpg</t>
  </si>
  <si>
    <t>https://fc2.cwa.sellercloud.com/images/products/168114.jpg</t>
  </si>
  <si>
    <t>https://fc2.cwa.sellercloud.com/images/products/169115.jpg</t>
  </si>
  <si>
    <t>https://fc2.cwa.sellercloud.com/images/products/163695.jpg</t>
  </si>
  <si>
    <t>https://fc2.cwa.sellercloud.com/images/products/166186.jpg</t>
  </si>
  <si>
    <t>https://fc2.cwa.sellercloud.com/images/products/166437.jpg</t>
  </si>
  <si>
    <t>https://fc2.cwa.sellercloud.com/images/products/168889.jpg</t>
  </si>
  <si>
    <t>https://fc2.cwa.sellercloud.com/images/products/168306.jpg</t>
  </si>
  <si>
    <t>https://fc2.cwa.sellercloud.com/images/products/167604.jpg</t>
  </si>
  <si>
    <t>https://fc2.cwa.sellercloud.com/images/products/166166.jpg</t>
  </si>
  <si>
    <t>https://fc2.cwa.sellercloud.com/images/products/167970.jpg</t>
  </si>
  <si>
    <t>https://fc2.cwa.sellercloud.com/images/products/169890.jpg</t>
  </si>
  <si>
    <t>https://fc2.cwa.sellercloud.com/images/products/167579.jpg</t>
  </si>
  <si>
    <t>https://fc2.cwa.sellercloud.com/images/products/167930.jpg</t>
  </si>
  <si>
    <t>https://fc2.cwa.sellercloud.com/images/products/169091.jpg</t>
  </si>
  <si>
    <t>https://fc2.cwa.sellercloud.com/images/products/167890.jpg</t>
  </si>
  <si>
    <t>https://fc2.cwa.sellercloud.com/images/products/167698.jpg</t>
  </si>
  <si>
    <t>https://fc2.cwa.sellercloud.com/images/products/169078.jpg</t>
  </si>
  <si>
    <t>https://fc2.cwa.sellercloud.com/images/products/167658.jpg</t>
  </si>
  <si>
    <t>https://fc2.cwa.sellercloud.com/images/products/168322.jpg</t>
  </si>
  <si>
    <t>https://fc2.cwa.sellercloud.com/images/products/167137.jpg</t>
  </si>
  <si>
    <t>https://fc2.cwa.sellercloud.com/images/products/168078.jpg</t>
  </si>
  <si>
    <t>https://fc2.cwa.sellercloud.com/images/products/170923.jpg</t>
  </si>
  <si>
    <t>https://fc2.cwa.sellercloud.com/images/products/164037.jpg</t>
  </si>
  <si>
    <t>https://fc2.cwa.sellercloud.com/images/products/160396.jpg</t>
  </si>
  <si>
    <t>https://fc2.cwa.sellercloud.com/images/products/165891.jpg</t>
  </si>
  <si>
    <t>https://fc2.cwa.sellercloud.com/images/products/167399.jpg</t>
  </si>
  <si>
    <t>https://fc2.cwa.sellercloud.com/images/products/167443.jpg</t>
  </si>
  <si>
    <t>https://fc2.cwa.sellercloud.com/images/products/169568.jpg</t>
  </si>
  <si>
    <t>https://fc2.cwa.sellercloud.com/images/products/167710.jpg</t>
  </si>
  <si>
    <t>https://fc2.cwa.sellercloud.com/images/products/165103.jpg</t>
  </si>
  <si>
    <t>https://fc2.cwa.sellercloud.com/images/products/166576.jpg</t>
  </si>
  <si>
    <t>https://fc2.cwa.sellercloud.com/images/products/169743.jpg</t>
  </si>
  <si>
    <t>https://fc2.cwa.sellercloud.com/images/products/163797.jpg</t>
  </si>
  <si>
    <t>https://fc2.cwa.sellercloud.com/images/products/167130.jpg</t>
  </si>
  <si>
    <t>https://fc2.cwa.sellercloud.com/images/products/169222.jpg</t>
  </si>
  <si>
    <t>https://fc2.cwa.sellercloud.com/images/products/160397.jpg</t>
  </si>
  <si>
    <t>https://fc2.cwa.sellercloud.com/images/products/167387.jpg</t>
  </si>
  <si>
    <t>https://fc2.cwa.sellercloud.com/images/products/169887.jpg</t>
  </si>
  <si>
    <t>https://fc2.cwa.sellercloud.com/images/products/166599.jpg</t>
  </si>
  <si>
    <t>https://fc2.cwa.sellercloud.com/images/products/168480.jpg</t>
  </si>
  <si>
    <t>https://fc2.cwa.sellercloud.com/images/products/168142.jpg</t>
  </si>
  <si>
    <t>https://fc2.cwa.sellercloud.com/images/products/163848.jpg</t>
  </si>
  <si>
    <t>https://fc2.cwa.sellercloud.com/images/products/166979.jpg</t>
  </si>
  <si>
    <t>https://fc2.cwa.sellercloud.com/images/products/170844.jpg</t>
  </si>
  <si>
    <t>https://fc2.cwa.sellercloud.com/images/products/168823.jpg</t>
  </si>
  <si>
    <t>https://fc2.cwa.sellercloud.com/images/products/169159.jpg</t>
  </si>
  <si>
    <t>https://fc2.cwa.sellercloud.com/images/products/169399.jpg</t>
  </si>
  <si>
    <t>https://fc2.cwa.sellercloud.com/images/products/169369.jpg</t>
  </si>
  <si>
    <t>https://fc2.cwa.sellercloud.com/images/products/167235.jpg</t>
  </si>
  <si>
    <t>https://fc2.cwa.sellercloud.com/images/products/166994.jpg</t>
  </si>
  <si>
    <t>https://fc2.cwa.sellercloud.com/images/products/169921.jpg</t>
  </si>
  <si>
    <t>https://fc2.cwa.sellercloud.com/images/products/169107.jpg</t>
  </si>
  <si>
    <t>https://fc2.cwa.sellercloud.com/images/products/168186.jpg</t>
  </si>
  <si>
    <t>https://fc2.cwa.sellercloud.com/images/products/168503.jpg</t>
  </si>
  <si>
    <t>https://fc2.cwa.sellercloud.com/images/products/166070.jpg</t>
  </si>
  <si>
    <t>https://fc2.cwa.sellercloud.com/images/products/168819.jpg</t>
  </si>
  <si>
    <t>https://fc2.cwa.sellercloud.com/images/products/169779.jpg</t>
  </si>
  <si>
    <t>https://fc2.cwa.sellercloud.com/images/products/169745.jpg</t>
  </si>
  <si>
    <t>https://fc2.cwa.sellercloud.com/images/products/167439.jpg</t>
  </si>
  <si>
    <t>https://fc2.cwa.sellercloud.com/images/products/167638.jpg</t>
  </si>
  <si>
    <t>https://fc2.cwa.sellercloud.com/images/products/169309.jpg</t>
  </si>
  <si>
    <t>https://fc2.cwa.sellercloud.com/images/products/167159.jpg</t>
  </si>
  <si>
    <t>https://fc2.cwa.sellercloud.com/images/products/169103.jpg</t>
  </si>
  <si>
    <t>https://fc2.cwa.sellercloud.com/images/products/163775.jpg</t>
  </si>
  <si>
    <t>https://fc2.cwa.sellercloud.com/images/products/170380.jpg</t>
  </si>
  <si>
    <t>https://fc2.cwa.sellercloud.com/images/products/169345.jpg</t>
  </si>
  <si>
    <t>https://fc2.cwa.sellercloud.com/images/products/163864.jpg</t>
  </si>
  <si>
    <t>https://fc2.cwa.sellercloud.com/images/products/167205.jpg</t>
  </si>
  <si>
    <t>https://fc2.cwa.sellercloud.com/images/products/170983.jpg</t>
  </si>
  <si>
    <t>https://fc2.cwa.sellercloud.com/images/products/167379.jpg</t>
  </si>
  <si>
    <t>https://fc2.cwa.sellercloud.com/images/products/163744.jpg</t>
  </si>
  <si>
    <t>https://fc2.cwa.sellercloud.com/images/products/171900.jpg</t>
  </si>
  <si>
    <t>https://fc2.cwa.sellercloud.com/images/products/163981.jpg</t>
  </si>
  <si>
    <t>https://fc2.cwa.sellercloud.com/images/products/167458.jpg</t>
  </si>
  <si>
    <t>https://fc2.cwa.sellercloud.com/images/products/167713.jpg</t>
  </si>
  <si>
    <t>https://fc2.cwa.sellercloud.com/images/products/166807.jpg</t>
  </si>
  <si>
    <t>https://fc2.cwa.sellercloud.com/images/products/167118.jpg</t>
  </si>
  <si>
    <t>https://fc2.cwa.sellercloud.com/images/products/167683.jpg</t>
  </si>
  <si>
    <t>https://fc2.cwa.sellercloud.com/images/products/163729.jpg</t>
  </si>
  <si>
    <t>https://fc2.cwa.sellercloud.com/images/products/170547.jpg</t>
  </si>
  <si>
    <t>https://fc2.cwa.sellercloud.com/images/products/168865.jpg</t>
  </si>
  <si>
    <t>https://fc2.cwa.sellercloud.com/images/products/168829.jpg</t>
  </si>
  <si>
    <t>https://fc2.cwa.sellercloud.com/images/products/167671.jpg</t>
  </si>
  <si>
    <t>https://fc2.cwa.sellercloud.com/images/products/167274.jpg</t>
  </si>
  <si>
    <t>https://fc2.cwa.sellercloud.com/images/products/167717.jpg</t>
  </si>
  <si>
    <t>https://fc2.cwa.sellercloud.com/images/products/170644.jpg</t>
  </si>
  <si>
    <t>https://fc2.cwa.sellercloud.com/images/products/169151.jpg</t>
  </si>
  <si>
    <t>https://fc2.cwa.sellercloud.com/images/products/169415.jpg</t>
  </si>
  <si>
    <t>https://fc2.cwa.sellercloud.com/images/products/163799.jpg</t>
  </si>
  <si>
    <t>https://fc2.cwa.sellercloud.com/images/products/169063.jpg</t>
  </si>
  <si>
    <t>https://fc2.cwa.sellercloud.com/images/products/169081.jpg</t>
  </si>
  <si>
    <t>https://fc2.cwa.sellercloud.com/images/products/160588.jpg</t>
  </si>
  <si>
    <t>https://fc2.cwa.sellercloud.com/images/products/167343.jpg</t>
  </si>
  <si>
    <t>https://fc2.cwa.sellercloud.com/images/products/168965.jpg</t>
  </si>
  <si>
    <t>https://fc2.cwa.sellercloud.com/images/products/171053.jpg</t>
  </si>
  <si>
    <t>https://fc2.cwa.sellercloud.com/images/products/169207.jpg</t>
  </si>
  <si>
    <t>https://fc2.cwa.sellercloud.com/images/products/169446.jpg</t>
  </si>
  <si>
    <t>https://fc2.cwa.sellercloud.com/images/products/168898.jpg</t>
  </si>
  <si>
    <t>https://fc2.cwa.sellercloud.com/images/products/160709.jpg</t>
  </si>
  <si>
    <t>https://fc2.cwa.sellercloud.com/images/products/169706.jpg</t>
  </si>
  <si>
    <t>https://fc2.cwa.sellercloud.com/images/products/169006.jpg</t>
  </si>
  <si>
    <t>https://fc2.cwa.sellercloud.com/images/products/169099.jpg</t>
  </si>
  <si>
    <t>https://fc2.cwa.sellercloud.com/images/products/163571.jpg</t>
  </si>
  <si>
    <t>https://fc2.cwa.sellercloud.com/images/products/169797.jpg</t>
  </si>
  <si>
    <t>https://fc2.cwa.sellercloud.com/images/products/163570.jpg</t>
  </si>
  <si>
    <t>https://fc2.cwa.sellercloud.com/images/products/163706.jpg</t>
  </si>
  <si>
    <t>https://fc2.cwa.sellercloud.com/images/products/168698.jpg</t>
  </si>
  <si>
    <t>https://fc2.cwa.sellercloud.com/images/products/169422.jpg</t>
  </si>
  <si>
    <t>https://fc2.cwa.sellercloud.com/images/products/167262.jpg</t>
  </si>
  <si>
    <t>https://fc2.cwa.sellercloud.com/images/products/166947.jpg</t>
  </si>
  <si>
    <t>https://fc2.cwa.sellercloud.com/images/products/169564.jpg</t>
  </si>
  <si>
    <t>https://fc2.cwa.sellercloud.com/images/products/163755.jpg</t>
  </si>
  <si>
    <t>https://fc2.cwa.sellercloud.com/images/products/167174.jpg</t>
  </si>
  <si>
    <t>https://fc2.cwa.sellercloud.com/images/products/169011.jpg</t>
  </si>
  <si>
    <t>https://fc2.cwa.sellercloud.com/images/products/166471.jpg</t>
  </si>
  <si>
    <t>https://fc2.cwa.sellercloud.com/images/products/165776.jpg</t>
  </si>
  <si>
    <t>https://fc2.cwa.sellercloud.com/images/products/168652.jpg</t>
  </si>
  <si>
    <t>https://fc2.cwa.sellercloud.com/images/products/166963.jpg</t>
  </si>
  <si>
    <t>https://fc2.cwa.sellercloud.com/images/products/167407.jpg</t>
  </si>
  <si>
    <t>https://fc2.cwa.sellercloud.com/images/products/166908.jpg</t>
  </si>
  <si>
    <t>https://fc2.cwa.sellercloud.com/images/products/166624.jpg</t>
  </si>
  <si>
    <t>https://fc2.cwa.sellercloud.com/images/products/171011.jpg</t>
  </si>
  <si>
    <t>https://fc2.cwa.sellercloud.com/images/products/170367.jpg</t>
  </si>
  <si>
    <t>https://fc2.cwa.sellercloud.com/images/products/160634.jpg</t>
  </si>
  <si>
    <t>https://fc2.cwa.sellercloud.com/images/products/169038.jpg</t>
  </si>
  <si>
    <t>https://fc2.cwa.sellercloud.com/images/products/168385.jpg</t>
  </si>
  <si>
    <t>https://fc2.cwa.sellercloud.com/images/products/169418.jpg</t>
  </si>
  <si>
    <t>https://fc2.cwa.sellercloud.com/images/products/169486.jpg</t>
  </si>
  <si>
    <t>https://fc2.cwa.sellercloud.com/images/products/168908.jpg</t>
  </si>
  <si>
    <t>https://fc2.cwa.sellercloud.com/images/products/168775.jpg</t>
  </si>
  <si>
    <t>https://fc2.cwa.sellercloud.com/images/products/167027.jpg</t>
  </si>
  <si>
    <t>https://fc2.cwa.sellercloud.com/images/products/164514.jpg</t>
  </si>
  <si>
    <t>https://fc2.cwa.sellercloud.com/images/products/166251.jpg</t>
  </si>
  <si>
    <t>https://fc2.cwa.sellercloud.com/images/products/167023.jpg</t>
  </si>
  <si>
    <t>https://fc2.cwa.sellercloud.com/images/products/164624.jpg</t>
  </si>
  <si>
    <t>https://fc2.cwa.sellercloud.com/images/products/169789.jpg</t>
  </si>
  <si>
    <t>https://fc2.cwa.sellercloud.com/images/products/170414.jpg</t>
  </si>
  <si>
    <t>https://fc2.cwa.sellercloud.com/images/products/166270.jpg</t>
  </si>
  <si>
    <t>https://fc2.cwa.sellercloud.com/images/products/164449.jpg</t>
  </si>
  <si>
    <t>https://fc2.cwa.sellercloud.com/images/products/164933.jpg</t>
  </si>
  <si>
    <t>https://fc2.cwa.sellercloud.com/images/products/164679.jpg</t>
  </si>
  <si>
    <t>https://fc2.cwa.sellercloud.com/images/products/167327.jpg</t>
  </si>
  <si>
    <t>https://fc2.cwa.sellercloud.com/images/products/164653.jpg</t>
  </si>
  <si>
    <t>https://fc2.cwa.sellercloud.com/images/products/166211.jpg</t>
  </si>
  <si>
    <t>https://fc2.cwa.sellercloud.com/images/products/164439.jpg</t>
  </si>
  <si>
    <t>https://fc2.cwa.sellercloud.com/images/products/165756.jpg</t>
  </si>
  <si>
    <t>https://fc2.cwa.sellercloud.com/images/products/169715.jpg</t>
  </si>
  <si>
    <t>https://fc2.cwa.sellercloud.com/images/products/169059.jpg</t>
  </si>
  <si>
    <t>https://fc2.cwa.sellercloud.com/images/products/167850.jpg</t>
  </si>
  <si>
    <t>https://fc2.cwa.sellercloud.com/images/products/166479.jpg</t>
  </si>
  <si>
    <t>https://fc2.cwa.sellercloud.com/images/products/166492.jpg</t>
  </si>
  <si>
    <t>https://fc2.cwa.sellercloud.com/images/products/164519.jpg</t>
  </si>
  <si>
    <t>https://fc2.cwa.sellercloud.com/images/products/164943.jpg</t>
  </si>
  <si>
    <t>https://fc2.cwa.sellercloud.com/images/products/169215.jpg</t>
  </si>
  <si>
    <t>https://fc2.cwa.sellercloud.com/images/products/168444.jpg</t>
  </si>
  <si>
    <t>https://fc2.cwa.sellercloud.com/images/products/168961.jpg</t>
  </si>
  <si>
    <t>https://fc2.cwa.sellercloud.com/images/products/165193.jpg</t>
  </si>
  <si>
    <t>https://fc2.cwa.sellercloud.com/images/products/165736.jpg</t>
  </si>
  <si>
    <t>https://fc2.cwa.sellercloud.com/images/products/164579.jpg</t>
  </si>
  <si>
    <t>https://fc2.cwa.sellercloud.com/images/products/165268.jpg</t>
  </si>
  <si>
    <t>https://fc2.cwa.sellercloud.com/images/products/165173.jpg</t>
  </si>
  <si>
    <t>https://fc2.cwa.sellercloud.com/images/products/165178.jpg</t>
  </si>
  <si>
    <t>https://fc2.cwa.sellercloud.com/images/products/165996.jpg</t>
  </si>
  <si>
    <t>https://fc2.cwa.sellercloud.com/images/products/165940.jpg</t>
  </si>
  <si>
    <t>https://fc2.cwa.sellercloud.com/images/products/165861.jpg</t>
  </si>
  <si>
    <t>https://fc2.cwa.sellercloud.com/images/products/169119.jpg</t>
  </si>
  <si>
    <t>https://fc2.cwa.sellercloud.com/images/products/166191.jpg</t>
  </si>
  <si>
    <t>https://fc2.cwa.sellercloud.com/images/products/165721.jpg</t>
  </si>
  <si>
    <t>https://fc2.cwa.sellercloud.com/images/products/165906.jpg</t>
  </si>
  <si>
    <t>https://fc2.cwa.sellercloud.com/images/products/165961.jpg</t>
  </si>
  <si>
    <t>https://fc2.cwa.sellercloud.com/images/products/164878.jpg</t>
  </si>
  <si>
    <t>https://fc2.cwa.sellercloud.com/images/products/164404.jpg</t>
  </si>
  <si>
    <t>https://fc2.cwa.sellercloud.com/images/products/167814.jpg</t>
  </si>
  <si>
    <t>https://fc2.cwa.sellercloud.com/images/products/168341.jpg</t>
  </si>
  <si>
    <t>https://fc2.cwa.sellercloud.com/images/products/166076.jpg</t>
  </si>
  <si>
    <t>https://fc2.cwa.sellercloud.com/images/products/166026.jpg</t>
  </si>
  <si>
    <t>https://fc2.cwa.sellercloud.com/images/products/169143.jpg</t>
  </si>
  <si>
    <t>https://fc2.cwa.sellercloud.com/images/products/169293.jpg</t>
  </si>
  <si>
    <t>https://fc2.cwa.sellercloud.com/images/products/166105.jpg</t>
  </si>
  <si>
    <t>https://fc2.cwa.sellercloud.com/images/products/169163.jpg</t>
  </si>
  <si>
    <t>https://fc2.cwa.sellercloud.com/images/products/165796.jpg</t>
  </si>
  <si>
    <t>https://fc2.cwa.sellercloud.com/images/products/169722.jpg</t>
  </si>
  <si>
    <t>https://fc2.cwa.sellercloud.com/images/products/168270.jpg</t>
  </si>
  <si>
    <t>https://fc2.cwa.sellercloud.com/images/products/171462.jpg</t>
  </si>
  <si>
    <t>https://fc2.cwa.sellercloud.com/images/products/166328.jpg</t>
  </si>
  <si>
    <t>https://fc2.cwa.sellercloud.com/images/products/163544.jpg</t>
  </si>
  <si>
    <t>https://fc2.cwa.sellercloud.com/images/products/165806.jpg</t>
  </si>
  <si>
    <t>https://fc2.cwa.sellercloud.com/images/products/161040.jpg</t>
  </si>
  <si>
    <t>https://fc2.cwa.sellercloud.com/images/products/165945.jpg</t>
  </si>
  <si>
    <t>https://fc2.cwa.sellercloud.com/images/products/165057.jpg</t>
  </si>
  <si>
    <t>https://fc2.cwa.sellercloud.com/images/products/167250.jpg</t>
  </si>
  <si>
    <t>https://fc2.cwa.sellercloud.com/images/products/169046.jpg</t>
  </si>
  <si>
    <t>https://fc2.cwa.sellercloud.com/images/products/169183.jpg</t>
  </si>
  <si>
    <t>https://fc2.cwa.sellercloud.com/images/products/169049.jpg</t>
  </si>
  <si>
    <t>https://fc2.cwa.sellercloud.com/images/products/165936.jpg</t>
  </si>
  <si>
    <t>https://fc2.cwa.sellercloud.com/images/products/166006.jpg</t>
  </si>
  <si>
    <t>https://fc2.cwa.sellercloud.com/images/products/169269.jpg</t>
  </si>
  <si>
    <t>https://fc2.cwa.sellercloud.com/images/products/169458.jpg</t>
  </si>
  <si>
    <t>https://fc2.cwa.sellercloud.com/images/products/166633.jpg</t>
  </si>
  <si>
    <t>https://fc2.cwa.sellercloud.com/images/products/166274.jpg</t>
  </si>
  <si>
    <t>https://fc2.cwa.sellercloud.com/images/products/164773.jpg</t>
  </si>
  <si>
    <t>https://fc2.cwa.sellercloud.com/images/products/169084.jpg</t>
  </si>
  <si>
    <t>https://fc2.cwa.sellercloud.com/images/products/166662.jpg</t>
  </si>
  <si>
    <t>https://fc2.cwa.sellercloud.com/images/products/169211.jpg</t>
  </si>
  <si>
    <t>https://fc2.cwa.sellercloud.com/images/products/160223.jpg</t>
  </si>
  <si>
    <t>https://fc2.cwa.sellercloud.com/images/products/167954.jpg</t>
  </si>
  <si>
    <t>https://fc2.cwa.sellercloud.com/images/products/167582.jpg</t>
  </si>
  <si>
    <t>https://fc2.cwa.sellercloud.com/images/products/166554.jpg</t>
  </si>
  <si>
    <t>https://fc2.cwa.sellercloud.com/images/products/166241.jpg</t>
  </si>
  <si>
    <t>https://fc2.cwa.sellercloud.com/images/products/169042.jpg</t>
  </si>
  <si>
    <t>https://fc2.cwa.sellercloud.com/images/products/163855.jpg</t>
  </si>
  <si>
    <t>https://fc2.cwa.sellercloud.com/images/products/165820.jpg</t>
  </si>
  <si>
    <t>https://fc2.cwa.sellercloud.com/images/products/163538.jpg</t>
  </si>
  <si>
    <t>https://fc2.cwa.sellercloud.com/images/products/168459.jpg</t>
  </si>
  <si>
    <t>https://fc2.cwa.sellercloud.com/images/products/165167.jpg</t>
  </si>
  <si>
    <t>https://fc2.cwa.sellercloud.com/images/products/168932.jpg</t>
  </si>
  <si>
    <t>https://fc2.cwa.sellercloud.com/images/products/164733.jpg</t>
  </si>
  <si>
    <t>https://fc2.cwa.sellercloud.com/images/products/164918.jpg</t>
  </si>
  <si>
    <t>https://fc2.cwa.sellercloud.com/images/products/163539.jpg</t>
  </si>
  <si>
    <t>https://fc2.cwa.sellercloud.com/images/products/167543.jpg</t>
  </si>
  <si>
    <t>https://fc2.cwa.sellercloud.com/images/products/170978.jpg</t>
  </si>
  <si>
    <t>https://fc2.cwa.sellercloud.com/images/products/163549.jpg</t>
  </si>
  <si>
    <t>https://fc2.cwa.sellercloud.com/images/products/169231.jpg</t>
  </si>
  <si>
    <t>https://fc2.cwa.sellercloud.com/images/products/168042.jpg</t>
  </si>
  <si>
    <t>https://fc2.cwa.sellercloud.com/images/products/168274.jpg</t>
  </si>
  <si>
    <t>https://fc2.cwa.sellercloud.com/images/products/167076.jpg</t>
  </si>
  <si>
    <t>https://fc2.cwa.sellercloud.com/images/products/165786.jpg</t>
  </si>
  <si>
    <t>https://fc2.cwa.sellercloud.com/images/products/164868.jpg</t>
  </si>
  <si>
    <t>https://fc2.cwa.sellercloud.com/images/products/168806.jpg</t>
  </si>
  <si>
    <t>https://fc2.cwa.sellercloud.com/images/products/164708.jpg</t>
  </si>
  <si>
    <t>https://fc2.cwa.sellercloud.com/images/products/167615.jpg</t>
  </si>
  <si>
    <t>https://fc2.cwa.sellercloud.com/images/products/166096.jpg</t>
  </si>
  <si>
    <t>https://fc2.cwa.sellercloud.com/images/products/168266.jpg</t>
  </si>
  <si>
    <t>https://fc2.cwa.sellercloud.com/images/products/169033.jpg</t>
  </si>
  <si>
    <t>https://fc2.cwa.sellercloud.com/images/products/166338.jpg</t>
  </si>
  <si>
    <t>https://fc2.cwa.sellercloud.com/images/products/169191.jpg</t>
  </si>
  <si>
    <t>https://fc2.cwa.sellercloud.com/images/products/164419.jpg</t>
  </si>
  <si>
    <t>https://fc2.cwa.sellercloud.com/images/products/164722.jpg</t>
  </si>
  <si>
    <t>https://fc2.cwa.sellercloud.com/images/products/163630.jpg</t>
  </si>
  <si>
    <t>https://fc2.cwa.sellercloud.com/images/products/163525.jpg</t>
  </si>
  <si>
    <t>https://fc2.cwa.sellercloud.com/images/products/167642.jpg</t>
  </si>
  <si>
    <t>https://fc2.cwa.sellercloud.com/images/products/165955.jpg</t>
  </si>
  <si>
    <t>https://fc2.cwa.sellercloud.com/images/products/168210.jpg</t>
  </si>
  <si>
    <t>https://fc2.cwa.sellercloud.com/images/products/167826.jpg</t>
  </si>
  <si>
    <t>https://fc2.cwa.sellercloud.com/images/products/166912.jpg</t>
  </si>
  <si>
    <t>https://fc2.cwa.sellercloud.com/images/products/167527.jpg</t>
  </si>
  <si>
    <t>https://fc2.cwa.sellercloud.com/images/products/168978.jpg</t>
  </si>
  <si>
    <t>https://fc2.cwa.sellercloud.com/images/products/167675.jpg</t>
  </si>
  <si>
    <t>https://fc2.cwa.sellercloud.com/images/products/169506.jpg</t>
  </si>
  <si>
    <t>https://fc2.cwa.sellercloud.com/images/products/169167.jpg</t>
  </si>
  <si>
    <t>https://fc2.cwa.sellercloud.com/images/products/163636.jpg</t>
  </si>
  <si>
    <t>https://fc2.cwa.sellercloud.com/images/products/166459.jpg</t>
  </si>
  <si>
    <t>https://fc2.cwa.sellercloud.com/images/products/167359.jpg</t>
  </si>
  <si>
    <t>https://fc2.cwa.sellercloud.com/images/products/163543.jpg</t>
  </si>
  <si>
    <t>https://fc2.cwa.sellercloud.com/images/products/168242.jpg</t>
  </si>
  <si>
    <t>https://fc2.cwa.sellercloud.com/images/products/167918.jpg</t>
  </si>
  <si>
    <t>https://fc2.cwa.sellercloud.com/images/products/169770.jpg</t>
  </si>
  <si>
    <t>https://fc2.cwa.sellercloud.com/images/products/164199.jpg</t>
  </si>
  <si>
    <t>https://fc2.cwa.sellercloud.com/images/products/163693.jpg</t>
  </si>
  <si>
    <t>https://fc2.cwa.sellercloud.com/images/products/169123.jpg</t>
  </si>
  <si>
    <t>https://fc2.cwa.sellercloud.com/images/products/166031.jpg</t>
  </si>
  <si>
    <t>https://fc2.cwa.sellercloud.com/images/products/166287.jpg</t>
  </si>
  <si>
    <t>https://fc2.cwa.sellercloud.com/images/products/168587.jpg</t>
  </si>
  <si>
    <t>https://fc2.cwa.sellercloud.com/images/products/165259.jpg</t>
  </si>
  <si>
    <t>https://fc2.cwa.sellercloud.com/images/products/167894.jpg</t>
  </si>
  <si>
    <t>https://fc2.cwa.sellercloud.com/images/products/166080.jpg</t>
  </si>
  <si>
    <t>https://fc2.cwa.sellercloud.com/images/products/167874.jpg</t>
  </si>
  <si>
    <t>https://fc2.cwa.sellercloud.com/images/products/163750.jpg</t>
  </si>
  <si>
    <t>https://fc2.cwa.sellercloud.com/images/products/167804.jpg</t>
  </si>
  <si>
    <t>https://fc2.cwa.sellercloud.com/images/products/168463.jpg</t>
  </si>
  <si>
    <t>https://fc2.cwa.sellercloud.com/images/products/168234.jpg</t>
  </si>
  <si>
    <t>https://fc2.cwa.sellercloud.com/images/products/166735.jpg</t>
  </si>
  <si>
    <t>https://fc2.cwa.sellercloud.com/images/products/166900.jpg</t>
  </si>
  <si>
    <t>https://fc2.cwa.sellercloud.com/images/products/168924.jpg</t>
  </si>
  <si>
    <t>https://fc2.cwa.sellercloud.com/images/products/167084.jpg</t>
  </si>
  <si>
    <t>https://fc2.cwa.sellercloud.com/images/products/168409.jpg</t>
  </si>
  <si>
    <t>https://fc2.cwa.sellercloud.com/images/products/170398.jpg</t>
  </si>
  <si>
    <t>https://fc2.cwa.sellercloud.com/images/products/164978.jpg</t>
  </si>
  <si>
    <t>https://fc2.cwa.sellercloud.com/images/products/165013.jpg</t>
  </si>
  <si>
    <t>https://fc2.cwa.sellercloud.com/images/products/168511.jpg</t>
  </si>
  <si>
    <t>https://fc2.cwa.sellercloud.com/images/products/167193.jpg</t>
  </si>
  <si>
    <t>https://fc2.cwa.sellercloud.com/images/products/168218.jpg</t>
  </si>
  <si>
    <t>https://fc2.cwa.sellercloud.com/images/products/166534.jpg</t>
  </si>
  <si>
    <t>https://fc2.cwa.sellercloud.com/images/products/167485.jpg</t>
  </si>
  <si>
    <t>https://fc2.cwa.sellercloud.com/images/products/167958.jpg</t>
  </si>
  <si>
    <t>https://fc2.cwa.sellercloud.com/images/products/164234.jpg</t>
  </si>
  <si>
    <t>https://fc2.cwa.sellercloud.com/images/products/165711.jpg</t>
  </si>
  <si>
    <t>https://fc2.cwa.sellercloud.com/images/products/168365.jpg</t>
  </si>
  <si>
    <t>https://fc2.cwa.sellercloud.com/images/products/168066.jpg</t>
  </si>
  <si>
    <t>https://fc2.cwa.sellercloud.com/images/products/166935.jpg</t>
  </si>
  <si>
    <t>https://fc2.cwa.sellercloud.com/images/products/170374.jpg</t>
  </si>
  <si>
    <t>https://fc2.cwa.sellercloud.com/images/products/167794.jpg</t>
  </si>
  <si>
    <t>https://fc2.cwa.sellercloud.com/images/products/170993.jpg</t>
  </si>
  <si>
    <t>https://fc2.cwa.sellercloud.com/images/products/167295.jpg</t>
  </si>
  <si>
    <t>https://fc2.cwa.sellercloud.com/images/products/166255.jpg</t>
  </si>
  <si>
    <t>https://fc2.cwa.sellercloud.com/images/products/163535.jpg</t>
  </si>
  <si>
    <t>https://fc2.cwa.sellercloud.com/images/products/168515.jpg</t>
  </si>
  <si>
    <t>https://fc2.cwa.sellercloud.com/images/products/168058.jpg</t>
  </si>
  <si>
    <t>https://fc2.cwa.sellercloud.com/images/products/169297.jpg</t>
  </si>
  <si>
    <t>https://fc2.cwa.sellercloud.com/images/products/168377.jpg</t>
  </si>
  <si>
    <t>https://fc2.cwa.sellercloud.com/images/products/166201.jpg</t>
  </si>
  <si>
    <t>https://fc2.cwa.sellercloud.com/images/products/165252.jpg</t>
  </si>
  <si>
    <t>https://fc2.cwa.sellercloud.com/images/products/164444.jpg</t>
  </si>
  <si>
    <t>https://fc2.cwa.sellercloud.com/images/products/166739.jpg</t>
  </si>
  <si>
    <t>https://fc2.cwa.sellercloud.com/images/products/164857.jpg</t>
  </si>
  <si>
    <t>https://fc2.cwa.sellercloud.com/images/products/169514.jpg</t>
  </si>
  <si>
    <t>https://fc2.cwa.sellercloud.com/images/products/168330.jpg</t>
  </si>
  <si>
    <t>https://fc2.cwa.sellercloud.com/images/products/163654.jpg</t>
  </si>
  <si>
    <t>https://fc2.cwa.sellercloud.com/images/products/165966.jpg</t>
  </si>
  <si>
    <t>https://fc2.cwa.sellercloud.com/images/products/164194.jpg</t>
  </si>
  <si>
    <t>https://fc2.cwa.sellercloud.com/images/products/169498.jpg</t>
  </si>
  <si>
    <t>https://fc2.cwa.sellercloud.com/images/products/160428.jpg</t>
  </si>
  <si>
    <t>https://fc2.cwa.sellercloud.com/images/products/167607.jpg</t>
  </si>
  <si>
    <t>https://fc2.cwa.sellercloud.com/images/products/164628.jpg</t>
  </si>
  <si>
    <t>https://fc2.cwa.sellercloud.com/images/products/167555.jpg</t>
  </si>
  <si>
    <t>https://fc2.cwa.sellercloud.com/images/products/169199.jpg</t>
  </si>
  <si>
    <t>https://fc2.cwa.sellercloud.com/images/products/169372.jpg</t>
  </si>
  <si>
    <t>https://fc2.cwa.sellercloud.com/images/products/167570.jpg</t>
  </si>
  <si>
    <t>https://fc2.cwa.sellercloud.com/images/products/168345.jpg</t>
  </si>
  <si>
    <t>https://fc2.cwa.sellercloud.com/images/products/165063.jpg</t>
  </si>
  <si>
    <t>https://fc2.cwa.sellercloud.com/images/products/160570.jpg</t>
  </si>
  <si>
    <t>https://fc2.cwa.sellercloud.com/images/products/166060.jpg</t>
  </si>
  <si>
    <t>https://fc2.cwa.sellercloud.com/images/products/167451.jpg</t>
  </si>
  <si>
    <t>https://fc2.cwa.sellercloud.com/images/products/167474.jpg</t>
  </si>
  <si>
    <t>https://fc2.cwa.sellercloud.com/images/products/167049.jpg</t>
  </si>
  <si>
    <t>https://fc2.cwa.sellercloud.com/images/products/163766.jpg</t>
  </si>
  <si>
    <t>https://fc2.cwa.sellercloud.com/images/products/166540.jpg</t>
  </si>
  <si>
    <t>https://fc2.cwa.sellercloud.com/images/products/166196.jpg</t>
  </si>
  <si>
    <t>https://fc2.cwa.sellercloud.com/images/products/167619.jpg</t>
  </si>
  <si>
    <t>https://fc2.cwa.sellercloud.com/images/products/169478.jpg</t>
  </si>
  <si>
    <t>https://fc2.cwa.sellercloud.com/images/products/168326.jpg</t>
  </si>
  <si>
    <t>https://fc2.cwa.sellercloud.com/images/products/163575.jpg</t>
  </si>
  <si>
    <t>https://fc2.cwa.sellercloud.com/images/products/163562.jpg</t>
  </si>
  <si>
    <t>https://fc2.cwa.sellercloud.com/images/products/166141.jpg</t>
  </si>
  <si>
    <t>https://fc2.cwa.sellercloud.com/images/products/166015.jpg</t>
  </si>
  <si>
    <t>https://fc2.cwa.sellercloud.com/images/products/166220.jpg</t>
  </si>
  <si>
    <t>https://fc2.cwa.sellercloud.com/images/products/170287.jpg</t>
  </si>
  <si>
    <t>https://fc2.cwa.sellercloud.com/images/products/167611.jpg</t>
  </si>
  <si>
    <t>https://fc2.cwa.sellercloud.com/images/products/167201.jpg</t>
  </si>
  <si>
    <t>https://fc2.cwa.sellercloud.com/images/products/167243.jpg</t>
  </si>
  <si>
    <t>https://fc2.cwa.sellercloud.com/images/products/164214.jpg</t>
  </si>
  <si>
    <t>https://fc2.cwa.sellercloud.com/images/products/166035.jpg</t>
  </si>
  <si>
    <t>https://fc2.cwa.sellercloud.com/images/products/163645.jpg</t>
  </si>
  <si>
    <t>https://fc2.cwa.sellercloud.com/images/products/160388.jpg</t>
  </si>
  <si>
    <t>https://fc2.cwa.sellercloud.com/images/products/161045.jpg</t>
  </si>
  <si>
    <t>https://fc2.cwa.sellercloud.com/images/products/167367.jpg</t>
  </si>
  <si>
    <t>https://fc2.cwa.sellercloud.com/images/products/170849.jpg</t>
  </si>
  <si>
    <t>https://fc2.cwa.sellercloud.com/images/products/167114.jpg</t>
  </si>
  <si>
    <t>https://fc2.cwa.sellercloud.com/images/products/164060.jpg</t>
  </si>
  <si>
    <t>https://fc2.cwa.sellercloud.com/images/products/164039.jpg</t>
  </si>
  <si>
    <t>https://fc2.cwa.sellercloud.com/images/products/167575.jpg</t>
  </si>
  <si>
    <t>https://fc2.cwa.sellercloud.com/images/products/163702.jpg</t>
  </si>
  <si>
    <t>https://fc2.cwa.sellercloud.com/images/products/165825.jpg</t>
  </si>
  <si>
    <t>https://fc2.cwa.sellercloud.com/images/products/160574.jpg</t>
  </si>
  <si>
    <t>https://fc2.cwa.sellercloud.com/images/products/167496.jpg</t>
  </si>
  <si>
    <t>https://fc2.cwa.sellercloud.com/images/products/167500.jpg</t>
  </si>
  <si>
    <t>https://fc2.cwa.sellercloud.com/images/products/163811.jpg</t>
  </si>
  <si>
    <t>https://fc2.cwa.sellercloud.com/images/products/167846.jpg</t>
  </si>
  <si>
    <t>https://fc2.cwa.sellercloud.com/images/products/167838.jpg</t>
  </si>
  <si>
    <t>https://fc2.cwa.sellercloud.com/images/products/167982.jpg</t>
  </si>
  <si>
    <t>https://fc2.cwa.sellercloud.com/images/products/163942.jpg</t>
  </si>
  <si>
    <t>https://fc2.cwa.sellercloud.com/images/products/164084.jpg</t>
  </si>
  <si>
    <t>https://fc2.cwa.sellercloud.com/images/products/167687.jpg</t>
  </si>
  <si>
    <t>https://fc2.cwa.sellercloud.com/images/products/170091.jpg</t>
  </si>
  <si>
    <t>https://fc2.cwa.sellercloud.com/images/products/169891.jpg</t>
  </si>
  <si>
    <t>https://fc2.cwa.sellercloud.com/images/products/166759.jpg</t>
  </si>
  <si>
    <t>https://fc2.cwa.sellercloud.com/images/products/168150.jpg</t>
  </si>
  <si>
    <t>https://fc2.cwa.sellercloud.com/images/products/166799.jpg</t>
  </si>
  <si>
    <t>https://fc2.cwa.sellercloud.com/images/products/167270.jpg</t>
  </si>
  <si>
    <t>https://fc2.cwa.sellercloud.com/images/products/169361.jpg</t>
  </si>
  <si>
    <t>https://fc2.cwa.sellercloud.com/images/products/167431.jpg</t>
  </si>
  <si>
    <t>https://fc2.cwa.sellercloud.com/images/products/169277.jpg</t>
  </si>
  <si>
    <t>https://fc2.cwa.sellercloud.com/images/products/167247.jpg</t>
  </si>
  <si>
    <t>https://fc2.cwa.sellercloud.com/images/products/167134.jpg</t>
  </si>
  <si>
    <t>https://fc2.cwa.sellercloud.com/images/products/167974.jpg</t>
  </si>
  <si>
    <t>https://fc2.cwa.sellercloud.com/images/products/167978.jpg</t>
  </si>
  <si>
    <t>https://fc2.cwa.sellercloud.com/images/products/167170.jpg</t>
  </si>
  <si>
    <t>https://fc2.cwa.sellercloud.com/images/products/171014.jpg</t>
  </si>
  <si>
    <t>https://fc2.cwa.sellercloud.com/images/products/163945.jpg</t>
  </si>
  <si>
    <t>https://fc2.cwa.sellercloud.com/images/products/167015.jpg</t>
  </si>
  <si>
    <t>https://fc2.cwa.sellercloud.com/images/products/166880.jpg</t>
  </si>
  <si>
    <t>https://fc2.cwa.sellercloud.com/images/products/166367.jpg</t>
  </si>
  <si>
    <t>https://fc2.cwa.sellercloud.com/images/products/163587.jpg</t>
  </si>
  <si>
    <t>https://fc2.cwa.sellercloud.com/images/products/163660.jpg</t>
  </si>
  <si>
    <t>https://fc2.cwa.sellercloud.com/images/products/167227.jpg</t>
  </si>
  <si>
    <t>https://fc2.cwa.sellercloud.com/images/products/170386.jpg</t>
  </si>
  <si>
    <t>https://fc2.cwa.sellercloud.com/images/products/169918.jpg</t>
  </si>
  <si>
    <t>https://fc2.cwa.sellercloud.com/images/products/166892.jpg</t>
  </si>
  <si>
    <t>https://fc2.cwa.sellercloud.com/images/products/166872.jpg</t>
  </si>
  <si>
    <t>https://fc2.cwa.sellercloud.com/images/products/169502.jpg</t>
  </si>
  <si>
    <t>https://fc2.cwa.sellercloud.com/images/products/167466.jpg</t>
  </si>
  <si>
    <t>https://fc2.cwa.sellercloud.com/images/products/163921.jpg</t>
  </si>
  <si>
    <t>https://fc2.cwa.sellercloud.com/images/products/170394.jpg</t>
  </si>
  <si>
    <t>https://fc2.cwa.sellercloud.com/images/products/167239.jpg</t>
  </si>
  <si>
    <t>https://fc2.cwa.sellercloud.com/images/products/166703.jpg</t>
  </si>
  <si>
    <t>https://fc2.cwa.sellercloud.com/images/products/167108.jpg</t>
  </si>
  <si>
    <t>https://fc2.cwa.sellercloud.com/images/products/167220.jpg</t>
  </si>
  <si>
    <t>https://fc2.cwa.sellercloud.com/images/products/169895.jpg</t>
  </si>
  <si>
    <t>https://fc2.cwa.sellercloud.com/images/products/167994.jpg</t>
  </si>
  <si>
    <t>https://fc2.cwa.sellercloud.com/images/products/170191.jpg</t>
  </si>
  <si>
    <t>https://fc2.cwa.sellercloud.com/images/products/167197.jpg</t>
  </si>
  <si>
    <t>https://fc2.cwa.sellercloud.com/images/products/166727.jpg</t>
  </si>
  <si>
    <t>https://fc2.cwa.sellercloud.com/images/products/165990.jpg</t>
  </si>
  <si>
    <t>https://fc2.cwa.sellercloud.com/images/products/164758.jpg</t>
  </si>
  <si>
    <t>https://fc2.cwa.sellercloud.com/images/products/167371.jpg</t>
  </si>
  <si>
    <t>https://fc2.cwa.sellercloud.com/images/products/168130.jpg</t>
  </si>
  <si>
    <t>https://fc2.cwa.sellercloud.com/images/products/167363.jpg</t>
  </si>
  <si>
    <t>https://fc2.cwa.sellercloud.com/images/products/169391.jpg</t>
  </si>
  <si>
    <t>https://fc2.cwa.sellercloud.com/images/products/166384.jpg</t>
  </si>
  <si>
    <t>https://fc2.cwa.sellercloud.com/images/products/166743.jpg</t>
  </si>
  <si>
    <t>https://fc2.cwa.sellercloud.com/images/products/167031.jpg</t>
  </si>
  <si>
    <t>https://fc2.cwa.sellercloud.com/images/products/165931.jpg</t>
  </si>
  <si>
    <t>https://fc2.cwa.sellercloud.com/images/products/169470.jpg</t>
  </si>
  <si>
    <t>https://fc2.cwa.sellercloud.com/images/products/167427.jpg</t>
  </si>
  <si>
    <t>https://fc2.cwa.sellercloud.com/images/products/166546.jpg</t>
  </si>
  <si>
    <t>https://fc2.cwa.sellercloud.com/images/products/166301.jpg</t>
  </si>
  <si>
    <t>https://fc2.cwa.sellercloud.com/images/products/164848.jpg</t>
  </si>
  <si>
    <t>https://fc2.cwa.sellercloud.com/images/products/171047.jpg</t>
  </si>
  <si>
    <t>https://fc2.cwa.sellercloud.com/images/products/167667.jpg</t>
  </si>
  <si>
    <t>https://fc2.cwa.sellercloud.com/images/products/163906.jpg</t>
  </si>
  <si>
    <t>https://fc2.cwa.sellercloud.com/images/products/166990.jpg</t>
  </si>
  <si>
    <t>https://fc2.cwa.sellercloud.com/images/products/163943.jpg</t>
  </si>
  <si>
    <t>https://fc2.cwa.sellercloud.com/images/products/165317.jpg</t>
  </si>
  <si>
    <t>https://fc2.cwa.sellercloud.com/images/products/165108.jpg</t>
  </si>
  <si>
    <t>https://fc2.cwa.sellercloud.com/images/products/169411.jpg</t>
  </si>
  <si>
    <t>https://fc2.cwa.sellercloud.com/images/products/163884.jpg</t>
  </si>
  <si>
    <t>https://fc2.cwa.sellercloud.com/images/products/166216.jpg</t>
  </si>
  <si>
    <t>https://fc2.cwa.sellercloud.com/images/products/169907.jpg</t>
  </si>
  <si>
    <t>https://fc2.cwa.sellercloud.com/images/products/165981.jpg</t>
  </si>
  <si>
    <t>https://fc2.cwa.sellercloud.com/images/products/163894.jpg</t>
  </si>
  <si>
    <t>https://fc2.cwa.sellercloud.com/images/products/167946.jpg</t>
  </si>
  <si>
    <t>https://fc2.cwa.sellercloud.com/images/products/167922.jpg</t>
  </si>
  <si>
    <t>https://fc2.cwa.sellercloud.com/images/products/168849.jpg</t>
  </si>
  <si>
    <t>https://fc2.cwa.sellercloud.com/images/products/169909.jpg</t>
  </si>
  <si>
    <t>https://fc2.cwa.sellercloud.com/images/products/167152.jpg</t>
  </si>
  <si>
    <t>https://fc2.cwa.sellercloud.com/images/products/168134.jpg</t>
  </si>
  <si>
    <t>https://fc2.cwa.sellercloud.com/images/products/169227.jpg</t>
  </si>
  <si>
    <t>https://fc2.cwa.sellercloud.com/images/products/168310.jpg</t>
  </si>
  <si>
    <t>https://fc2.cwa.sellercloud.com/images/products/167287.jpg</t>
  </si>
  <si>
    <t>https://fc2.cwa.sellercloud.com/images/products/170400.jpg</t>
  </si>
  <si>
    <t>https://fc2.cwa.sellercloud.com/images/products/166419.jpg</t>
  </si>
  <si>
    <t>https://fc2.cwa.sellercloud.com/images/products/166000.jpg</t>
  </si>
  <si>
    <t>https://fc2.cwa.sellercloud.com/images/products/163679.jpg</t>
  </si>
  <si>
    <t>https://fc2.cwa.sellercloud.com/images/products/166145.jpg</t>
  </si>
  <si>
    <t>https://fc2.cwa.sellercloud.com/images/products/166955.jpg</t>
  </si>
  <si>
    <t>https://fc2.cwa.sellercloud.com/images/products/165158.jpg</t>
  </si>
  <si>
    <t>https://fc2.cwa.sellercloud.com/images/products/168290.jpg</t>
  </si>
  <si>
    <t>https://fc2.cwa.sellercloud.com/images/products/167254.jpg</t>
  </si>
  <si>
    <t>https://fc2.cwa.sellercloud.com/images/products/166839.jpg</t>
  </si>
  <si>
    <t>https://fc2.cwa.sellercloud.com/images/products/168468.jpg</t>
  </si>
  <si>
    <t>https://fc2.cwa.sellercloud.com/images/products/167809.jpg</t>
  </si>
  <si>
    <t>https://fc2.cwa.sellercloud.com/images/products/168230.jpg</t>
  </si>
  <si>
    <t>https://fc2.cwa.sellercloud.com/images/products/160669.jpg</t>
  </si>
  <si>
    <t>https://fc2.cwa.sellercloud.com/images/products/160540.jpg</t>
  </si>
  <si>
    <t>https://fc2.cwa.sellercloud.com/images/products/164046.jpg</t>
  </si>
  <si>
    <t>https://fc2.cwa.sellercloud.com/images/products/164012.jpg</t>
  </si>
  <si>
    <t>https://fc2.cwa.sellercloud.com/images/products/164209.jpg</t>
  </si>
  <si>
    <t>https://fc2.cwa.sellercloud.com/images/products/168495.jpg</t>
  </si>
  <si>
    <t>https://fc2.cwa.sellercloud.com/images/products/165915.jpg</t>
  </si>
  <si>
    <t>https://fc2.cwa.sellercloud.com/images/products/170433.jpg</t>
  </si>
  <si>
    <t>https://fc2.cwa.sellercloud.com/images/products/164574.jpg</t>
  </si>
  <si>
    <t>https://fc2.cwa.sellercloud.com/images/products/163698.jpg</t>
  </si>
  <si>
    <t>https://fc2.cwa.sellercloud.com/images/products/164114.jpg</t>
  </si>
  <si>
    <t>https://fc2.cwa.sellercloud.com/images/products/166731.jpg</t>
  </si>
  <si>
    <t>https://fc2.cwa.sellercloud.com/images/products/166649.jpg</t>
  </si>
  <si>
    <t>https://fc2.cwa.sellercloud.com/images/products/163627.jpg</t>
  </si>
  <si>
    <t>https://fc2.cwa.sellercloud.com/images/products/169917.jpg</t>
  </si>
  <si>
    <t>https://fc2.cwa.sellercloud.com/images/products/164089.jpg</t>
  </si>
  <si>
    <t>https://fc2.cwa.sellercloud.com/images/products/166715.jpg</t>
  </si>
  <si>
    <t>https://fc2.cwa.sellercloud.com/images/products/166641.jpg</t>
  </si>
  <si>
    <t>https://fc2.cwa.sellercloud.com/images/products/166971.jpg</t>
  </si>
  <si>
    <t>https://fc2.cwa.sellercloud.com/images/products/169454.jpg</t>
  </si>
  <si>
    <t>https://fc2.cwa.sellercloud.com/images/products/164569.jpg</t>
  </si>
  <si>
    <t>https://fc2.cwa.sellercloud.com/images/products/164368.jpg</t>
  </si>
  <si>
    <t>https://fc2.cwa.sellercloud.com/images/products/166275.jpg</t>
  </si>
  <si>
    <t>https://fc2.cwa.sellercloud.com/images/products/166246.jpg</t>
  </si>
  <si>
    <t>https://fc2.cwa.sellercloud.com/images/products/170583.jpg</t>
  </si>
  <si>
    <t>https://fc2.cwa.sellercloud.com/images/products/160565.jpg</t>
  </si>
  <si>
    <t>https://fc2.cwa.sellercloud.com/images/products/166780.jpg</t>
  </si>
  <si>
    <t>https://fc2.cwa.sellercloud.com/images/products/167942.jpg</t>
  </si>
  <si>
    <t>https://fc2.cwa.sellercloud.com/images/products/167940.jpg</t>
  </si>
  <si>
    <t>https://fc2.cwa.sellercloud.com/images/products/166795.jpg</t>
  </si>
  <si>
    <t>https://fc2.cwa.sellercloud.com/images/products/164639.jpg</t>
  </si>
  <si>
    <t>https://fc2.cwa.sellercloud.com/images/products/167508.jpg</t>
  </si>
  <si>
    <t>https://fc2.cwa.sellercloud.com/images/products/165781.jpg</t>
  </si>
  <si>
    <t>https://fc2.cwa.sellercloud.com/images/products/167099.jpg</t>
  </si>
  <si>
    <t>https://fc2.cwa.sellercloud.com/images/products/168369.jpg</t>
  </si>
  <si>
    <t>https://fc2.cwa.sellercloud.com/images/products/169560.jpg</t>
  </si>
  <si>
    <t>https://fc2.cwa.sellercloud.com/images/products/166269.jpg</t>
  </si>
  <si>
    <t>https://fc2.cwa.sellercloud.com/images/products/167052.jpg</t>
  </si>
  <si>
    <t>https://fc2.cwa.sellercloud.com/images/products/160510.jpg</t>
  </si>
  <si>
    <t>https://fc2.cwa.sellercloud.com/images/products/169395.jpg</t>
  </si>
  <si>
    <t>https://fc2.cwa.sellercloud.com/images/products/168250.jpg</t>
  </si>
  <si>
    <t>https://fc2.cwa.sellercloud.com/images/products/166125.jpg</t>
  </si>
  <si>
    <t>https://fc2.cwa.sellercloud.com/images/products/168448.jpg</t>
  </si>
  <si>
    <t>https://fc2.cwa.sellercloud.com/images/products/169897.jpg</t>
  </si>
  <si>
    <t>https://fc2.cwa.sellercloud.com/images/products/170119.jpg</t>
  </si>
  <si>
    <t>https://fc2.cwa.sellercloud.com/images/products/169384.jpg</t>
  </si>
  <si>
    <t>https://fc2.cwa.sellercloud.com/images/products/167886.jpg</t>
  </si>
  <si>
    <t>https://fc2.cwa.sellercloud.com/images/products/168436.jpg</t>
  </si>
  <si>
    <t>https://fc2.cwa.sellercloud.com/images/products/167623.jpg</t>
  </si>
  <si>
    <t>https://fc2.cwa.sellercloud.com/images/products/168405.jpg</t>
  </si>
  <si>
    <t>https://fc2.cwa.sellercloud.com/images/products/166711.jpg</t>
  </si>
  <si>
    <t>https://fc2.cwa.sellercloud.com/images/products/169592.jpg</t>
  </si>
  <si>
    <t>https://fc2.cwa.sellercloud.com/images/products/169766.jpg</t>
  </si>
  <si>
    <t>https://fc2.cwa.sellercloud.com/images/products/163798.jpg</t>
  </si>
  <si>
    <t>https://fc2.cwa.sellercloud.com/images/products/160432.jpg</t>
  </si>
  <si>
    <t>https://fc2.cwa.sellercloud.com/images/products/168479.jpg</t>
  </si>
  <si>
    <t>https://fc2.cwa.sellercloud.com/images/products/165921.jpg</t>
  </si>
  <si>
    <t>https://fc2.cwa.sellercloud.com/images/products/164469.jpg</t>
  </si>
  <si>
    <t>https://fc2.cwa.sellercloud.com/images/products/160374.jpg</t>
  </si>
  <si>
    <t>https://fc2.cwa.sellercloud.com/images/products/167818.jpg</t>
  </si>
  <si>
    <t>https://fc2.cwa.sellercloud.com/images/products/169434.jpg</t>
  </si>
  <si>
    <t>https://fc2.cwa.sellercloud.com/images/products/168034.jpg</t>
  </si>
  <si>
    <t>https://fc2.cwa.sellercloud.com/images/products/164074.jpg</t>
  </si>
  <si>
    <t>https://fc2.cwa.sellercloud.com/images/products/153057.jpg</t>
  </si>
  <si>
    <t>https://fc2.cwa.sellercloud.com/images/products/160234.jpg</t>
  </si>
  <si>
    <t>https://fc2.cwa.sellercloud.com/images/products/164593.jpg</t>
  </si>
  <si>
    <t>https://fc2.cwa.sellercloud.com/images/products/167010.jpg</t>
  </si>
  <si>
    <t>https://fc2.cwa.sellercloud.com/images/products/168713.jpg</t>
  </si>
  <si>
    <t>https://fc2.cwa.sellercloud.com/images/products/160265.jpg</t>
  </si>
  <si>
    <t>https://fc2.cwa.sellercloud.com/images/products/160236.jpg</t>
  </si>
  <si>
    <t>https://fc2.cwa.sellercloud.com/images/products/169556.jpg</t>
  </si>
  <si>
    <t>https://fc2.cwa.sellercloud.com/images/products/160708.jpg</t>
  </si>
  <si>
    <t>https://fc2.cwa.sellercloud.com/images/products/164115.jpg</t>
  </si>
  <si>
    <t>https://fc2.cwa.sellercloud.com/images/products/167830.jpg</t>
  </si>
  <si>
    <t>https://fc2.cwa.sellercloud.com/images/products/168814.jpg</t>
  </si>
  <si>
    <t>https://fc2.cwa.sellercloud.com/images/products/164093.jpg</t>
  </si>
  <si>
    <t>https://fc2.cwa.sellercloud.com/images/products/169916.jpg</t>
  </si>
  <si>
    <t>https://fc2.cwa.sellercloud.com/images/products/171080.jpg</t>
  </si>
  <si>
    <t>https://fc2.cwa.sellercloud.com/images/products/160384.jpg</t>
  </si>
  <si>
    <t>https://fc2.cwa.sellercloud.com/images/products/170730.jpg</t>
  </si>
  <si>
    <t>https://fc2.cwa.sellercloud.com/images/products/164838.jpg</t>
  </si>
  <si>
    <t>https://fc2.cwa.sellercloud.com/images/products/165811.jpg</t>
  </si>
  <si>
    <t>https://fc2.cwa.sellercloud.com/images/products/167122.jpg</t>
  </si>
  <si>
    <t>https://fc2.cwa.sellercloud.com/images/products/160383.jpg</t>
  </si>
  <si>
    <t>https://fc2.cwa.sellercloud.com/images/products/169783.jpg</t>
  </si>
  <si>
    <t>https://fc2.cwa.sellercloud.com/images/products/166538.jpg</t>
  </si>
  <si>
    <t>https://fc2.cwa.sellercloud.com/images/products/160707.jpg</t>
  </si>
  <si>
    <t>https://fc2.cwa.sellercloud.com/images/products/167854.jpg</t>
  </si>
  <si>
    <t>https://fc2.cwa.sellercloud.com/images/products/160264.jpg</t>
  </si>
  <si>
    <t>https://fc2.cwa.sellercloud.com/images/products/166975.jpg</t>
  </si>
  <si>
    <t>https://fc2.cwa.sellercloud.com/images/products/160325.jpg</t>
  </si>
  <si>
    <t>https://fc2.cwa.sellercloud.com/images/products/169749.jpg</t>
  </si>
  <si>
    <t>https://fc2.cwa.sellercloud.com/images/products/160258.jpg</t>
  </si>
  <si>
    <t>https://fc2.cwa.sellercloud.com/images/products/160460.jpg</t>
  </si>
  <si>
    <t>https://fc2.cwa.sellercloud.com/images/products/169765.jpg</t>
  </si>
  <si>
    <t>https://fc2.cwa.sellercloud.com/images/products/171585.jpg</t>
  </si>
  <si>
    <t>https://fc2.cwa.sellercloud.com/images/products/166358.jpg</t>
  </si>
  <si>
    <t>https://fc2.cwa.sellercloud.com/images/products/160202.jpg</t>
  </si>
  <si>
    <t>https://fc2.cwa.sellercloud.com/images/products/160590.jpg</t>
  </si>
  <si>
    <t>https://fc2.cwa.sellercloud.com/images/products/171129.jpg</t>
  </si>
  <si>
    <t>https://fc2.cwa.sellercloud.com/images/products/168018.jpg</t>
  </si>
  <si>
    <t>https://fc2.cwa.sellercloud.com/images/products/160638.jpg</t>
  </si>
  <si>
    <t>https://fc2.cwa.sellercloud.com/images/products/169782.jpg</t>
  </si>
  <si>
    <t>https://fc2.cwa.sellercloud.com/images/products/170636.jpg</t>
  </si>
  <si>
    <t>https://fc2.cwa.sellercloud.com/images/products/163937.jpg</t>
  </si>
  <si>
    <t>https://fc2.cwa.sellercloud.com/images/products/160260.jpg</t>
  </si>
  <si>
    <t>https://fc2.cwa.sellercloud.com/images/products/167323.jpg</t>
  </si>
  <si>
    <t>https://fc2.cwa.sellercloud.com/images/products/166522.jpg</t>
  </si>
  <si>
    <t>https://fc2.cwa.sellercloud.com/images/products/166863.jpg</t>
  </si>
  <si>
    <t>https://fc2.cwa.sellercloud.com/images/products/166429.jpg</t>
  </si>
  <si>
    <t>https://fc2.cwa.sellercloud.com/images/products/170640.jpg</t>
  </si>
  <si>
    <t>https://fc2.cwa.sellercloud.com/images/products/168146.jpg</t>
  </si>
  <si>
    <t>https://fc2.cwa.sellercloud.com/images/products/171463.jpg</t>
  </si>
  <si>
    <t>https://fc2.cwa.sellercloud.com/images/products/169662.jpg</t>
  </si>
  <si>
    <t>https://fc2.cwa.sellercloud.com/images/products/160710.jpg</t>
  </si>
  <si>
    <t>https://fc2.cwa.sellercloud.com/images/products/160647.jpg</t>
  </si>
  <si>
    <t>https://fc2.cwa.sellercloud.com/images/products/164229.jpg</t>
  </si>
  <si>
    <t>https://fc2.cwa.sellercloud.com/images/products/160683.jpg</t>
  </si>
  <si>
    <t>https://fc2.cwa.sellercloud.com/images/products/168194.jpg</t>
  </si>
  <si>
    <t>https://fc2.cwa.sellercloud.com/images/products/169247.jpg</t>
  </si>
  <si>
    <t>https://fc2.cwa.sellercloud.com/images/products/167679.jpg</t>
  </si>
  <si>
    <t>https://fc2.cwa.sellercloud.com/images/products/170087.jpg</t>
  </si>
  <si>
    <t>https://fc2.cwa.sellercloud.com/images/products/160603.jpg</t>
  </si>
  <si>
    <t>https://fc2.cwa.sellercloud.com/images/products/160648.jpg</t>
  </si>
  <si>
    <t>https://fc2.cwa.sellercloud.com/images/products/166884.jpg</t>
  </si>
  <si>
    <t>https://fc2.cwa.sellercloud.com/images/products/160694.jpg</t>
  </si>
  <si>
    <t>https://fc2.cwa.sellercloud.com/images/products/171504.jpg</t>
  </si>
  <si>
    <t>https://fc2.cwa.sellercloud.com/images/products/168735.jpg</t>
  </si>
  <si>
    <t>https://fc2.cwa.sellercloud.com/images/products/164091.jpg</t>
  </si>
  <si>
    <t>https://fc2.cwa.sellercloud.com/images/products/170263.jpg</t>
  </si>
  <si>
    <t>https://fc2.cwa.sellercloud.com/images/products/167339.jpg</t>
  </si>
  <si>
    <t>https://fc2.cwa.sellercloud.com/images/products/160337.jpg</t>
  </si>
  <si>
    <t>https://fc2.cwa.sellercloud.com/images/products/168527.jpg</t>
  </si>
  <si>
    <t>https://fc2.cwa.sellercloud.com/images/products/160687.jpg</t>
  </si>
  <si>
    <t>https://fc2.cwa.sellercloud.com/images/products/160704.jpg</t>
  </si>
  <si>
    <t>https://fc2.cwa.sellercloud.com/images/products/171563.jpg</t>
  </si>
  <si>
    <t>https://fc2.cwa.sellercloud.com/images/products/167163.jpg</t>
  </si>
  <si>
    <t>https://fc2.cwa.sellercloud.com/images/products/169768.jpg</t>
  </si>
  <si>
    <t>https://fc2.cwa.sellercloud.com/images/products/170211.jpg</t>
  </si>
  <si>
    <t>https://fc2.cwa.sellercloud.com/images/products/170271.jpg</t>
  </si>
  <si>
    <t>https://fc2.cwa.sellercloud.com/images/products/160563.jpg</t>
  </si>
  <si>
    <t>https://fc2.cwa.sellercloud.com/images/products/160585.jpg</t>
  </si>
  <si>
    <t>https://fc2.cwa.sellercloud.com/images/products/169810.jpg</t>
  </si>
  <si>
    <t>https://fc2.cwa.sellercloud.com/images/products/160287.jpg</t>
  </si>
  <si>
    <t>https://fc2.cwa.sellercloud.com/images/products/168630.jpg</t>
  </si>
  <si>
    <t>https://fc2.cwa.sellercloud.com/images/products/160534.jpg</t>
  </si>
  <si>
    <t>https://fc2.cwa.sellercloud.com/images/products/160682.jpg</t>
  </si>
  <si>
    <t>https://fc2.cwa.sellercloud.com/images/products/160741.jpg</t>
  </si>
  <si>
    <t>https://fc2.cwa.sellercloud.com/images/products/168349.jpg</t>
  </si>
  <si>
    <t>https://fc2.cwa.sellercloud.com/images/products/170741.jpg</t>
  </si>
  <si>
    <t>https://fc2.cwa.sellercloud.com/images/products/160580.jpg</t>
  </si>
  <si>
    <t>https://fc2.cwa.sellercloud.com/images/products/170749.jpg</t>
  </si>
  <si>
    <t>https://fc2.cwa.sellercloud.com/images/products/169407.jpg</t>
  </si>
  <si>
    <t>https://fc2.cwa.sellercloud.com/images/products/170291.jpg</t>
  </si>
  <si>
    <t>https://fc2.cwa.sellercloud.com/images/products/167559.jpg</t>
  </si>
  <si>
    <t>https://fc2.cwa.sellercloud.com/images/products/160361.jpg</t>
  </si>
  <si>
    <t>https://fc2.cwa.sellercloud.com/images/products/170357.jpg</t>
  </si>
  <si>
    <t>https://fc2.cwa.sellercloud.com/images/products/168452.jpg</t>
  </si>
  <si>
    <t>https://fc2.cwa.sellercloud.com/images/products/171601.jpg</t>
  </si>
  <si>
    <t>https://fc2.cwa.sellercloud.com/images/products/166265.jpg</t>
  </si>
  <si>
    <t>https://fc2.cwa.sellercloud.com/images/products/170996.jpg</t>
  </si>
  <si>
    <t>https://fc2.cwa.sellercloud.com/images/products/169266.jpg</t>
  </si>
  <si>
    <t>https://fc2.cwa.sellercloud.com/images/products/166645.jpg</t>
  </si>
  <si>
    <t>https://fc2.cwa.sellercloud.com/images/products/171059.jpg</t>
  </si>
  <si>
    <t>https://fc2.cwa.sellercloud.com/images/products/166959.jpg</t>
  </si>
  <si>
    <t>https://fc2.cwa.sellercloud.com/images/products/169376.jpg</t>
  </si>
  <si>
    <t>https://fc2.cwa.sellercloud.com/images/products/170769.jpg</t>
  </si>
  <si>
    <t>https://fc2.cwa.sellercloud.com/images/products/168432.jpg</t>
  </si>
  <si>
    <t>https://fc2.cwa.sellercloud.com/images/products/160535.jpg</t>
  </si>
  <si>
    <t>https://fc2.cwa.sellercloud.com/images/products/167019.jpg</t>
  </si>
  <si>
    <t>https://fc2.cwa.sellercloud.com/images/products/165730.jpg</t>
  </si>
  <si>
    <t>https://fc2.cwa.sellercloud.com/images/products/169704.jpg</t>
  </si>
  <si>
    <t>https://fc2.cwa.sellercloud.com/images/products/170987.jpg</t>
  </si>
  <si>
    <t>https://fc2.cwa.sellercloud.com/images/products/166451.jpg</t>
  </si>
  <si>
    <t>https://fc2.cwa.sellercloud.com/images/products/160308.jpg</t>
  </si>
  <si>
    <t>https://fc2.cwa.sellercloud.com/images/products/168523.jpg</t>
  </si>
  <si>
    <t>https://fc2.cwa.sellercloud.com/images/products/168054.jpg</t>
  </si>
  <si>
    <t>https://fc2.cwa.sellercloud.com/images/products/170817.jpg</t>
  </si>
  <si>
    <t>https://fc2.cwa.sellercloud.com/images/products/160663.jpg</t>
  </si>
  <si>
    <t>https://fc2.cwa.sellercloud.com/images/products/160331.jpg</t>
  </si>
  <si>
    <t>https://fc2.cwa.sellercloud.com/images/products/167539.jpg</t>
  </si>
  <si>
    <t>https://fc2.cwa.sellercloud.com/images/products/170183.jpg</t>
  </si>
  <si>
    <t>https://fc2.cwa.sellercloud.com/images/products/166131.jpg</t>
  </si>
  <si>
    <t>https://fc2.cwa.sellercloud.com/images/products/168609.jpg</t>
  </si>
  <si>
    <t>https://fc2.cwa.sellercloud.com/images/products/170793.jpg</t>
  </si>
  <si>
    <t>https://fc2.cwa.sellercloud.com/images/products/169776.jpg</t>
  </si>
  <si>
    <t>https://fc2.cwa.sellercloud.com/images/products/166620.jpg</t>
  </si>
  <si>
    <t>https://fc2.cwa.sellercloud.com/images/products/160342.jpg</t>
  </si>
  <si>
    <t>https://fc2.cwa.sellercloud.com/images/products/166056.jpg</t>
  </si>
  <si>
    <t>https://fc2.cwa.sellercloud.com/images/products/169462.jpg</t>
  </si>
  <si>
    <t>https://fc2.cwa.sellercloud.com/images/products/160685.jpg</t>
  </si>
  <si>
    <t>https://fc2.cwa.sellercloud.com/images/products/168994.jpg</t>
  </si>
  <si>
    <t>https://fc2.cwa.sellercloud.com/images/products/170773.jpg</t>
  </si>
  <si>
    <t>https://fc2.cwa.sellercloud.com/images/products/166819.jpg</t>
  </si>
  <si>
    <t>https://fc2.cwa.sellercloud.com/images/products/160616.jpg</t>
  </si>
  <si>
    <t>https://fc2.cwa.sellercloud.com/images/products/160328.jpg</t>
  </si>
  <si>
    <t>https://fc2.cwa.sellercloud.com/images/products/166943.jpg</t>
  </si>
  <si>
    <t>https://fc2.cwa.sellercloud.com/images/products/170167.jpg</t>
  </si>
  <si>
    <t>https://fc2.cwa.sellercloud.com/images/products/170295.jpg</t>
  </si>
  <si>
    <t>https://fc2.cwa.sellercloud.com/images/products/160204.jpg</t>
  </si>
  <si>
    <t>https://fc2.cwa.sellercloud.com/images/products/160641.jpg</t>
  </si>
  <si>
    <t>https://fc2.cwa.sellercloud.com/images/products/169588.jpg</t>
  </si>
  <si>
    <t>https://fc2.cwa.sellercloud.com/images/products/160425.jpg</t>
  </si>
  <si>
    <t>https://fc2.cwa.sellercloud.com/images/products/166066.jpg</t>
  </si>
  <si>
    <t>https://fc2.cwa.sellercloud.com/images/products/160343.jpg</t>
  </si>
  <si>
    <t>https://fc2.cwa.sellercloud.com/images/products/160449.jpg</t>
  </si>
  <si>
    <t>https://fc2.cwa.sellercloud.com/images/products/170611.jpg</t>
  </si>
  <si>
    <t>https://fc2.cwa.sellercloud.com/images/products/164783.jpg</t>
  </si>
  <si>
    <t>https://fc2.cwa.sellercloud.com/images/products/168154.jpg</t>
  </si>
  <si>
    <t>https://fc2.cwa.sellercloud.com/images/products/160630.jpg</t>
  </si>
  <si>
    <t>https://fc2.cwa.sellercloud.com/images/products/165770.jpg</t>
  </si>
  <si>
    <t>https://fc2.cwa.sellercloud.com/images/products/166692.jpg</t>
  </si>
  <si>
    <t>https://fc2.cwa.sellercloud.com/images/products/170777.jpg</t>
  </si>
  <si>
    <t>https://fc2.cwa.sellercloud.com/images/products/167962.jpg</t>
  </si>
  <si>
    <t>https://fc2.cwa.sellercloud.com/images/products/167072.jpg</t>
  </si>
  <si>
    <t>https://fc2.cwa.sellercloud.com/images/products/160367.jpg</t>
  </si>
  <si>
    <t>https://fc2.cwa.sellercloud.com/images/products/160304.jpg</t>
  </si>
  <si>
    <t>https://fc2.cwa.sellercloud.com/images/products/160569.jpg</t>
  </si>
  <si>
    <t>https://fc2.cwa.sellercloud.com/images/products/160596.jpg</t>
  </si>
  <si>
    <t>https://fc2.cwa.sellercloud.com/images/products/168519.jpg</t>
  </si>
  <si>
    <t>https://fc2.cwa.sellercloud.com/images/products/160359.jpg</t>
  </si>
  <si>
    <t>https://fc2.cwa.sellercloud.com/images/products/167111.jpg</t>
  </si>
  <si>
    <t>https://fc2.cwa.sellercloud.com/images/products/170575.jpg</t>
  </si>
  <si>
    <t>https://fc2.cwa.sellercloud.com/images/products/160643.jpg</t>
  </si>
  <si>
    <t>https://fc2.cwa.sellercloud.com/images/products/160247.jpg</t>
  </si>
  <si>
    <t>https://fc2.cwa.sellercloud.com/images/products/166723.jpg</t>
  </si>
  <si>
    <t>https://fc2.cwa.sellercloud.com/images/products/166811.jpg</t>
  </si>
  <si>
    <t>https://fc2.cwa.sellercloud.com/images/products/170055.jpg</t>
  </si>
  <si>
    <t>https://fc2.cwa.sellercloud.com/images/products/152910.jpg</t>
  </si>
  <si>
    <t>https://fc2.cwa.sellercloud.com/images/products/168953.jpg</t>
  </si>
  <si>
    <t>https://fc2.cwa.sellercloud.com/images/products/168857.jpg</t>
  </si>
  <si>
    <t>https://fc2.cwa.sellercloud.com/images/products/167080.jpg</t>
  </si>
  <si>
    <t>https://fc2.cwa.sellercloud.com/images/products/168916.jpg</t>
  </si>
  <si>
    <t>https://fc2.cwa.sellercloud.com/images/products/166611.jpg</t>
  </si>
  <si>
    <t>https://fc2.cwa.sellercloud.com/images/products/170351.jpg</t>
  </si>
  <si>
    <t>https://fc2.cwa.sellercloud.com/images/products/168845.jpg</t>
  </si>
  <si>
    <t>https://fc2.cwa.sellercloud.com/images/products/169466.jpg</t>
  </si>
  <si>
    <t>https://fc2.cwa.sellercloud.com/images/products/171889.jpg</t>
  </si>
  <si>
    <t>https://fc2.cwa.sellercloud.com/images/products/168657.jpg</t>
  </si>
  <si>
    <t>https://fc2.cwa.sellercloud.com/images/products/172181.jpg</t>
  </si>
  <si>
    <t>https://fc2.cwa.sellercloud.com/images/products/169510.jpg</t>
  </si>
  <si>
    <t>https://fc2.cwa.sellercloud.com/images/products/170353.jpg</t>
  </si>
  <si>
    <t>https://fc2.cwa.sellercloud.com/images/products/160203.jpg</t>
  </si>
  <si>
    <t>https://fc2.cwa.sellercloud.com/images/products/166986.jpg</t>
  </si>
  <si>
    <t>https://fc2.cwa.sellercloud.com/images/products/164188.jpg</t>
  </si>
  <si>
    <t>https://fc2.cwa.sellercloud.com/images/products/169349.jpg</t>
  </si>
  <si>
    <t>https://fc2.cwa.sellercloud.com/images/products/170095.jpg</t>
  </si>
  <si>
    <t>https://fc2.cwa.sellercloud.com/images/products/170370.jpg</t>
  </si>
  <si>
    <t>https://fc2.cwa.sellercloud.com/images/products/160244.jpg</t>
  </si>
  <si>
    <t>https://fc2.cwa.sellercloud.com/images/products/171621.jpg</t>
  </si>
  <si>
    <t>https://fc2.cwa.sellercloud.com/images/products/160617.jpg</t>
  </si>
  <si>
    <t>https://fc2.cwa.sellercloud.com/images/products/160446.jpg</t>
  </si>
  <si>
    <t>https://fc2.cwa.sellercloud.com/images/products/170683.jpg</t>
  </si>
  <si>
    <t>https://fc2.cwa.sellercloud.com/images/products/166867.jpg</t>
  </si>
  <si>
    <t>https://fc2.cwa.sellercloud.com/images/products/169750.jpg</t>
  </si>
  <si>
    <t>https://fc2.cwa.sellercloud.com/images/products/164044.jpg</t>
  </si>
  <si>
    <t>https://fc2.cwa.sellercloud.com/images/products/160412.jpg</t>
  </si>
  <si>
    <t>https://fc2.cwa.sellercloud.com/images/products/160445.jpg</t>
  </si>
  <si>
    <t>https://fc2.cwa.sellercloud.com/images/products/169699.jpg</t>
  </si>
  <si>
    <t>https://fc2.cwa.sellercloud.com/images/products/165975.jpg</t>
  </si>
  <si>
    <t>https://fc2.cwa.sellercloud.com/images/products/168853.jpg</t>
  </si>
  <si>
    <t>https://fc2.cwa.sellercloud.com/images/products/171541.jpg</t>
  </si>
  <si>
    <t>https://fc2.cwa.sellercloud.com/images/products/169337.jpg</t>
  </si>
  <si>
    <t>https://fc2.cwa.sellercloud.com/images/products/160618.jpg</t>
  </si>
  <si>
    <t>https://fc2.cwa.sellercloud.com/images/products/167056.jpg</t>
  </si>
  <si>
    <t>https://fc2.cwa.sellercloud.com/images/products/160249.jpg</t>
  </si>
  <si>
    <t>https://fc2.cwa.sellercloud.com/images/products/160613.jpg</t>
  </si>
  <si>
    <t>https://fc2.cwa.sellercloud.com/images/products/169698.jpg</t>
  </si>
  <si>
    <t>https://fc2.cwa.sellercloud.com/images/products/169341.jpg</t>
  </si>
  <si>
    <t>https://fc2.cwa.sellercloud.com/images/products/170369.jpg</t>
  </si>
  <si>
    <t>https://fc2.cwa.sellercloud.com/images/products/160625.jpg</t>
  </si>
  <si>
    <t>https://fc2.cwa.sellercloud.com/images/products/169325.jpg</t>
  </si>
  <si>
    <t>https://fc2.cwa.sellercloud.com/images/products/170607.jpg</t>
  </si>
  <si>
    <t>https://fc2.cwa.sellercloud.com/images/products/160314.jpg</t>
  </si>
  <si>
    <t>https://fc2.cwa.sellercloud.com/images/products/169494.jpg</t>
  </si>
  <si>
    <t>https://fc2.cwa.sellercloud.com/images/products/165926.jpg</t>
  </si>
  <si>
    <t>https://fc2.cwa.sellercloud.com/images/products/160515.jpg</t>
  </si>
  <si>
    <t>https://fc2.cwa.sellercloud.com/images/products/169882.jpg</t>
  </si>
  <si>
    <t>https://fc2.cwa.sellercloud.com/images/products/167481.jpg</t>
  </si>
  <si>
    <t>https://fc2.cwa.sellercloud.com/images/products/169490.jpg</t>
  </si>
  <si>
    <t>https://fc2.cwa.sellercloud.com/images/products/169886.jpg</t>
  </si>
  <si>
    <t>https://fc2.cwa.sellercloud.com/images/products/169888.jpg</t>
  </si>
  <si>
    <t>https://fc2.cwa.sellercloud.com/images/products/168912.jpg</t>
  </si>
  <si>
    <t>https://fc2.cwa.sellercloud.com/images/products/160633.jpg</t>
  </si>
  <si>
    <t>https://fc2.cwa.sellercloud.com/images/products/168014.jpg</t>
  </si>
  <si>
    <t>https://fc2.cwa.sellercloud.com/images/products/169442.jpg</t>
  </si>
  <si>
    <t>https://fc2.cwa.sellercloud.com/images/products/160496.jpg</t>
  </si>
  <si>
    <t>https://fc2.cwa.sellercloud.com/images/products/160323.jpg</t>
  </si>
  <si>
    <t>https://fc2.cwa.sellercloud.com/images/products/170478.jpg</t>
  </si>
  <si>
    <t>https://fc2.cwa.sellercloud.com/images/products/166747.jpg</t>
  </si>
  <si>
    <t>https://fc2.cwa.sellercloud.com/images/products/168389.jpg</t>
  </si>
  <si>
    <t>https://fc2.cwa.sellercloud.com/images/products/169289.jpg</t>
  </si>
  <si>
    <t>https://fc2.cwa.sellercloud.com/images/products/170520.jpg</t>
  </si>
  <si>
    <t>https://fc2.cwa.sellercloud.com/images/products/163767.jpg</t>
  </si>
  <si>
    <t>https://fc2.cwa.sellercloud.com/images/products/169474.jpg</t>
  </si>
  <si>
    <t>https://fc2.cwa.sellercloud.com/images/products/166998.jpg</t>
  </si>
  <si>
    <t>https://fc2.cwa.sellercloud.com/images/products/170368.jpg</t>
  </si>
  <si>
    <t>https://fc2.cwa.sellercloud.com/images/products/168094.jpg</t>
  </si>
  <si>
    <t>https://fc2.cwa.sellercloud.com/images/products/165831.jpg</t>
  </si>
  <si>
    <t>https://fc2.cwa.sellercloud.com/images/products/160206.jpg</t>
  </si>
  <si>
    <t>https://fc2.cwa.sellercloud.com/images/products/168202.jpg</t>
  </si>
  <si>
    <t>https://fc2.cwa.sellercloud.com/images/products/169273.jpg</t>
  </si>
  <si>
    <t>https://fc2.cwa.sellercloud.com/images/products/171591.jpg</t>
  </si>
  <si>
    <t>https://fc2.cwa.sellercloud.com/images/products/160441.jpg</t>
  </si>
  <si>
    <t>https://fc2.cwa.sellercloud.com/images/products/165835.jpg</t>
  </si>
  <si>
    <t>https://fc2.cwa.sellercloud.com/images/products/165866.jpg</t>
  </si>
  <si>
    <t>https://fc2.cwa.sellercloud.com/images/products/160393.jpg</t>
  </si>
  <si>
    <t>https://fc2.cwa.sellercloud.com/images/products/170678.jpg</t>
  </si>
  <si>
    <t>https://fc2.cwa.sellercloud.com/images/products/170395.jpg</t>
  </si>
  <si>
    <t>https://fc2.cwa.sellercloud.com/images/products/166850.jpg</t>
  </si>
  <si>
    <t>https://fc2.cwa.sellercloud.com/images/products/160165.jpg</t>
  </si>
  <si>
    <t>https://fc2.cwa.sellercloud.com/images/products/171185.jpg</t>
  </si>
  <si>
    <t>https://fc2.cwa.sellercloud.com/images/products/160270.jpg</t>
  </si>
  <si>
    <t>https://fc2.cwa.sellercloud.com/images/products/160252.jpg</t>
  </si>
  <si>
    <t>https://fc2.cwa.sellercloud.com/images/products/168102.jpg</t>
  </si>
  <si>
    <t>https://fc2.cwa.sellercloud.com/images/products/160693.jpg</t>
  </si>
  <si>
    <t>https://fc2.cwa.sellercloud.com/images/products/160651.jpg</t>
  </si>
  <si>
    <t>https://fc2.cwa.sellercloud.com/images/products/160371.jpg</t>
  </si>
  <si>
    <t>https://fc2.cwa.sellercloud.com/images/products/160665.jpg</t>
  </si>
  <si>
    <t>https://fc2.cwa.sellercloud.com/images/products/160653.jpg</t>
  </si>
  <si>
    <t>https://fc2.cwa.sellercloud.com/images/products/166876.jpg</t>
  </si>
  <si>
    <t>https://fc2.cwa.sellercloud.com/images/products/166792.jpg</t>
  </si>
  <si>
    <t>https://fc2.cwa.sellercloud.com/images/products/170458.jpg</t>
  </si>
  <si>
    <t>https://fc2.cwa.sellercloud.com/images/products/167699.jpg</t>
  </si>
  <si>
    <t>https://fc2.cwa.sellercloud.com/images/products/170396.jpg</t>
  </si>
  <si>
    <t>https://fc2.cwa.sellercloud.com/images/products/166296.jpg</t>
  </si>
  <si>
    <t>https://fc2.cwa.sellercloud.com/images/products/167383.jpg</t>
  </si>
  <si>
    <t>https://fc2.cwa.sellercloud.com/images/products/167447.jpg</t>
  </si>
  <si>
    <t>https://fc2.cwa.sellercloud.com/images/products/170011.jpg</t>
  </si>
  <si>
    <t>https://fc2.cwa.sellercloud.com/images/products/160448.jpg</t>
  </si>
  <si>
    <t>https://fc2.cwa.sellercloud.com/images/products/169003.jpg</t>
  </si>
  <si>
    <t>https://fc2.cwa.sellercloud.com/images/products/168986.jpg</t>
  </si>
  <si>
    <t>https://fc2.cwa.sellercloud.com/images/products/170947.jpg</t>
  </si>
  <si>
    <t>https://fc2.cwa.sellercloud.com/images/products/169995.jpg</t>
  </si>
  <si>
    <t>https://fc2.cwa.sellercloud.com/images/products/167040.jpg</t>
  </si>
  <si>
    <t>https://fc2.cwa.sellercloud.com/images/products/168214.jpg</t>
  </si>
  <si>
    <t>https://fc2.cwa.sellercloud.com/images/products/166595.jpg</t>
  </si>
  <si>
    <t>https://fc2.cwa.sellercloud.com/images/products/166695.jpg</t>
  </si>
  <si>
    <t>https://fc2.cwa.sellercloud.com/images/products/167002.jpg</t>
  </si>
  <si>
    <t>https://fc2.cwa.sellercloud.com/images/products/166688.jpg</t>
  </si>
  <si>
    <t>https://fc2.cwa.sellercloud.com/images/products/165870.jpg</t>
  </si>
  <si>
    <t>https://fc2.cwa.sellercloud.com/images/products/166021.jpg</t>
  </si>
  <si>
    <t>https://fc2.cwa.sellercloud.com/images/products/166836.jpg</t>
  </si>
  <si>
    <t>https://fc2.cwa.sellercloud.com/images/products/166135.jpg</t>
  </si>
  <si>
    <t>https://fc2.cwa.sellercloud.com/images/products/165880.jpg</t>
  </si>
  <si>
    <t>https://fc2.cwa.sellercloud.com/images/products/166843.jpg</t>
  </si>
  <si>
    <t>https://fc2.cwa.sellercloud.com/images/products/165766.jpg</t>
  </si>
  <si>
    <t>https://fc2.cwa.sellercloud.com/images/products/169880.jpg</t>
  </si>
  <si>
    <t>https://fc2.cwa.sellercloud.com/images/products/166527.jpg</t>
  </si>
  <si>
    <t>https://fc2.cwa.sellercloud.com/images/products/171048.jpg</t>
  </si>
  <si>
    <t>https://fc2.cwa.sellercloud.com/images/products/166320.jpg</t>
  </si>
  <si>
    <t>https://fc2.cwa.sellercloud.com/images/products/168969.jpg</t>
  </si>
  <si>
    <t>https://fc2.cwa.sellercloud.com/images/products/166504.jpg</t>
  </si>
  <si>
    <t>https://fc2.cwa.sellercloud.com/images/products/169021.jpg</t>
  </si>
  <si>
    <t>https://fc2.cwa.sellercloud.com/images/products/166433.jpg</t>
  </si>
  <si>
    <t>https://fc2.cwa.sellercloud.com/images/products/166654.jpg</t>
  </si>
  <si>
    <t>https://fc2.cwa.sellercloud.com/images/products/168940.jpg</t>
  </si>
  <si>
    <t>https://fc2.cwa.sellercloud.com/images/products/166784.jpg</t>
  </si>
  <si>
    <t>https://fc2.cwa.sellercloud.com/images/products/166563.jpg</t>
  </si>
  <si>
    <t>https://fc2.cwa.sellercloud.com/images/products/164414.jpg</t>
  </si>
  <si>
    <t>https://fc2.cwa.sellercloud.com/images/products/164424.jpg</t>
  </si>
  <si>
    <t>https://fc2.cwa.sellercloud.com/images/products/167547.jpg</t>
  </si>
  <si>
    <t>https://fc2.cwa.sellercloud.com/images/products/166637.jpg</t>
  </si>
  <si>
    <t>https://fc2.cwa.sellercloud.com/images/products/169738.jpg</t>
  </si>
  <si>
    <t>https://fc2.cwa.sellercloud.com/images/products/167489.jpg</t>
  </si>
  <si>
    <t>https://fc2.cwa.sellercloud.com/images/products/170402.jpg</t>
  </si>
  <si>
    <t>https://fc2.cwa.sellercloud.com/images/products/171040.jpg</t>
  </si>
  <si>
    <t>https://fc2.cwa.sellercloud.com/images/products/166931.jpg</t>
  </si>
  <si>
    <t>https://fc2.cwa.sellercloud.com/images/products/170841.jpg</t>
  </si>
  <si>
    <t>https://fc2.cwa.sellercloud.com/images/products/170864.jpg</t>
  </si>
  <si>
    <t>https://fc2.cwa.sellercloud.com/images/products/168475.jpg</t>
  </si>
  <si>
    <t>https://fc2.cwa.sellercloud.com/images/products/170868.jpg</t>
  </si>
  <si>
    <t>https://fc2.cwa.sellercloud.com/images/products/167311.jpg</t>
  </si>
  <si>
    <t>https://fc2.cwa.sellercloud.com/images/products/168936.jpg</t>
  </si>
  <si>
    <t>https://fc2.cwa.sellercloud.com/images/products/171050.jpg</t>
  </si>
  <si>
    <t>https://fc2.cwa.sellercloud.com/images/products/171051.jpg</t>
  </si>
  <si>
    <t>https://fc2.cwa.sellercloud.com/images/products/169016.jpg</t>
  </si>
  <si>
    <t>https://fc2.cwa.sellercloud.com/images/products/172183.jpg</t>
  </si>
  <si>
    <t>https://fc2.cwa.sellercloud.com/images/products/167627.jpg</t>
  </si>
  <si>
    <t>https://fc2.cwa.sellercloud.com/images/products/169764.jpg</t>
  </si>
  <si>
    <t>https://fc2.cwa.sellercloud.com/images/products/171568.jpg</t>
  </si>
  <si>
    <t>https://fc2.cwa.sellercloud.com/images/products/170595.jpg</t>
  </si>
  <si>
    <t>https://fc2.cwa.sellercloud.com/images/products/167595.jpg</t>
  </si>
  <si>
    <t>https://fc2.cwa.sellercloud.com/images/products/169609.jpg</t>
  </si>
  <si>
    <t>https://fc2.cwa.sellercloud.com/images/products/172037.jpg</t>
  </si>
  <si>
    <t>https://fc2.cwa.sellercloud.com/images/products/172006.jpg</t>
  </si>
  <si>
    <t>https://fc2.cwa.sellercloud.com/images/products/170571.jpg</t>
  </si>
  <si>
    <t>https://fc2.cwa.sellercloud.com/images/products/171546.jpg</t>
  </si>
  <si>
    <t>https://fc2.cwa.sellercloud.com/images/products/169580.jpg</t>
  </si>
  <si>
    <t>https://fc2.cwa.sellercloud.com/images/products/166928.jpg</t>
  </si>
  <si>
    <t>https://fc2.cwa.sellercloud.com/images/products/161336.jpg</t>
  </si>
  <si>
    <t>https://fc2.cwa.sellercloud.com/images/products/164237.jpg</t>
  </si>
  <si>
    <t>https://fc2.cwa.sellercloud.com/images/products/168074.jpg</t>
  </si>
  <si>
    <t>https://fc2.cwa.sellercloud.com/images/products/160600.jpg</t>
  </si>
  <si>
    <t>https://fc2.cwa.sellercloud.com/images/products/168098.jpg</t>
  </si>
  <si>
    <t>https://fc2.cwa.sellercloud.com/images/products/165874.jpg</t>
  </si>
  <si>
    <t>https://fc2.cwa.sellercloud.com/images/products/169778.jpg</t>
  </si>
  <si>
    <t>https://fc2.cwa.sellercloud.com/images/products/168110.jpg</t>
  </si>
  <si>
    <t>https://fc2.cwa.sellercloud.com/images/products/164182.jpg</t>
  </si>
  <si>
    <t>https://fc2.cwa.sellercloud.com/images/products/164177.jpg</t>
  </si>
  <si>
    <t>https://fc2.cwa.sellercloud.com/images/products/164242.jpg</t>
  </si>
  <si>
    <t>https://fc2.cwa.sellercloud.com/images/products/164252.jpg</t>
  </si>
  <si>
    <t>https://fc2.cwa.sellercloud.com/images/products/164262.jpg</t>
  </si>
  <si>
    <t>https://fc2.cwa.sellercloud.com/images/products/168178.jpg</t>
  </si>
  <si>
    <t>https://fc2.cwa.sellercloud.com/images/products/163822.jpg</t>
  </si>
  <si>
    <t>https://fc2.cwa.sellercloud.com/images/products/168206.jpg</t>
  </si>
  <si>
    <t>https://fc2.cwa.sellercloud.com/images/products/166442.jpg</t>
  </si>
  <si>
    <t>https://fc2.cwa.sellercloud.com/images/products/166888.jpg</t>
  </si>
  <si>
    <t>https://fc2.cwa.sellercloud.com/images/products/166085.jpg</t>
  </si>
  <si>
    <t>https://fc2.cwa.sellercloud.com/images/products/167950.jpg</t>
  </si>
  <si>
    <t>https://fc2.cwa.sellercloud.com/images/products/167281.jpg</t>
  </si>
  <si>
    <t>https://fc2.cwa.sellercloud.com/images/products/169801.jpg</t>
  </si>
  <si>
    <t>https://fc2.cwa.sellercloud.com/images/products/169301.jpg</t>
  </si>
  <si>
    <t>https://fc2.cwa.sellercloud.com/images/products/169329.jpg</t>
  </si>
  <si>
    <t>https://fc2.cwa.sellercloud.com/images/products/169403.jpg</t>
  </si>
  <si>
    <t>https://fc2.cwa.sellercloud.com/images/products/169784.jpg</t>
  </si>
  <si>
    <t>https://fc2.cwa.sellercloud.com/images/products/168357.jpg</t>
  </si>
  <si>
    <t>https://fc2.cwa.sellercloud.com/images/products/167167.jpg</t>
  </si>
  <si>
    <t>https://fc2.cwa.sellercloud.com/images/products/167278.jpg</t>
  </si>
  <si>
    <t>https://fc2.cwa.sellercloud.com/images/products/166904.jpg</t>
  </si>
  <si>
    <t>https://fc2.cwa.sellercloud.com/images/products/167834.jpg</t>
  </si>
  <si>
    <t>https://fc2.cwa.sellercloud.com/images/products/169911.jpg</t>
  </si>
  <si>
    <t>https://fc2.cwa.sellercloud.com/images/products/166939.jpg</t>
  </si>
  <si>
    <t>https://fc2.cwa.sellercloud.com/images/products/169285.jpg</t>
  </si>
  <si>
    <t>https://fc2.cwa.sellercloud.com/images/products/169716.jpg</t>
  </si>
  <si>
    <t>https://fc2.cwa.sellercloud.com/images/products/168226.jpg</t>
  </si>
  <si>
    <t>https://fc2.cwa.sellercloud.com/images/products/169521.jpg</t>
  </si>
  <si>
    <t>https://fc2.cwa.sellercloud.com/images/products/168804.jpg</t>
  </si>
  <si>
    <t>https://fc2.cwa.sellercloud.com/images/products/168681.jpg</t>
  </si>
  <si>
    <t>https://fc2.cwa.sellercloud.com/images/products/169530.jpg</t>
  </si>
  <si>
    <t>https://fc2.cwa.sellercloud.com/images/products/168760.jpg</t>
  </si>
  <si>
    <t>https://fc2.cwa.sellercloud.com/images/products/168810.jpg</t>
  </si>
  <si>
    <t>https://fc2.cwa.sellercloud.com/images/products/172184.jpg</t>
  </si>
  <si>
    <t>https://fc2.cwa.sellercloud.com/images/products/172190.jpg</t>
  </si>
  <si>
    <t>https://fc2.cwa.sellercloud.com/images/products/172187.jpg</t>
  </si>
  <si>
    <t>https://fc2.cwa.sellercloud.com/images/products/172189.jpg</t>
  </si>
  <si>
    <t>https://fc2.cwa.sellercloud.com/images/products/172186.jpg</t>
  </si>
  <si>
    <t>https://fc2.cwa.sellercloud.com/images/products/172185.jpg</t>
  </si>
  <si>
    <t>https://fc2.cwa.sellercloud.com/images/products/172188.jpg</t>
  </si>
  <si>
    <t>https://fc2.cwa.sellercloud.com/images/products/167178.jpg</t>
  </si>
  <si>
    <t>https://fc2.cwa.sellercloud.com/images/products/163962.jpg</t>
  </si>
  <si>
    <t>https://fc2.cwa.sellercloud.com/images/products/167523.jpg</t>
  </si>
  <si>
    <t>https://fc2.cwa.sellercloud.com/images/products/166684.jpg</t>
  </si>
  <si>
    <t>https://fc2.cwa.sellercloud.com/images/products/163966.jpg</t>
  </si>
  <si>
    <t>https://fc2.cwa.sellercloud.com/images/products/171067.jpg</t>
  </si>
  <si>
    <t>https://fc2.cwa.sellercloud.com/images/products/171068.jpg</t>
  </si>
  <si>
    <t>https://fc2.cwa.sellercloud.com/images/products/168904.jpg</t>
  </si>
  <si>
    <t>https://fc2.cwa.sellercloud.com/images/products/169772.jpg</t>
  </si>
  <si>
    <t>https://fc2.cwa.sellercloud.com/images/products/169321.jpg</t>
  </si>
  <si>
    <t>https://fc2.cwa.sellercloud.com/images/products/166896.jpg</t>
  </si>
  <si>
    <t>https://fc2.cwa.sellercloud.com/images/products/169527.jpg</t>
  </si>
  <si>
    <t>https://fc2.cwa.sellercloud.com/images/products/167914.jpg</t>
  </si>
  <si>
    <t>https://fc2.cwa.sellercloud.com/images/products/170392.jpg</t>
  </si>
  <si>
    <t>https://fc2.cwa.sellercloud.com/images/products/170753.jpg</t>
  </si>
  <si>
    <t>https://fc2.cwa.sellercloud.com/images/products/160582.jpg</t>
  </si>
  <si>
    <t>https://fc2.cwa.sellercloud.com/images/products/170716.jpg</t>
  </si>
  <si>
    <t>https://fc2.cwa.sellercloud.com/images/products/170889.jpg</t>
  </si>
  <si>
    <t>https://fc2.cwa.sellercloud.com/images/products/170377.jpg</t>
  </si>
  <si>
    <t>https://fc2.cwa.sellercloud.com/images/products/170876.jpg</t>
  </si>
  <si>
    <t>https://fc2.cwa.sellercloud.com/images/products/171588.jpg</t>
  </si>
  <si>
    <t>https://fc2.cwa.sellercloud.com/images/products/169788.jpg</t>
  </si>
  <si>
    <t>https://fc2.cwa.sellercloud.com/images/products/170397.jpg</t>
  </si>
  <si>
    <t>https://fc2.cwa.sellercloud.com/images/products/170387.jpg</t>
  </si>
  <si>
    <t>https://fc2.cwa.sellercloud.com/images/products/169781.jpg</t>
  </si>
  <si>
    <t>https://fc2.cwa.sellercloud.com/images/products/169729.jpg</t>
  </si>
  <si>
    <t>https://fc2.cwa.sellercloud.com/images/products/170857.jpg</t>
  </si>
  <si>
    <t>https://fc2.cwa.sellercloud.com/images/products/170861.jpg</t>
  </si>
  <si>
    <t>https://fc2.cwa.sellercloud.com/images/products/168591.jpg</t>
  </si>
  <si>
    <t>https://fc2.cwa.sellercloud.com/images/products/172065.jpg</t>
  </si>
  <si>
    <t>https://fc2.cwa.sellercloud.com/images/products/171052.jpg</t>
  </si>
  <si>
    <t>https://fc2.cwa.sellercloud.com/images/products/169751.jpg</t>
  </si>
  <si>
    <t>https://fc2.cwa.sellercloud.com/images/products/169910.jpg</t>
  </si>
  <si>
    <t>https://fc2.cwa.sellercloud.com/images/products/170384.jpg</t>
  </si>
  <si>
    <t>https://fc2.cwa.sellercloud.com/images/products/168878.jpg</t>
  </si>
  <si>
    <t>https://fc2.cwa.sellercloud.com/images/products/169657.jpg</t>
  </si>
  <si>
    <t>https://fc2.cwa.sellercloud.com/images/products/169627.jpg</t>
  </si>
  <si>
    <t>https://fc2.cwa.sellercloud.com/images/products/169613.jpg</t>
  </si>
  <si>
    <t>https://fc2.cwa.sellercloud.com/images/products/172224.jpg</t>
  </si>
  <si>
    <t>https://fc2.cwa.sellercloud.com/images/products/169254.jpg</t>
  </si>
  <si>
    <t>https://fc2.cwa.sellercloud.com/images/products/168744.jpg</t>
  </si>
  <si>
    <t>https://fc2.cwa.sellercloud.com/images/products/168780.jpg</t>
  </si>
  <si>
    <t>https://fc2.cwa.sellercloud.com/images/products/168791.jpg</t>
  </si>
  <si>
    <t>https://fc2.cwa.sellercloud.com/images/products/168749.jpg</t>
  </si>
  <si>
    <t>https://fc2.cwa.sellercloud.com/images/products/168801.jpg</t>
  </si>
  <si>
    <t>https://fc2.cwa.sellercloud.com/images/products/169791.jpg</t>
  </si>
  <si>
    <t>https://fc2.cwa.sellercloud.com/images/products/168783.jpg</t>
  </si>
  <si>
    <t>https://fc2.cwa.sellercloud.com/images/products/169245.jpg</t>
  </si>
  <si>
    <t>https://fc2.cwa.sellercloud.com/images/products/168786.jpg</t>
  </si>
  <si>
    <t>https://fc2.cwa.sellercloud.com/images/products/168789.jpg</t>
  </si>
  <si>
    <t>https://fc2.cwa.sellercloud.com/images/products/164430.jpg</t>
  </si>
  <si>
    <t>https://fc2.cwa.sellercloud.com/images/products/171547.jpg</t>
  </si>
  <si>
    <t>https://fc2.cwa.sellercloud.com/images/products/168637.jpg</t>
  </si>
  <si>
    <t>https://fc2.cwa.sellercloud.com/images/products/169883.jpg</t>
  </si>
  <si>
    <t>https://fc2.cwa.sellercloud.com/images/products/169250.jpg</t>
  </si>
  <si>
    <t>https://fc2.cwa.sellercloud.com/images/products/160438.jpg</t>
  </si>
  <si>
    <t>https://fc2.cwa.sellercloud.com/images/products/165971.jpg</t>
  </si>
  <si>
    <t>https://fc2.cwa.sellercloud.com/images/products/170385.jpg</t>
  </si>
  <si>
    <t>https://fc2.cwa.sellercloud.com/images/products/168689.jpg</t>
  </si>
  <si>
    <t>https://fc2.cwa.sellercloud.com/images/products/168655.jpg</t>
  </si>
  <si>
    <t>https://fc2.cwa.sellercloud.com/images/products/172182.jpg</t>
  </si>
  <si>
    <t>https://fc2.cwa.sellercloud.com/images/products/168730.jpg</t>
  </si>
  <si>
    <t>https://fc2.cwa.sellercloud.com/images/products/168733.jpg</t>
  </si>
  <si>
    <t>https://fc2.cwa.sellercloud.com/images/products/168895.jpg</t>
  </si>
  <si>
    <t>https://fc2.cwa.sellercloud.com/images/products/168827.jpg</t>
  </si>
  <si>
    <t>https://fc2.cwa.sellercloud.com/images/products/169748.jpg</t>
  </si>
  <si>
    <t>https://fc2.cwa.sellercloud.com/images/products/168222.jpg</t>
  </si>
  <si>
    <t>https://fc2.cwa.sellercloud.com/images/products/163987.jpg</t>
  </si>
  <si>
    <t>https://fc2.cwa.sellercloud.com/images/products/160530.jpg</t>
  </si>
  <si>
    <t>https://fc2.cwa.sellercloud.com/images/products/166579.jpg</t>
  </si>
  <si>
    <t>https://fc2.cwa.sellercloud.com/images/products/164062.jpg</t>
  </si>
  <si>
    <t>https://fc2.cwa.sellercloud.com/images/products/164036.jpg</t>
  </si>
  <si>
    <t>https://fc2.cwa.sellercloud.com/images/products/163823.jpg</t>
  </si>
  <si>
    <t>https://fc2.cwa.sellercloud.com/images/products/160524.jpg</t>
  </si>
  <si>
    <t>https://fc2.cwa.sellercloud.com/images/products/164013.jpg</t>
  </si>
  <si>
    <t>https://fc2.cwa.sellercloud.com/images/products/170949.jpg</t>
  </si>
  <si>
    <t>https://fc2.cwa.sellercloud.com/images/products/166615.jpg</t>
  </si>
  <si>
    <t>https://fc2.cwa.sellercloud.com/images/products/171036.jpg</t>
  </si>
  <si>
    <t>https://fc2.cwa.sellercloud.com/images/products/171031.jpg</t>
  </si>
  <si>
    <t>https://fc2.cwa.sellercloud.com/images/products/171027.jpg</t>
  </si>
  <si>
    <t>https://fc2.cwa.sellercloud.com/images/products/171026.jpg</t>
  </si>
  <si>
    <t>https://fc2.cwa.sellercloud.com/images/products/171016.jpg</t>
  </si>
  <si>
    <t>https://fc2.cwa.sellercloud.com/images/products/160589.jpg</t>
  </si>
  <si>
    <t>https://fc2.cwa.sellercloud.com/images/products/160598.jpg</t>
  </si>
  <si>
    <t>https://fc2.cwa.sellercloud.com/images/products/160607.jpg</t>
  </si>
  <si>
    <t>https://fc2.cwa.sellercloud.com/images/products/160619.jpg</t>
  </si>
  <si>
    <t>https://fc2.cwa.sellercloud.com/images/products/160624.jpg</t>
  </si>
  <si>
    <t>https://fc2.cwa.sellercloud.com/images/products/164016.jpg</t>
  </si>
  <si>
    <t>https://fc2.cwa.sellercloud.com/images/products/169912.jpg</t>
  </si>
  <si>
    <t>https://fc2.cwa.sellercloud.com/images/products/163950.jpg</t>
  </si>
  <si>
    <t>https://fc2.cwa.sellercloud.com/images/products/171066.jpg</t>
  </si>
  <si>
    <t>https://fc2.cwa.sellercloud.com/images/products/163954.jpg</t>
  </si>
  <si>
    <t>https://fc2.cwa.sellercloud.com/images/products/163955.jpg</t>
  </si>
  <si>
    <t>https://fc2.cwa.sellercloud.com/images/products/163958.jpg</t>
  </si>
  <si>
    <t>https://fc2.cwa.sellercloud.com/images/products/163963.jpg</t>
  </si>
  <si>
    <t>https://fc2.cwa.sellercloud.com/images/products/163967.jpg</t>
  </si>
  <si>
    <t>https://fc2.cwa.sellercloud.com/images/products/160649.jpg</t>
  </si>
  <si>
    <t>https://fc2.cwa.sellercloud.com/images/products/160654.jpg</t>
  </si>
  <si>
    <t>https://fc2.cwa.sellercloud.com/images/products/166967.jpg</t>
  </si>
  <si>
    <t>https://fc2.cwa.sellercloud.com/images/products/160700.jpg</t>
  </si>
  <si>
    <t>https://fc2.cwa.sellercloud.com/images/products/160702.jpg</t>
  </si>
  <si>
    <t>https://fc2.cwa.sellercloud.com/images/products/166549.jpg</t>
  </si>
  <si>
    <t>https://fc2.cwa.sellercloud.com/images/products/170623.jpg</t>
  </si>
  <si>
    <t>https://fc2.cwa.sellercloud.com/images/products/160706.jpg</t>
  </si>
  <si>
    <t>https://fc2.cwa.sellercloud.com/images/products/171137.jpg</t>
  </si>
  <si>
    <t>https://fc2.cwa.sellercloud.com/images/products/170159.jpg</t>
  </si>
  <si>
    <t>https://fc2.cwa.sellercloud.com/images/products/168639.jpg</t>
  </si>
  <si>
    <t>https://fc2.cwa.sellercloud.com/images/products/168643.jpg</t>
  </si>
  <si>
    <t>https://fc2.cwa.sellercloud.com/images/products/168647.jpg</t>
  </si>
  <si>
    <t>https://fc2.cwa.sellercloud.com/images/products/164006.jpg</t>
  </si>
  <si>
    <t>https://fc2.cwa.sellercloud.com/images/products/163849.jpg</t>
  </si>
  <si>
    <t>https://fc2.cwa.sellercloud.com/images/products/163836.jpg</t>
  </si>
  <si>
    <t>https://fc2.cwa.sellercloud.com/images/products/170175.jpg</t>
  </si>
  <si>
    <t>https://fc2.cwa.sellercloud.com/images/products/171548.jpg</t>
  </si>
  <si>
    <t>https://fc2.cwa.sellercloud.com/images/products/164000.jpg</t>
  </si>
  <si>
    <t>https://fc2.cwa.sellercloud.com/images/products/169365.jpg</t>
  </si>
  <si>
    <t>https://fc2.cwa.sellercloud.com/images/products/160518.jpg</t>
  </si>
  <si>
    <t>https://fc2.cwa.sellercloud.com/images/products/160521.jpg</t>
  </si>
  <si>
    <t>https://fc2.cwa.sellercloud.com/images/products/166983.jpg</t>
  </si>
  <si>
    <t>https://fc2.cwa.sellercloud.com/images/products/160566.jpg</t>
  </si>
  <si>
    <t>https://fc2.cwa.sellercloud.com/images/products/170664.jpg</t>
  </si>
  <si>
    <t>https://fc2.cwa.sellercloud.com/images/products/170559.jpg</t>
  </si>
  <si>
    <t>https://fc2.cwa.sellercloud.com/images/products/166040.jpg</t>
  </si>
  <si>
    <t>https://fc2.cwa.sellercloud.com/images/products/165726.jpg</t>
  </si>
  <si>
    <t>https://fc2.cwa.sellercloud.com/images/products/160217.jpg</t>
  </si>
  <si>
    <t>https://fc2.cwa.sellercloud.com/images/products/164027.jpg</t>
  </si>
  <si>
    <t>https://fc2.cwa.sellercloud.com/images/products/167064.jpg</t>
  </si>
  <si>
    <t>https://fc2.cwa.sellercloud.com/images/products/166334.jpg</t>
  </si>
  <si>
    <t>https://fc2.cwa.sellercloud.com/images/products/166658.jpg</t>
  </si>
  <si>
    <t>https://fc2.cwa.sellercloud.com/images/products/171894.jpg</t>
  </si>
  <si>
    <t>https://fc2.cwa.sellercloud.com/images/products/166362.jpg</t>
  </si>
  <si>
    <t>https://fc2.cwa.sellercloud.com/images/products/165901.jpg</t>
  </si>
  <si>
    <t>https://fc2.cwa.sellercloud.com/images/products/166572.jpg</t>
  </si>
  <si>
    <t>https://fc2.cwa.sellercloud.com/images/products/166675.jpg</t>
  </si>
  <si>
    <t>https://fc2.cwa.sellercloud.com/images/products/167046.jpg</t>
  </si>
  <si>
    <t>https://fc2.cwa.sellercloud.com/images/products/160320.jpg</t>
  </si>
  <si>
    <t>https://fc2.cwa.sellercloud.com/images/products/166230.jpg</t>
  </si>
  <si>
    <t>https://fc2.cwa.sellercloud.com/images/products/164057.jpg</t>
  </si>
  <si>
    <t>https://fc2.cwa.sellercloud.com/images/products/164031.jpg</t>
  </si>
  <si>
    <t>https://fc2.cwa.sellercloud.com/images/products/164032.jpg</t>
  </si>
  <si>
    <t>https://fc2.cwa.sellercloud.com/images/products/166100.jpg</t>
  </si>
  <si>
    <t>https://fc2.cwa.sellercloud.com/images/products/160351.jpg</t>
  </si>
  <si>
    <t>https://fc2.cwa.sellercloud.com/images/products/165278.jpg</t>
  </si>
  <si>
    <t>https://fc2.cwa.sellercloud.com/images/products/164059.jpg</t>
  </si>
  <si>
    <t>https://fc2.cwa.sellercloud.com/images/products/165841.jpg</t>
  </si>
  <si>
    <t>https://fc2.cwa.sellercloud.com/images/products/166051.jpg</t>
  </si>
  <si>
    <t>https://fc2.cwa.sellercloud.com/images/products/164033.jpg</t>
  </si>
  <si>
    <t>https://fc2.cwa.sellercloud.com/images/products/160420.jpg</t>
  </si>
  <si>
    <t>https://fc2.cwa.sellercloud.com/images/products/160424.jpg</t>
  </si>
  <si>
    <t>https://fc2.cwa.sellercloud.com/images/products/164011.jpg</t>
  </si>
  <si>
    <t>https://fc2.cwa.sellercloud.com/images/products/164034.jpg</t>
  </si>
  <si>
    <t>https://fc2.cwa.sellercloud.com/images/products/163655.jpg</t>
  </si>
  <si>
    <t>https://fc2.cwa.sellercloud.com/images/products/160558.jpg</t>
  </si>
  <si>
    <t>https://fc2.cwa.sellercloud.com/images/products/160459.jpg</t>
  </si>
  <si>
    <t>https://fc2.cwa.sellercloud.com/images/products/160462.jpg</t>
  </si>
  <si>
    <t>https://fc2.cwa.sellercloud.com/images/products/164061.jpg</t>
  </si>
  <si>
    <t>https://fc2.cwa.sellercloud.com/images/products/160471.jpg</t>
  </si>
  <si>
    <t>https://fc2.cwa.sellercloud.com/images/products/164107.jpg</t>
  </si>
  <si>
    <t>https://fc2.cwa.sellercloud.com/images/products/160373.jpg</t>
  </si>
  <si>
    <t>https://fc2.cwa.sellercloud.com/images/products/171898.jpg</t>
  </si>
  <si>
    <t>https://fc2.cwa.sellercloud.com/images/products/171897.jpg</t>
  </si>
  <si>
    <t>https://fc2.cwa.sellercloud.com/images/products/160399.jpg</t>
  </si>
  <si>
    <t>https://fc2.cwa.sellercloud.com/images/products/160404.jpg</t>
  </si>
  <si>
    <t>https://fc2.cwa.sellercloud.com/images/products/160419.jpg</t>
  </si>
  <si>
    <t>https://fc2.cwa.sellercloud.com/images/products/160427.jpg</t>
  </si>
  <si>
    <t>https://fc2.cwa.sellercloud.com/images/products/160437.jpg</t>
  </si>
  <si>
    <t>https://fc2.cwa.sellercloud.com/images/products/160556.jpg</t>
  </si>
  <si>
    <t>https://fc2.cwa.sellercloud.com/images/products/160562.jpg</t>
  </si>
  <si>
    <t>https://fc2.cwa.sellercloud.com/images/products/160564.jpg</t>
  </si>
  <si>
    <t>https://fc2.cwa.sellercloud.com/images/products/171091.jpg</t>
  </si>
  <si>
    <t>https://fc2.cwa.sellercloud.com/images/products/160659.jpg</t>
  </si>
  <si>
    <t>https://fc2.cwa.sellercloud.com/images/products/171102.jpg</t>
  </si>
  <si>
    <t>https://fc2.cwa.sellercloud.com/images/products/171105.jpg</t>
  </si>
  <si>
    <t>https://fc2.cwa.sellercloud.com/images/products/171114.jpg</t>
  </si>
  <si>
    <t>https://fc2.cwa.sellercloud.com/images/products/160712.jpg</t>
  </si>
  <si>
    <t>https://fc2.cwa.sellercloud.com/images/products/166045.jpg</t>
  </si>
  <si>
    <t>https://fc2.cwa.sellercloud.com/images/products/169635.jpg</t>
  </si>
  <si>
    <t>https://fc2.cwa.sellercloud.com/images/products/168614.jpg</t>
  </si>
  <si>
    <t>https://fc2.cwa.sellercloud.com/images/products/168618.jpg</t>
  </si>
  <si>
    <t>https://fc2.cwa.sellercloud.com/images/products/168622.jpg</t>
  </si>
  <si>
    <t>https://fc2.cwa.sellercloud.com/images/products/169236.jpg</t>
  </si>
  <si>
    <t>https://fc2.cwa.sellercloud.com/images/products/163534.jpg</t>
  </si>
  <si>
    <t>https://fc2.cwa.sellercloud.com/images/products/166150.jpg</t>
  </si>
  <si>
    <t>https://fc2.cwa.sellercloud.com/images/products/170903.jpg</t>
  </si>
  <si>
    <t>https://fc2.cwa.sellercloud.com/images/products/170954.jpg</t>
  </si>
  <si>
    <t>https://fc2.cwa.sellercloud.com/images/products/171549.jpg</t>
  </si>
  <si>
    <t>https://fc2.cwa.sellercloud.com/images/products/171495.jpg</t>
  </si>
  <si>
    <t>https://fc2.cwa.sellercloud.com/images/products/169438.jpg</t>
  </si>
  <si>
    <t>https://fc2.cwa.sellercloud.com/images/products/169482.jpg</t>
  </si>
  <si>
    <t>https://fc2.cwa.sellercloud.com/images/products/169691.jpg</t>
  </si>
  <si>
    <t>https://fc2.cwa.sellercloud.com/images/products/169357.jpg</t>
  </si>
  <si>
    <t>https://fc2.cwa.sellercloud.com/images/products/170936.jpg</t>
  </si>
  <si>
    <t>https://fc2.cwa.sellercloud.com/images/products/170926.jpg</t>
  </si>
  <si>
    <t>https://fc2.cwa.sellercloud.com/images/products/169426.jpg</t>
  </si>
  <si>
    <t>https://fc2.cwa.sellercloud.com/images/products/169380.jpg</t>
  </si>
  <si>
    <t>https://fc2.cwa.sellercloud.com/images/products/170362.jpg</t>
  </si>
  <si>
    <t>https://fc2.cwa.sellercloud.com/images/products/170931.jpg</t>
  </si>
  <si>
    <t>https://fc2.cwa.sellercloud.com/images/products/169543.jpg</t>
  </si>
  <si>
    <t>https://fc2.cwa.sellercloud.com/images/products/169551.jpg</t>
  </si>
  <si>
    <t>https://fc2.cwa.sellercloud.com/images/products/169555.jpg</t>
  </si>
  <si>
    <t>https://fc2.cwa.sellercloud.com/images/products/169601.jpg</t>
  </si>
  <si>
    <t>https://fc2.cwa.sellercloud.com/images/products/169673.jpg</t>
  </si>
  <si>
    <t>https://fc2.cwa.sellercloud.com/images/products/169678.jpg</t>
  </si>
  <si>
    <t>https://fc2.cwa.sellercloud.com/images/products/169679.jpg</t>
  </si>
  <si>
    <t>https://fc2.cwa.sellercloud.com/images/products/169682.jpg</t>
  </si>
  <si>
    <t>https://fc2.cwa.sellercloud.com/images/products/169685.jpg</t>
  </si>
  <si>
    <t>https://fc2.cwa.sellercloud.com/images/products/170361.jpg</t>
  </si>
  <si>
    <t>https://fc2.cwa.sellercloud.com/images/products/169630.jpg</t>
  </si>
  <si>
    <t>https://fc2.cwa.sellercloud.com/images/products/170215.jpg</t>
  </si>
  <si>
    <t>https://fc2.cwa.sellercloud.com/images/products/170986.jpg</t>
  </si>
  <si>
    <t>https://fc2.cwa.sellercloud.com/images/products/169131.jpg</t>
  </si>
  <si>
    <t>https://fc2.cwa.sellercloud.com/images/products/170969.jpg</t>
  </si>
  <si>
    <t>https://fc2.cwa.sellercloud.com/images/products/160295.jpg</t>
  </si>
  <si>
    <t>https://fc2.cwa.sellercloud.com/images/products/170709.jpg</t>
  </si>
  <si>
    <t>https://fc2.cwa.sellercloud.com/images/products/170239.jpg</t>
  </si>
  <si>
    <t>https://fc2.cwa.sellercloud.com/images/products/170885.jpg</t>
  </si>
  <si>
    <t>https://fc2.cwa.sellercloud.com/images/products/171046.jpg</t>
  </si>
  <si>
    <t>https://fc2.cwa.sellercloud.com/images/products/170688.jpg</t>
  </si>
  <si>
    <t>https://fc2.cwa.sellercloud.com/images/products/170734.jpg</t>
  </si>
  <si>
    <t>https://fc2.cwa.sellercloud.com/images/products/169752.jpg</t>
  </si>
  <si>
    <t>https://fc2.cwa.sellercloud.com/images/products/169753.jpg</t>
  </si>
  <si>
    <t>https://fc2.cwa.sellercloud.com/images/products/169754.jpg</t>
  </si>
  <si>
    <t>https://fc2.cwa.sellercloud.com/images/products/169700.jpg</t>
  </si>
  <si>
    <t>https://fc2.cwa.sellercloud.com/images/products/171085.jpg</t>
  </si>
  <si>
    <t>https://fc2.cwa.sellercloud.com/images/products/170383.jpg</t>
  </si>
  <si>
    <t>https://fc2.cwa.sellercloud.com/images/products/170372.jpg</t>
  </si>
  <si>
    <t>https://fc2.cwa.sellercloud.com/images/products/171523.jpg</t>
  </si>
  <si>
    <t>https://fc2.cwa.sellercloud.com/images/products/170373.jpg</t>
  </si>
  <si>
    <t>https://fc2.cwa.sellercloud.com/images/products/170902.jpg</t>
  </si>
  <si>
    <t>https://fc2.cwa.sellercloud.com/images/products/171043.jpg</t>
  </si>
  <si>
    <t>https://fc2.cwa.sellercloud.com/images/products/171000.jpg</t>
  </si>
  <si>
    <t>https://fc2.cwa.sellercloud.com/images/products/169794.jpg</t>
  </si>
  <si>
    <t>https://fc2.cwa.sellercloud.com/images/products/172194.jpg</t>
  </si>
  <si>
    <t>https://fc2.cwa.sellercloud.com/images/products/170699.jpg</t>
  </si>
  <si>
    <t>https://fc2.cwa.sellercloud.com/images/products/170713.jpg</t>
  </si>
  <si>
    <t>https://fc2.cwa.sellercloud.com/images/products/170973.jpg</t>
  </si>
  <si>
    <t>https://fc2.cwa.sellercloud.com/images/products/172193.jpg</t>
  </si>
  <si>
    <t>https://fc2.cwa.sellercloud.com/images/products/168038.jpg</t>
  </si>
  <si>
    <t>https://fc2.cwa.sellercloud.com/images/products/170536.jpg</t>
  </si>
  <si>
    <t>https://fc2.cwa.sellercloud.com/images/products/170409.jpg</t>
  </si>
  <si>
    <t>https://fc2.cwa.sellercloud.com/images/products/170371.jpg</t>
  </si>
  <si>
    <t>https://fc2.cwa.sellercloud.com/images/products/170375.jpg</t>
  </si>
  <si>
    <t>https://fc2.cwa.sellercloud.com/images/products/170376.jpg</t>
  </si>
  <si>
    <t>https://fc2.cwa.sellercloud.com/images/products/170391.jpg</t>
  </si>
  <si>
    <t>https://fc2.cwa.sellercloud.com/images/products/169056.jpg</t>
  </si>
  <si>
    <t>https://fc2.cwa.sellercloud.com/images/products/170382.jpg</t>
  </si>
  <si>
    <t>https://fc2.cwa.sellercloud.com/images/products/163835.jpg</t>
  </si>
  <si>
    <t>https://fc2.cwa.sellercloud.com/images/products/166448.jpg</t>
  </si>
  <si>
    <t>https://fc2.cwa.sellercloud.com/images/products/169780.jpg</t>
  </si>
  <si>
    <t>https://fc2.cwa.sellercloud.com/images/products/170365.jpg</t>
  </si>
  <si>
    <t>https://fc2.cwa.sellercloud.com/images/products/170837.jpg</t>
  </si>
  <si>
    <t>https://fc2.cwa.sellercloud.com/images/products/170694.jpg</t>
  </si>
  <si>
    <t>https://fc2.cwa.sellercloud.com/images/products/170704.jpg</t>
  </si>
  <si>
    <t>https://fc2.cwa.sellercloud.com/images/products/170364.jpg</t>
  </si>
  <si>
    <t>https://fc2.cwa.sellercloud.com/images/products/170942.jpg</t>
  </si>
  <si>
    <t>https://fc2.cwa.sellercloud.com/images/products/170399.jpg</t>
  </si>
  <si>
    <t>https://fc2.cwa.sellercloud.com/images/products/170401.jpg</t>
  </si>
  <si>
    <t>https://fc2.cwa.sellercloud.com/images/products/170404.jpg</t>
  </si>
  <si>
    <t>https://fc2.cwa.sellercloud.com/images/products/167182.jpg</t>
  </si>
  <si>
    <t>https://fc2.cwa.sellercloud.com/images/products/171825.jpg</t>
  </si>
  <si>
    <t>https://fc2.cwa.sellercloud.com/images/products/169852.jpg</t>
  </si>
  <si>
    <t>https://fc2.cwa.sellercloud.com/images/products/171156.jpg</t>
  </si>
  <si>
    <t>https://fc2.cwa.sellercloud.com/images/products/172249.jpg</t>
  </si>
  <si>
    <t>https://fc2.cwa.sellercloud.com/images/products/169871.jpg</t>
  </si>
  <si>
    <t>https://fc2.cwa.sellercloud.com/images/products/172247.jpg</t>
  </si>
  <si>
    <t>https://fc2.cwa.sellercloud.com/images/products/172241.jpg</t>
  </si>
  <si>
    <t>https://fc2.cwa.sellercloud.com/images/products/172230.jpg</t>
  </si>
  <si>
    <t>https://fc2.cwa.sellercloud.com/images/products/172229.jpg</t>
  </si>
  <si>
    <t>https://fc2.cwa.sellercloud.com/images/products/172234.jpg</t>
  </si>
  <si>
    <t>https://fc2.cwa.sellercloud.com/images/products/172235.jpg</t>
  </si>
  <si>
    <t>https://fc2.cwa.sellercloud.com/images/products/169869.jpg</t>
  </si>
  <si>
    <t>https://fc2.cwa.sellercloud.com/images/products/171207.jpg</t>
  </si>
  <si>
    <t>https://fc2.cwa.sellercloud.com/images/products/172242.jpg</t>
  </si>
  <si>
    <t>https://fc2.cwa.sellercloud.com/images/products/172245.jpg</t>
  </si>
  <si>
    <t>https://fc2.cwa.sellercloud.com/images/products/172228.jpg</t>
  </si>
  <si>
    <t>https://fc2.cwa.sellercloud.com/images/products/172238.jpg</t>
  </si>
  <si>
    <t>https://fc2.cwa.sellercloud.com/images/products/172010.jpg</t>
  </si>
  <si>
    <t>https://fc2.cwa.sellercloud.com/images/products/171562.jpg</t>
  </si>
  <si>
    <t>https://fc2.cwa.sellercloud.com/images/products/172239.jpg</t>
  </si>
  <si>
    <t>https://fc2.cwa.sellercloud.com/images/products/171241.jpg</t>
  </si>
  <si>
    <t>https://fc2.cwa.sellercloud.com/images/products/172244.jpg</t>
  </si>
  <si>
    <t>https://fc2.cwa.sellercloud.com/images/products/171249.jpg</t>
  </si>
  <si>
    <t>https://fc2.cwa.sellercloud.com/images/products/172240.jpg</t>
  </si>
  <si>
    <t>https://fc2.cwa.sellercloud.com/images/products/172248.jpg</t>
  </si>
  <si>
    <t>https://fc2.cwa.sellercloud.com/images/products/171317.jpg</t>
  </si>
  <si>
    <t>https://fc2.cwa.sellercloud.com/images/products/171821.jpg</t>
  </si>
  <si>
    <t>https://fc2.cwa.sellercloud.com/images/products/171938.jpg</t>
  </si>
  <si>
    <t>https://fc2.cwa.sellercloud.com/images/products/172180.jpg</t>
  </si>
  <si>
    <t>https://fc2.cwa.sellercloud.com/images/products/170423.jpg</t>
  </si>
  <si>
    <t>https://fc2.cwa.sellercloud.com/images/products/170422.jpg</t>
  </si>
  <si>
    <t>https://fc2.cwa.sellercloud.com/images/products/168485.jpg</t>
  </si>
  <si>
    <t>https://fc2.cwa.sellercloud.com/images/products/171282.jpg</t>
  </si>
  <si>
    <t>https://fc2.cwa.sellercloud.com/images/products/171304.jpg</t>
  </si>
  <si>
    <t>https://fc2.cwa.sellercloud.com/images/products/171288.jpg</t>
  </si>
  <si>
    <t>https://fc2.cwa.sellercloud.com/images/products/168928.jpg</t>
  </si>
  <si>
    <t>https://fc2.cwa.sellercloud.com/images/products/172236.jpg</t>
  </si>
  <si>
    <t>https://fc2.cwa.sellercloud.com/images/products/170725.jpg</t>
  </si>
  <si>
    <t>https://fc2.cwa.sellercloud.com/images/products/170259.jpg</t>
  </si>
  <si>
    <t>https://fc2.cwa.sellercloud.com/images/products/172021.jpg</t>
  </si>
  <si>
    <t>https://fc2.cwa.sellercloud.com/images/products/172108.jpg</t>
  </si>
  <si>
    <t>https://fc2.cwa.sellercloud.com/images/products/172124.jpg</t>
  </si>
  <si>
    <t>https://fc2.cwa.sellercloud.com/images/products/168673.jpg</t>
  </si>
  <si>
    <t>https://fc2.cwa.sellercloud.com/images/products/171296.jpg</t>
  </si>
  <si>
    <t>https://fc2.cwa.sellercloud.com/images/products/171212.jpg</t>
  </si>
  <si>
    <t>https://fc2.cwa.sellercloud.com/images/products/171154.jpg</t>
  </si>
  <si>
    <t>https://fc2.cwa.sellercloud.com/images/products/171153.jpg</t>
  </si>
  <si>
    <t>https://fc2.cwa.sellercloud.com/images/products/171157.jpg</t>
  </si>
  <si>
    <t>https://fc2.cwa.sellercloud.com/images/products/171804.jpg</t>
  </si>
  <si>
    <t>https://fc2.cwa.sellercloud.com/images/products/172237.jpg</t>
  </si>
  <si>
    <t>https://fc2.cwa.sellercloud.com/images/products/171245.jpg</t>
  </si>
  <si>
    <t>https://fc2.cwa.sellercloud.com/images/products/171321.jpg</t>
  </si>
  <si>
    <t>https://fc2.cwa.sellercloud.com/images/products/171788.jpg</t>
  </si>
  <si>
    <t>https://fc2.cwa.sellercloud.com/images/products/171313.jpg</t>
  </si>
  <si>
    <t>https://fc2.cwa.sellercloud.com/images/products/171784.jpg</t>
  </si>
  <si>
    <t>https://fc2.cwa.sellercloud.com/images/products/171155.jpg</t>
  </si>
  <si>
    <t>https://fc2.cwa.sellercloud.com/images/products/171234.jpg</t>
  </si>
  <si>
    <t>https://fc2.cwa.sellercloud.com/images/products/172246.jpg</t>
  </si>
  <si>
    <t>https://fc2.cwa.sellercloud.com/images/products/171257.jpg</t>
  </si>
  <si>
    <t>https://fc2.cwa.sellercloud.com/images/products/171261.jpg</t>
  </si>
  <si>
    <t>https://fc2.cwa.sellercloud.com/images/products/171265.jpg</t>
  </si>
  <si>
    <t>https://fc2.cwa.sellercloud.com/images/products/171269.jpg</t>
  </si>
  <si>
    <t>https://fc2.cwa.sellercloud.com/images/products/171159.jpg</t>
  </si>
  <si>
    <t>https://fc2.cwa.sellercloud.com/images/products/171158.jpg</t>
  </si>
  <si>
    <t>https://fc2.cwa.sellercloud.com/images/products/171768.jpg</t>
  </si>
  <si>
    <t>https://fc2.cwa.sellercloud.com/images/products/171772.jpg</t>
  </si>
  <si>
    <t>https://fc2.cwa.sellercloud.com/images/products/171776.jpg</t>
  </si>
  <si>
    <t>https://fc2.cwa.sellercloud.com/images/products/168836.jpg</t>
  </si>
  <si>
    <t>https://fc2.cwa.sellercloud.com/images/products/171199.jpg</t>
  </si>
  <si>
    <t>https://fc2.cwa.sellercloud.com/images/products/172197.jpg</t>
  </si>
  <si>
    <t>https://fc2.cwa.sellercloud.com/images/products/171203.jpg</t>
  </si>
  <si>
    <t>https://fc2.cwa.sellercloud.com/images/products/171927.jpg</t>
  </si>
  <si>
    <t>https://fc2.cwa.sellercloud.com/images/products/171551.jpg</t>
  </si>
  <si>
    <t>https://fc2.cwa.sellercloud.com/images/products/171225.jpg</t>
  </si>
  <si>
    <t>https://fc2.cwa.sellercloud.com/images/products/171552.jpg</t>
  </si>
  <si>
    <t>https://fc2.cwa.sellercloud.com/images/products/171553.jpg</t>
  </si>
  <si>
    <t>https://fc2.cwa.sellercloud.com/images/products/171221.jpg</t>
  </si>
  <si>
    <t>https://fc2.cwa.sellercloud.com/images/products/172243.jpg</t>
  </si>
  <si>
    <t>https://fc2.cwa.sellercloud.com/images/products/171950.jpg</t>
  </si>
  <si>
    <t>https://fc2.cwa.sellercloud.com/images/products/172140.jpg</t>
  </si>
  <si>
    <t>https://fc2.cwa.sellercloud.com/images/products/171517.jpg</t>
  </si>
  <si>
    <t>https://fc2.cwa.sellercloud.com/images/products/171253.jpg</t>
  </si>
  <si>
    <t>https://fc2.cwa.sellercloud.com/images/products/171229.jpg</t>
  </si>
  <si>
    <t>https://fc2.cwa.sellercloud.com/images/products/171289.jpg</t>
  </si>
  <si>
    <t>https://fc2.cwa.sellercloud.com/images/products/171560.jpg</t>
  </si>
  <si>
    <t>https://fc2.cwa.sellercloud.com/images/products/170360.jpg</t>
  </si>
  <si>
    <t>https://fc2.cwa.sellercloud.com/images/products/170406.jpg</t>
  </si>
  <si>
    <t>https://fc2.cwa.sellercloud.com/images/products/171509.jpg</t>
  </si>
  <si>
    <t>https://fc2.cwa.sellercloud.com/images/products/171554.jpg</t>
  </si>
  <si>
    <t>https://fc2.cwa.sellercloud.com/images/products/171986.jpg</t>
  </si>
  <si>
    <t>https://fc2.cwa.sellercloud.com/images/products/171915.jpg</t>
  </si>
  <si>
    <t>https://fc2.cwa.sellercloud.com/images/products/168890.jpg</t>
  </si>
  <si>
    <t>https://fc2.cwa.sellercloud.com/images/products/171974.jpg</t>
  </si>
  <si>
    <t>https://fc2.cwa.sellercloud.com/images/products/171954.jpg</t>
  </si>
  <si>
    <t>https://fc2.cwa.sellercloud.com/images/products/171962.jpg</t>
  </si>
  <si>
    <t>https://fc2.cwa.sellercloud.com/images/products/171958.jpg</t>
  </si>
  <si>
    <t>https://fc2.cwa.sellercloud.com/images/products/167285.jpg</t>
  </si>
  <si>
    <t>https://fc2.cwa.sellercloud.com/images/products/172076.jpg</t>
  </si>
  <si>
    <t>https://fc2.cwa.sellercloud.com/images/products/172116.jpg</t>
  </si>
  <si>
    <t>https://fc2.cwa.sellercloud.com/images/products/171334.jpg</t>
  </si>
  <si>
    <t>https://fc2.cwa.sellercloud.com/images/products/171359.jpg</t>
  </si>
  <si>
    <t>https://fc2.cwa.sellercloud.com/images/products/171322.jpg</t>
  </si>
  <si>
    <t>https://fc2.cwa.sellercloud.com/images/products/171325.jpg</t>
  </si>
  <si>
    <t>https://fc2.cwa.sellercloud.com/images/products/171328.jpg</t>
  </si>
  <si>
    <t>https://fc2.cwa.sellercloud.com/images/products/171331.jpg</t>
  </si>
  <si>
    <t>https://fc2.cwa.sellercloud.com/images/products/171338.jpg</t>
  </si>
  <si>
    <t>https://fc2.cwa.sellercloud.com/images/products/171341.jpg</t>
  </si>
  <si>
    <t>https://fc2.cwa.sellercloud.com/images/products/171344.jpg</t>
  </si>
  <si>
    <t>https://fc2.cwa.sellercloud.com/images/products/171347.jpg</t>
  </si>
  <si>
    <t>https://fc2.cwa.sellercloud.com/images/products/171350.jpg</t>
  </si>
  <si>
    <t>https://fc2.cwa.sellercloud.com/images/products/171353.jpg</t>
  </si>
  <si>
    <t>https://fc2.cwa.sellercloud.com/images/products/171356.jpg</t>
  </si>
  <si>
    <t>https://fc2.cwa.sellercloud.com/images/products/171366.jpg</t>
  </si>
  <si>
    <t>https://fc2.cwa.sellercloud.com/images/products/171367.jpg</t>
  </si>
  <si>
    <t>https://fc2.cwa.sellercloud.com/images/products/171904.jpg</t>
  </si>
  <si>
    <t>https://fc2.cwa.sellercloud.com/images/products/171935.jpg</t>
  </si>
  <si>
    <t>https://fc2.cwa.sellercloud.com/images/products/171452.jpg</t>
  </si>
  <si>
    <t>https://fc2.cwa.sellercloud.com/images/products/171579.jpg</t>
  </si>
  <si>
    <t>https://fc2.cwa.sellercloud.com/images/products/171580.jpg</t>
  </si>
  <si>
    <t>https://fc2.cwa.sellercloud.com/images/products/172002.jpg</t>
  </si>
  <si>
    <t>https://fc2.cwa.sellercloud.com/images/products/171998.jpg</t>
  </si>
  <si>
    <t>https://fc2.cwa.sellercloud.com/images/products/172120.jpg</t>
  </si>
  <si>
    <t>https://fc2.cwa.sellercloud.com/images/products/172041.jpg</t>
  </si>
  <si>
    <t>https://fc2.cwa.sellercloud.com/images/products/172092.jpg</t>
  </si>
  <si>
    <t>https://fc2.cwa.sellercloud.com/images/products/171994.jpg</t>
  </si>
  <si>
    <t>https://fc2.cwa.sellercloud.com/images/products/172057.jpg</t>
  </si>
  <si>
    <t>https://fc2.cwa.sellercloud.com/images/products/171990.jpg</t>
  </si>
  <si>
    <t>https://fc2.cwa.sellercloud.com/images/products/166832.jpg</t>
  </si>
  <si>
    <t>https://fc2.cwa.sellercloud.com/images/products/172100.jpg</t>
  </si>
  <si>
    <t>https://fc2.cwa.sellercloud.com/images/products/172014.jpg</t>
  </si>
  <si>
    <t>https://fc2.cwa.sellercloud.com/images/products/172049.jpg</t>
  </si>
  <si>
    <t>https://fc2.cwa.sellercloud.com/images/products/172072.jpg</t>
  </si>
  <si>
    <t>https://fc2.cwa.sellercloud.com/images/products/171273.jpg</t>
  </si>
  <si>
    <t>https://fc2.cwa.sellercloud.com/images/products/172178.jpg</t>
  </si>
  <si>
    <t>https://fc2.cwa.sellercloud.com/images/products/171297.jpg</t>
  </si>
  <si>
    <t>https://fc2.cwa.sellercloud.com/images/products/171305.jpg</t>
  </si>
  <si>
    <t>https://fc2.cwa.sellercloud.com/images/products/171581.jpg</t>
  </si>
  <si>
    <t>https://fc2.cwa.sellercloud.com/images/products/172136.jpg</t>
  </si>
  <si>
    <t>https://fc2.cwa.sellercloud.com/images/products/168294.jpg</t>
  </si>
  <si>
    <t>https://fc2.cwa.sellercloud.com/images/products/172018.jpg</t>
  </si>
  <si>
    <t>https://fc2.cwa.sellercloud.com/images/products/171594.jpg</t>
  </si>
  <si>
    <t>https://fc2.cwa.sellercloud.com/images/products/171195.jpg</t>
  </si>
  <si>
    <t>https://fc2.cwa.sellercloud.com/images/products/171192.jpg</t>
  </si>
  <si>
    <t>https://fc2.cwa.sellercloud.com/images/products/172169.jpg</t>
  </si>
  <si>
    <t>https://fc2.cwa.sellercloud.com/images/products/171652.jpg</t>
  </si>
  <si>
    <t>https://fc2.cwa.sellercloud.com/images/products/172033.jpg</t>
  </si>
  <si>
    <t>https://fc2.cwa.sellercloud.com/images/products/171565.jpg</t>
  </si>
  <si>
    <t>https://fc2.cwa.sellercloud.com/images/products/171566.jpg</t>
  </si>
  <si>
    <t>https://fc2.cwa.sellercloud.com/images/products/171567.jpg</t>
  </si>
  <si>
    <t>https://fc2.cwa.sellercloud.com/images/products/171516.jpg</t>
  </si>
  <si>
    <t>https://fc2.cwa.sellercloud.com/images/products/171486.jpg</t>
  </si>
  <si>
    <t>https://fc2.cwa.sellercloud.com/images/products/171534.jpg</t>
  </si>
  <si>
    <t>https://fc2.cwa.sellercloud.com/images/products/172029.jpg</t>
  </si>
  <si>
    <t>https://fc2.cwa.sellercloud.com/images/products/172045.jpg</t>
  </si>
  <si>
    <t>https://fc2.cwa.sellercloud.com/images/products/172088.jpg</t>
  </si>
  <si>
    <t>https://fc2.cwa.sellercloud.com/images/products/171907.jpg</t>
  </si>
  <si>
    <t>https://fc2.cwa.sellercloud.com/images/products/171978.jpg</t>
  </si>
  <si>
    <t>https://fc2.cwa.sellercloud.com/images/products/172144.jpg</t>
  </si>
  <si>
    <t>https://fc2.cwa.sellercloud.com/images/products/171923.jpg</t>
  </si>
  <si>
    <t>https://fc2.cwa.sellercloud.com/images/products/166011.jpg</t>
  </si>
  <si>
    <t>https://fc2.cwa.sellercloud.com/images/products/170964.jpg</t>
  </si>
  <si>
    <t>https://fc2.cwa.sellercloud.com/images/products/166422.jpg</t>
  </si>
  <si>
    <t>https://fc2.cwa.sellercloud.com/images/products/171931.jpg</t>
  </si>
  <si>
    <t>https://fc2.cwa.sellercloud.com/images/products/171487.jpg</t>
  </si>
  <si>
    <t>https://fc2.cwa.sellercloud.com/images/products/171946.jpg</t>
  </si>
  <si>
    <t>https://fc2.cwa.sellercloud.com/images/products/172096.jpg</t>
  </si>
  <si>
    <t>https://fc2.cwa.sellercloud.com/images/products/171537.jpg</t>
  </si>
  <si>
    <t>https://fc2.cwa.sellercloud.com/images/products/171919.jpg</t>
  </si>
  <si>
    <t>https://fc2.cwa.sellercloud.com/images/products/172177.jpg</t>
  </si>
  <si>
    <t>https://fc2.cwa.sellercloud.com/images/products/171584.jpg</t>
  </si>
  <si>
    <t>https://fc2.cwa.sellercloud.com/images/products/171455.jpg</t>
  </si>
  <si>
    <t>https://fc2.cwa.sellercloud.com/images/products/171453.jpg</t>
  </si>
  <si>
    <t>https://fc2.cwa.sellercloud.com/images/products/171604.jpg</t>
  </si>
  <si>
    <t>https://fc2.cwa.sellercloud.com/images/products/171599.jpg</t>
  </si>
  <si>
    <t>https://fc2.cwa.sellercloud.com/images/products/171533.jpg</t>
  </si>
  <si>
    <t>https://fc2.cwa.sellercloud.com/images/products/171532.jpg</t>
  </si>
  <si>
    <t>https://fc2.cwa.sellercloud.com/images/products/172196.jpg</t>
  </si>
  <si>
    <t>https://fc2.cwa.sellercloud.com/images/products/172195.jpg</t>
  </si>
  <si>
    <t>https://fc2.cwa.sellercloud.com/images/products/171555.jpg</t>
  </si>
  <si>
    <t>https://fc2.cwa.sellercloud.com/images/products/171454.jpg</t>
  </si>
  <si>
    <t>https://fc2.cwa.sellercloud.com/images/products/171582.jpg</t>
  </si>
  <si>
    <t>https://fc2.cwa.sellercloud.com/images/products/171233.jpg</t>
  </si>
  <si>
    <t>https://fc2.cwa.sellercloud.com/images/products/171186.jpg</t>
  </si>
  <si>
    <t>https://fc2.cwa.sellercloud.com/images/products/172053.jpg</t>
  </si>
  <si>
    <t>https://fc2.cwa.sellercloud.com/images/products/171966.jpg</t>
  </si>
  <si>
    <t>https://fc2.cwa.sellercloud.com/images/products/171556.jpg</t>
  </si>
  <si>
    <t>https://fc2.cwa.sellercloud.com/images/products/171557.jpg</t>
  </si>
  <si>
    <t>https://fc2.cwa.sellercloud.com/images/products/169025.jpg</t>
  </si>
  <si>
    <t>https://fc2.cwa.sellercloud.com/images/products/163828.jpg</t>
  </si>
  <si>
    <t>https://fc2.cwa.sellercloud.com/images/products/169087.jpg</t>
  </si>
  <si>
    <t>https://fc2.cwa.sellercloud.com/images/products/163979.jpg</t>
  </si>
  <si>
    <t>https://fc2.cwa.sellercloud.com/images/products/164025.jpg</t>
  </si>
  <si>
    <t>https://fc2.cwa.sellercloud.com/images/products/171558.jpg</t>
  </si>
  <si>
    <t>https://fc2.cwa.sellercloud.com/images/products/171559.jpg</t>
  </si>
  <si>
    <t>https://fc2.cwa.sellercloud.com/images/products/171531.jpg</t>
  </si>
  <si>
    <t>https://fc2.cwa.sellercloud.com/images/products/165746.jpg</t>
  </si>
  <si>
    <t>https://fc2.cwa.sellercloud.com/images/products/171529.jpg</t>
  </si>
  <si>
    <t>https://fc2.cwa.sellercloud.com/images/products/171970.jpg</t>
  </si>
  <si>
    <t>https://fc2.cwa.sellercloud.com/images/products/171592.jpg</t>
  </si>
  <si>
    <t>https://fc2.cwa.sellercloud.com/images/products/163685.jpg</t>
  </si>
  <si>
    <t>https://fc2.cwa.sellercloud.com/images/products/167216.jpg</t>
  </si>
  <si>
    <t>https://fc2.cwa.sellercloud.com/images/products/160486.jpg</t>
  </si>
  <si>
    <t>https://fc2.cwa.sellercloud.com/images/products/171536.jpg</t>
  </si>
  <si>
    <t>https://fc2.cwa.sellercloud.com/images/products/171622.jpg</t>
  </si>
  <si>
    <t>https://fc2.cwa.sellercloud.com/images/products/171631.jpg</t>
  </si>
  <si>
    <t>https://fc2.cwa.sellercloud.com/images/products/172205.jpg</t>
  </si>
  <si>
    <t>https://fc2.cwa.sellercloud.com/images/products/172191.jpg</t>
  </si>
  <si>
    <t>https://fc2.cwa.sellercloud.com/images/products/172209.jpg</t>
  </si>
  <si>
    <t>https://fc2.cwa.sellercloud.com/images/products/172211.jpg</t>
  </si>
  <si>
    <t>https://fc2.cwa.sellercloud.com/images/products/172210.jpg</t>
  </si>
  <si>
    <t>https://fc2.cwa.sellercloud.com/images/products/172025.jpg</t>
  </si>
  <si>
    <t>https://fc2.cwa.sellercloud.com/images/products/171911.jpg</t>
  </si>
  <si>
    <t>https://fc2.cwa.sellercloud.com/images/products/172112.jpg</t>
  </si>
  <si>
    <t>https://fc2.cwa.sellercloud.com/images/products/170919.jpg</t>
  </si>
  <si>
    <t>ZX_PE-TH-M-435649</t>
  </si>
  <si>
    <t>Set Impact Spark 3.4 Oz Edt + 0.14 Oz Edt Mini Men</t>
  </si>
  <si>
    <t>https://fc2.cwa.sellercloud.com/images/products/172214.jpg</t>
  </si>
  <si>
    <t>ZX_PE-TH-M-670191</t>
  </si>
  <si>
    <t>https://fc2.cwa.sellercloud.com/images/products/172213.jpg</t>
  </si>
  <si>
    <t>ZX_PE-JM-U-043279</t>
  </si>
  <si>
    <t>Zodiac Pisces 3.4 Oz Edp Unisex</t>
  </si>
  <si>
    <t>https://fc2.cwa.sellercloud.com/images/products/172199.jpg</t>
  </si>
  <si>
    <t>ZX_PE-JM-U-043309</t>
  </si>
  <si>
    <t>Zodiac Aries 3.4 Oz Edp Unisex</t>
  </si>
  <si>
    <t>https://fc2.cwa.sellercloud.com/images/products/172200.jpg</t>
  </si>
  <si>
    <t>ZX_PE-FRN-W-376714</t>
  </si>
  <si>
    <t>Pinnace White 3.4 Oz Edp Women</t>
  </si>
  <si>
    <t>https://fc2.cwa.sellercloud.com/images/products/172201.jpg</t>
  </si>
  <si>
    <t>ZX_PE-FRN-W-378091</t>
  </si>
  <si>
    <t>Coconut Leche 3.4 Oz Edp Women</t>
  </si>
  <si>
    <t>https://fc2.cwa.sellercloud.com/images/products/172202.jpg</t>
  </si>
  <si>
    <t>ZX_PE-FW-U-376707</t>
  </si>
  <si>
    <t>Pinnace Noir 3.4 Oz Edp Unisex</t>
  </si>
  <si>
    <t>https://fc2.cwa.sellercloud.com/images/products/172203.jpg</t>
  </si>
  <si>
    <t>ZX_PE-ZI-U-071013</t>
  </si>
  <si>
    <t>https://fc2.cwa.sellercloud.com/images/products/171813.jpg</t>
  </si>
  <si>
    <t>https://fc2.cwa.sellercloud.com/images/products/163843.jpg</t>
  </si>
  <si>
    <t>https://fc2.cwa.sellercloud.com/images/products/170410.jpg</t>
  </si>
  <si>
    <t>https://fc2.cwa.sellercloud.com/images/products/160517.jpg</t>
  </si>
  <si>
    <t>https://fc2.cwa.sellercloud.com/images/products/164064.jpg</t>
  </si>
  <si>
    <t>https://fc2.cwa.sellercloud.com/images/products/164043.jpg</t>
  </si>
  <si>
    <t>https://fc2.cwa.sellercloud.com/images/products/164017.jpg</t>
  </si>
  <si>
    <t>https://fc2.cwa.sellercloud.com/images/products/163779.jpg</t>
  </si>
  <si>
    <t>https://fc2.cwa.sellercloud.com/images/products/163819.jpg</t>
  </si>
  <si>
    <t>https://fc2.cwa.sellercloud.com/images/products/169450.jpg</t>
  </si>
  <si>
    <t>https://fc2.cwa.sellercloud.com/images/products/163973.jpg</t>
  </si>
  <si>
    <t>https://fc2.cwa.sellercloud.com/images/products/169333.jpg</t>
  </si>
  <si>
    <t>https://fc2.cwa.sellercloud.com/images/products/163845.jpg</t>
  </si>
  <si>
    <t>https://fc2.cwa.sellercloud.com/images/products/160525.jpg</t>
  </si>
  <si>
    <t>https://fc2.cwa.sellercloud.com/images/products/169262.jpg</t>
  </si>
  <si>
    <t>https://fc2.cwa.sellercloud.com/images/products/169281.jpg</t>
  </si>
  <si>
    <t>https://fc2.cwa.sellercloud.com/images/products/169171.jpg</t>
  </si>
  <si>
    <t>https://fc2.cwa.sellercloud.com/images/products/168665.jpg</t>
  </si>
  <si>
    <t>https://fc2.cwa.sellercloud.com/images/products/167266.jpg</t>
  </si>
  <si>
    <t>https://fc2.cwa.sellercloud.com/images/products/169029.jpg</t>
  </si>
  <si>
    <t>https://fc2.cwa.sellercloud.com/images/products/167650.jpg</t>
  </si>
  <si>
    <t>https://fc2.cwa.sellercloud.com/images/products/164349.jpg</t>
  </si>
  <si>
    <t>https://fc2.cwa.sellercloud.com/images/products/168158.jpg</t>
  </si>
  <si>
    <t>https://fc2.cwa.sellercloud.com/images/products/167423.jpg</t>
  </si>
  <si>
    <t>https://fc2.cwa.sellercloud.com/images/products/169572.jpg</t>
  </si>
  <si>
    <t>https://fc2.cwa.sellercloud.com/images/products/163953.jpg</t>
  </si>
  <si>
    <t>https://fc2.cwa.sellercloud.com/images/products/167790.jpg</t>
  </si>
  <si>
    <t>https://fc2.cwa.sellercloud.com/images/products/167551.jpg</t>
  </si>
  <si>
    <t>https://fc2.cwa.sellercloud.com/images/products/167391.jpg</t>
  </si>
  <si>
    <t>https://fc2.cwa.sellercloud.com/images/products/163880.jpg</t>
  </si>
  <si>
    <t>https://fc2.cwa.sellercloud.com/images/products/170378.jpg</t>
  </si>
  <si>
    <t>https://fc2.cwa.sellercloud.com/images/products/167126.jpg</t>
  </si>
  <si>
    <t>https://fc2.cwa.sellercloud.com/images/products/166815.jpg</t>
  </si>
  <si>
    <t>https://fc2.cwa.sellercloud.com/images/products/163646.jpg</t>
  </si>
  <si>
    <t>https://fc2.cwa.sellercloud.com/images/products/167303.jpg</t>
  </si>
  <si>
    <t>https://fc2.cwa.sellercloud.com/images/products/167291.jpg</t>
  </si>
  <si>
    <t>https://fc2.cwa.sellercloud.com/images/products/163969.jpg</t>
  </si>
  <si>
    <t>https://fc2.cwa.sellercloud.com/images/products/167315.jpg</t>
  </si>
  <si>
    <t>https://fc2.cwa.sellercloud.com/images/products/167068.jpg</t>
  </si>
  <si>
    <t>https://fc2.cwa.sellercloud.com/images/products/167231.jpg</t>
  </si>
  <si>
    <t>https://fc2.cwa.sellercloud.com/images/products/163643.jpg</t>
  </si>
  <si>
    <t>https://fc2.cwa.sellercloud.com/images/products/163900.jpg</t>
  </si>
  <si>
    <t>https://fc2.cwa.sellercloud.com/images/products/163871.jpg</t>
  </si>
  <si>
    <t>https://fc2.cwa.sellercloud.com/images/products/168170.jpg</t>
  </si>
  <si>
    <t>https://fc2.cwa.sellercloud.com/images/products/171039.jpg</t>
  </si>
  <si>
    <t>https://fc2.cwa.sellercloud.com/images/products/169596.jpg</t>
  </si>
  <si>
    <t>https://fc2.cwa.sellercloud.com/images/products/169518.jpg</t>
  </si>
  <si>
    <t>https://fc2.cwa.sellercloud.com/images/products/172069.jpg</t>
  </si>
  <si>
    <t>https://fc2.cwa.sellercloud.com/images/products/160267.jpg</t>
  </si>
  <si>
    <t>https://fc2.cwa.sellercloud.com/images/products/169195.jpg</t>
  </si>
  <si>
    <t>https://fc2.cwa.sellercloud.com/images/products/163581.jpg</t>
  </si>
  <si>
    <t>https://fc2.cwa.sellercloud.com/images/products/168318.jpg</t>
  </si>
  <si>
    <t>https://fc2.cwa.sellercloud.com/images/products/167141.jpg</t>
  </si>
  <si>
    <t>https://fc2.cwa.sellercloud.com/images/products/167926.jpg</t>
  </si>
  <si>
    <t>https://fc2.cwa.sellercloud.com/images/products/167535.jpg</t>
  </si>
  <si>
    <t>https://fc2.cwa.sellercloud.com/images/products/169155.jpg</t>
  </si>
  <si>
    <t>https://fc2.cwa.sellercloud.com/images/products/168010.jpg</t>
  </si>
  <si>
    <t>https://fc2.cwa.sellercloud.com/images/products/168090.jpg</t>
  </si>
  <si>
    <t>https://fc2.cwa.sellercloud.com/images/products/168397.jpg</t>
  </si>
  <si>
    <t>https://fc2.cwa.sellercloud.com/images/products/167335.jpg</t>
  </si>
  <si>
    <t>https://fc2.cwa.sellercloud.com/images/products/167185.jpg</t>
  </si>
  <si>
    <t>https://fc2.cwa.sellercloud.com/images/products/163807.jpg</t>
  </si>
  <si>
    <t>https://fc2.cwa.sellercloud.com/images/products/168182.jpg</t>
  </si>
  <si>
    <t>https://fc2.cwa.sellercloud.com/images/products/171019.jpg</t>
  </si>
  <si>
    <t>https://fc2.cwa.sellercloud.com/images/products/165814.jpg</t>
  </si>
  <si>
    <t>https://fc2.cwa.sellercloud.com/images/products/165759.jpg</t>
  </si>
  <si>
    <t>https://fc2.cwa.sellercloud.com/images/products/167998.jpg</t>
  </si>
  <si>
    <t>https://fc2.cwa.sellercloud.com/images/products/171049.jpg</t>
  </si>
  <si>
    <t>https://fc2.cwa.sellercloud.com/images/products/167512.jpg</t>
  </si>
  <si>
    <t>https://fc2.cwa.sellercloud.com/images/products/168726.jpg</t>
  </si>
  <si>
    <t>https://fc2.cwa.sellercloud.com/images/products/170871.jpg</t>
  </si>
  <si>
    <t>https://fc2.cwa.sellercloud.com/images/products/166583.jpg</t>
  </si>
  <si>
    <t>https://fc2.cwa.sellercloud.com/images/products/163940.jpg</t>
  </si>
  <si>
    <t>https://fc2.cwa.sellercloud.com/images/products/160705.jpg</t>
  </si>
  <si>
    <t>https://fc2.cwa.sellercloud.com/images/products/166280.jpg</t>
  </si>
  <si>
    <t>https://fc2.cwa.sellercloud.com/images/products/167415.jpg</t>
  </si>
  <si>
    <t>https://fc2.cwa.sellercloud.com/images/products/169524.jpg</t>
  </si>
  <si>
    <t>https://fc2.cwa.sellercloud.com/images/products/167504.jpg</t>
  </si>
  <si>
    <t>https://fc2.cwa.sellercloud.com/images/products/163774.jpg</t>
  </si>
  <si>
    <t>https://fc2.cwa.sellercloud.com/images/products/166559.jpg</t>
  </si>
  <si>
    <t>https://fc2.cwa.sellercloud.com/images/products/163682.jpg</t>
  </si>
  <si>
    <t>https://fc2.cwa.sellercloud.com/images/products/170111.jpg</t>
  </si>
  <si>
    <t>https://fc2.cwa.sellercloud.com/images/products/167347.jpg</t>
  </si>
  <si>
    <t>https://fc2.cwa.sellercloud.com/images/products/167213.jpg</t>
  </si>
  <si>
    <t>https://fc2.cwa.sellercloud.com/images/products/165911.jpg</t>
  </si>
  <si>
    <t>https://fc2.cwa.sellercloud.com/images/products/167705.jpg</t>
  </si>
  <si>
    <t>https://fc2.cwa.sellercloud.com/images/products/165951.jpg</t>
  </si>
  <si>
    <t>https://fc2.cwa.sellercloud.com/images/products/163844.jpg</t>
  </si>
  <si>
    <t>https://fc2.cwa.sellercloud.com/images/products/171065.jpg</t>
  </si>
  <si>
    <t>https://fc2.cwa.sellercloud.com/images/products/160447.jpg</t>
  </si>
  <si>
    <t>https://fc2.cwa.sellercloud.com/images/products/163959.jpg</t>
  </si>
  <si>
    <t>https://fc2.cwa.sellercloud.com/images/products/167515.jpg</t>
  </si>
  <si>
    <t>https://fc2.cwa.sellercloud.com/images/products/167493.jpg</t>
  </si>
  <si>
    <t>https://fc2.cwa.sellercloud.com/images/products/170408.jpg</t>
  </si>
  <si>
    <t>https://fc2.cwa.sellercloud.com/images/products/171013.jpg</t>
  </si>
  <si>
    <t>https://fc2.cwa.sellercloud.com/images/products/167395.jpg</t>
  </si>
  <si>
    <t>https://fc2.cwa.sellercloud.com/images/products/168262.jpg</t>
  </si>
  <si>
    <t>https://fc2.cwa.sellercloud.com/images/products/169771.jpg</t>
  </si>
  <si>
    <t>https://fc2.cwa.sellercloud.com/images/products/166803.jpg</t>
  </si>
  <si>
    <t>https://fc2.cwa.sellercloud.com/images/products/169313.jpg</t>
  </si>
  <si>
    <t>https://fc2.cwa.sellercloud.com/images/products/163837.jpg</t>
  </si>
  <si>
    <t>https://fc2.cwa.sellercloud.com/images/products/167258.jpg</t>
  </si>
  <si>
    <t>https://fc2.cwa.sellercloud.com/images/products/169576.jpg</t>
  </si>
  <si>
    <t>https://fc2.cwa.sellercloud.com/images/products/166170.jpg</t>
  </si>
  <si>
    <t>https://fc2.cwa.sellercloud.com/images/products/163841.jpg</t>
  </si>
  <si>
    <t>https://fc2.cwa.sellercloud.com/images/products/170393.jpg</t>
  </si>
  <si>
    <t>https://fc2.cwa.sellercloud.com/images/products/167224.jpg</t>
  </si>
  <si>
    <t>https://fc2.cwa.sellercloud.com/images/products/169756.jpg</t>
  </si>
  <si>
    <t>https://fc2.cwa.sellercloud.com/images/products/166413.jpg</t>
  </si>
  <si>
    <t>https://fc2.cwa.sellercloud.com/images/products/168900.jpg</t>
  </si>
  <si>
    <t>https://fc2.cwa.sellercloud.com/images/products/168491.jpg</t>
  </si>
  <si>
    <t>https://fc2.cwa.sellercloud.com/images/products/167691.jpg</t>
  </si>
  <si>
    <t>https://fc2.cwa.sellercloud.com/images/products/167043.jpg</t>
  </si>
  <si>
    <t>https://fc2.cwa.sellercloud.com/images/products/167563.jpg</t>
  </si>
  <si>
    <t>https://fc2.cwa.sellercloud.com/images/products/167478.jpg</t>
  </si>
  <si>
    <t>https://fc2.cwa.sellercloud.com/images/products/163910.jpg</t>
  </si>
  <si>
    <t>https://fc2.cwa.sellercloud.com/images/products/167455.jpg</t>
  </si>
  <si>
    <t>https://fc2.cwa.sellercloud.com/images/products/166788.jpg</t>
  </si>
  <si>
    <t>https://fc2.cwa.sellercloud.com/images/products/168875.jpg</t>
  </si>
  <si>
    <t>https://fc2.cwa.sellercloud.com/images/products/163778.jpg</t>
  </si>
  <si>
    <t>https://fc2.cwa.sellercloud.com/images/products/166161.jpg</t>
  </si>
  <si>
    <t>https://fc2.cwa.sellercloud.com/images/products/166763.jpg</t>
  </si>
  <si>
    <t>https://fc2.cwa.sellercloud.com/images/products/169777.jpg</t>
  </si>
  <si>
    <t>https://fc2.cwa.sellercloud.com/images/products/168499.jpg</t>
  </si>
  <si>
    <t>https://fc2.cwa.sellercloud.com/images/products/167878.jpg</t>
  </si>
  <si>
    <t>https://fc2.cwa.sellercloud.com/images/products/166371.jpg</t>
  </si>
  <si>
    <t>https://fc2.cwa.sellercloud.com/images/products/167799.jpg</t>
  </si>
  <si>
    <t>https://fc2.cwa.sellercloud.com/images/products/167862.jpg</t>
  </si>
  <si>
    <t>https://fc2.cwa.sellercloud.com/images/products/167149.jpg</t>
  </si>
  <si>
    <t>https://fc2.cwa.sellercloud.com/images/products/167156.jpg</t>
  </si>
  <si>
    <t>https://fc2.cwa.sellercloud.com/images/products/167858.jpg</t>
  </si>
  <si>
    <t>https://fc2.cwa.sellercloud.com/images/products/167435.jpg</t>
  </si>
  <si>
    <t>https://fc2.cwa.sellercloud.com/images/products/168531.jpg</t>
  </si>
  <si>
    <t>https://fc2.cwa.sellercloud.com/images/products/168427.jpg</t>
  </si>
  <si>
    <t>https://fc2.cwa.sellercloud.com/images/products/169913.jpg</t>
  </si>
  <si>
    <t>https://fc2.cwa.sellercloud.com/images/products/168440.jpg</t>
  </si>
  <si>
    <t>https://fc2.cwa.sellercloud.com/images/products/169353.jpg</t>
  </si>
  <si>
    <t>https://fc2.cwa.sellercloud.com/images/products/169067.jpg</t>
  </si>
  <si>
    <t>https://fc2.cwa.sellercloud.com/images/products/167786.jpg</t>
  </si>
  <si>
    <t>https://fc2.cwa.sellercloud.com/images/products/168693.jpg</t>
  </si>
  <si>
    <t>https://fc2.cwa.sellercloud.com/images/products/166603.jpg</t>
  </si>
  <si>
    <t>https://fc2.cwa.sellercloud.com/images/products/167870.jpg</t>
  </si>
  <si>
    <t>https://fc2.cwa.sellercloud.com/images/products/168710.jpg</t>
  </si>
  <si>
    <t>https://fc2.cwa.sellercloud.com/images/products/169746.jpg</t>
  </si>
  <si>
    <t>https://fc2.cwa.sellercloud.com/images/products/165750.jpg</t>
  </si>
  <si>
    <t>https://fc2.cwa.sellercloud.com/images/products/171007.jpg</t>
  </si>
  <si>
    <t>https://fc2.cwa.sellercloud.com/images/products/168401.jpg</t>
  </si>
  <si>
    <t>https://fc2.cwa.sellercloud.com/images/products/169075.jpg</t>
  </si>
  <si>
    <t>https://fc2.cwa.sellercloud.com/images/products/169584.jpg</t>
  </si>
  <si>
    <t>https://fc2.cwa.sellercloud.com/images/products/167036.jpg</t>
  </si>
  <si>
    <t>https://fc2.cwa.sellercloud.com/images/products/167519.jpg</t>
  </si>
  <si>
    <t>https://fc2.cwa.sellercloud.com/images/products/168669.jpg</t>
  </si>
  <si>
    <t>https://fc2.cwa.sellercloud.com/images/products/166767.jpg</t>
  </si>
  <si>
    <t>https://fc2.cwa.sellercloud.com/images/products/169135.jpg</t>
  </si>
  <si>
    <t>https://fc2.cwa.sellercloud.com/images/products/169147.jpg</t>
  </si>
  <si>
    <t>https://fc2.cwa.sellercloud.com/images/products/165856.jpg</t>
  </si>
  <si>
    <t>https://fc2.cwa.sellercloud.com/images/products/166475.jpg</t>
  </si>
  <si>
    <t>https://fc2.cwa.sellercloud.com/images/products/166496.jpg</t>
  </si>
  <si>
    <t>https://fc2.cwa.sellercloud.com/images/products/163915.jpg</t>
  </si>
  <si>
    <t>https://fc2.cwa.sellercloud.com/images/products/170390.jpg</t>
  </si>
  <si>
    <t>https://fc2.cwa.sellercloud.com/images/products/170388.jpg</t>
  </si>
  <si>
    <t>https://fc2.cwa.sellercloud.com/images/products/169071.jpg</t>
  </si>
  <si>
    <t>https://fc2.cwa.sellercloud.com/images/products/166455.jpg</t>
  </si>
  <si>
    <t>https://fc2.cwa.sellercloud.com/images/products/168701.jpg</t>
  </si>
  <si>
    <t>https://fc2.cwa.sellercloud.com/images/products/166591.jpg</t>
  </si>
  <si>
    <t>https://fc2.cwa.sellercloud.com/images/products/170407.jpg</t>
  </si>
  <si>
    <t>https://fc2.cwa.sellercloud.com/images/products/166920.jpg</t>
  </si>
  <si>
    <t>https://fc2.cwa.sellercloud.com/images/products/170875.jpg</t>
  </si>
  <si>
    <t>https://fc2.cwa.sellercloud.com/images/products/168982.jpg</t>
  </si>
  <si>
    <t>https://fc2.cwa.sellercloud.com/images/products/166776.jpg</t>
  </si>
  <si>
    <t>https://fc2.cwa.sellercloud.com/images/products/168605.jpg</t>
  </si>
  <si>
    <t>https://fc2.cwa.sellercloud.com/images/products/167462.jpg</t>
  </si>
  <si>
    <t>https://fc2.cwa.sellercloud.com/images/products/160597.jpg</t>
  </si>
  <si>
    <t>https://fc2.cwa.sellercloud.com/images/products/169127.jpg</t>
  </si>
  <si>
    <t>https://fc2.cwa.sellercloud.com/images/products/168361.jpg</t>
  </si>
  <si>
    <t>https://fc2.cwa.sellercloud.com/images/products/160253.jpg</t>
  </si>
  <si>
    <t>https://fc2.cwa.sellercloud.com/images/products/163641.jpg</t>
  </si>
  <si>
    <t>https://fc2.cwa.sellercloud.com/images/products/167006.jpg</t>
  </si>
  <si>
    <t>https://fc2.cwa.sellercloud.com/images/products/169219.jpg</t>
  </si>
  <si>
    <t>https://fc2.cwa.sellercloud.com/images/products/167566.jpg</t>
  </si>
  <si>
    <t>https://fc2.cwa.sellercloud.com/images/products/164433.jpg</t>
  </si>
  <si>
    <t>https://fc2.cwa.sellercloud.com/images/products/169139.jpg</t>
  </si>
  <si>
    <t>https://fc2.cwa.sellercloud.com/images/products/163668.jpg</t>
  </si>
  <si>
    <t>https://fc2.cwa.sellercloud.com/images/products/165801.jpg</t>
  </si>
  <si>
    <t>https://fc2.cwa.sellercloud.com/images/products/169618.jpg</t>
  </si>
  <si>
    <t>https://fc2.cwa.sellercloud.com/images/products/168601.jpg</t>
  </si>
  <si>
    <t>https://fc2.cwa.sellercloud.com/images/products/170405.jpg</t>
  </si>
  <si>
    <t>https://fc2.cwa.sellercloud.com/images/products/169755.jpg</t>
  </si>
  <si>
    <t>https://fc2.cwa.sellercloud.com/images/products/169705.jpg</t>
  </si>
  <si>
    <t>https://fc2.cwa.sellercloud.com/images/products/169757.jpg</t>
  </si>
  <si>
    <t>https://fc2.cwa.sellercloud.com/images/products/163929.jpg</t>
  </si>
  <si>
    <t>https://fc2.cwa.sellercloud.com/images/products/163920.jpg</t>
  </si>
  <si>
    <t>https://fc2.cwa.sellercloud.com/images/products/169744.jpg</t>
  </si>
  <si>
    <t>https://fc2.cwa.sellercloud.com/images/products/167634.jpg</t>
  </si>
  <si>
    <t>https://fc2.cwa.sellercloud.com/images/products/167411.jpg</t>
  </si>
  <si>
    <t>https://fc2.cwa.sellercloud.com/images/products/170363.jpg</t>
  </si>
  <si>
    <t>https://fc2.cwa.sellercloud.com/images/products/165851.jpg</t>
  </si>
  <si>
    <t>https://fc2.cwa.sellercloud.com/images/products/169052.jpg</t>
  </si>
  <si>
    <t>https://fc2.cwa.sellercloud.com/images/products/166281.jpg</t>
  </si>
  <si>
    <t>https://fc2.cwa.sellercloud.com/images/products/168002.jpg</t>
  </si>
  <si>
    <t>https://fc2.cwa.sellercloud.com/images/products/167631.jpg</t>
  </si>
  <si>
    <t>https://fc2.cwa.sellercloud.com/images/products/167588.jpg</t>
  </si>
  <si>
    <t>https://fc2.cwa.sellercloud.com/images/products/169688.jpg</t>
  </si>
  <si>
    <t>https://fc2.cwa.sellercloud.com/images/products/169708.jpg</t>
  </si>
  <si>
    <t>https://fc2.cwa.sellercloud.com/images/products/169654.jpg</t>
  </si>
  <si>
    <t>https://fc2.cwa.sellercloud.com/images/products/168467.jpg</t>
  </si>
  <si>
    <t>https://fc2.cwa.sellercloud.com/images/products/168717.jpg</t>
  </si>
  <si>
    <t>https://fc2.cwa.sellercloud.com/images/products/168796.jpg</t>
  </si>
  <si>
    <t>https://fc2.cwa.sellercloud.com/images/products/171041.jpg</t>
  </si>
  <si>
    <t>https://fc2.cwa.sellercloud.com/images/products/164015.jpg</t>
  </si>
  <si>
    <t>https://fc2.cwa.sellercloud.com/images/products/168282.jpg</t>
  </si>
  <si>
    <t>https://fc2.cwa.sellercloud.com/images/products/166488.jpg</t>
  </si>
  <si>
    <t>https://fc2.cwa.sellercloud.com/images/products/168677.jpg</t>
  </si>
  <si>
    <t>https://fc2.cwa.sellercloud.com/images/products/168755.jpg</t>
  </si>
  <si>
    <t>https://fc2.cwa.sellercloud.com/images/products/160711.jpg</t>
  </si>
  <si>
    <t>https://fc2.cwa.sellercloud.com/images/products/168685.jpg</t>
  </si>
  <si>
    <t>https://fc2.cwa.sellercloud.com/images/products/168722.jpg</t>
  </si>
  <si>
    <t>https://fc2.cwa.sellercloud.com/images/products/167299.jpg</t>
  </si>
  <si>
    <t>https://fc2.cwa.sellercloud.com/images/products/168238.jpg</t>
  </si>
  <si>
    <t>https://fc2.cwa.sellercloud.com/images/products/168353.jpg</t>
  </si>
  <si>
    <t>https://fc2.cwa.sellercloud.com/images/products/171895.jpg</t>
  </si>
  <si>
    <t>https://fc2.cwa.sellercloud.com/images/products/164092.jpg</t>
  </si>
  <si>
    <t>https://fc2.cwa.sellercloud.com/images/products/160317.jpg</t>
  </si>
  <si>
    <t>https://fc2.cwa.sellercloud.com/images/products/163909.jpg</t>
  </si>
  <si>
    <t>https://fc2.cwa.sellercloud.com/images/products/169697.jpg</t>
  </si>
  <si>
    <t>https://fc2.cwa.sellercloud.com/images/products/170848.jpg</t>
  </si>
  <si>
    <t>https://fc2.cwa.sellercloud.com/images/products/168298.jpg</t>
  </si>
  <si>
    <t>https://fc2.cwa.sellercloud.com/images/products/167646.jpg</t>
  </si>
  <si>
    <t>https://fc2.cwa.sellercloud.com/images/products/170379.jpg</t>
  </si>
  <si>
    <t>https://fc2.cwa.sellercloud.com/images/products/169547.jpg</t>
  </si>
  <si>
    <t>https://fc2.cwa.sellercloud.com/images/products/163916.jpg</t>
  </si>
  <si>
    <t>https://fc2.cwa.sellercloud.com/images/products/169643.jpg</t>
  </si>
  <si>
    <t>https://fc2.cwa.sellercloud.com/images/products/165233.jpg</t>
  </si>
  <si>
    <t>https://fc2.cwa.sellercloud.com/images/products/167319.jpg</t>
  </si>
  <si>
    <t>https://fc2.cwa.sellercloud.com/images/products/169258.jpg</t>
  </si>
  <si>
    <t>https://fc2.cwa.sellercloud.com/images/products/166666.jpg</t>
  </si>
  <si>
    <t>https://fc2.cwa.sellercloud.com/images/products/167307.jpg</t>
  </si>
  <si>
    <t>https://fc2.cwa.sellercloud.com/images/products/163914.jpg</t>
  </si>
  <si>
    <t>https://fc2.cwa.sellercloud.com/images/products/163814.jpg</t>
  </si>
  <si>
    <t>https://fc2.cwa.sellercloud.com/images/products/170381.jpg</t>
  </si>
  <si>
    <t>https://fc2.cwa.sellercloud.com/images/products/166467.jpg</t>
  </si>
  <si>
    <t>https://fc2.cwa.sellercloud.com/images/products/168026.jpg</t>
  </si>
  <si>
    <t>https://fc2.cwa.sellercloud.com/images/products/168393.jpg</t>
  </si>
  <si>
    <t>https://fc2.cwa.sellercloud.com/images/products/169430.jpg</t>
  </si>
  <si>
    <t>https://fc2.cwa.sellercloud.com/images/products/166526.jpg</t>
  </si>
  <si>
    <t>https://fc2.cwa.sellercloud.com/images/products/166587.jpg</t>
  </si>
  <si>
    <t>https://fc2.cwa.sellercloud.com/images/products/163821.jpg</t>
  </si>
  <si>
    <t>https://fc2.cwa.sellercloud.com/images/products/168118.jpg</t>
  </si>
  <si>
    <t>https://fc2.cwa.sellercloud.com/images/products/170721.jpg</t>
  </si>
  <si>
    <t>https://fc2.cwa.sellercloud.com/images/products/171396.jpg</t>
  </si>
  <si>
    <t>https://fc2.cwa.sellercloud.com/images/products/171421.jpg</t>
  </si>
  <si>
    <t>https://fc2.cwa.sellercloud.com/images/products/171438.jpg</t>
  </si>
  <si>
    <t>https://fc2.cwa.sellercloud.com/images/products/171656.jpg</t>
  </si>
  <si>
    <t>https://fc2.cwa.sellercloud.com/images/products/171390.jpg</t>
  </si>
  <si>
    <t>https://fc2.cwa.sellercloud.com/images/products/171403.jpg</t>
  </si>
  <si>
    <t>https://fc2.cwa.sellercloud.com/images/products/171716.jpg</t>
  </si>
  <si>
    <t>https://fc2.cwa.sellercloud.com/images/products/171399.jpg</t>
  </si>
  <si>
    <t>https://fc2.cwa.sellercloud.com/images/products/171696.jpg</t>
  </si>
  <si>
    <t>https://fc2.cwa.sellercloud.com/images/products/171407.jpg</t>
  </si>
  <si>
    <t>https://fc2.cwa.sellercloud.com/images/products/171700.jpg</t>
  </si>
  <si>
    <t>https://fc2.cwa.sellercloud.com/images/products/171708.jpg</t>
  </si>
  <si>
    <t>https://fc2.cwa.sellercloud.com/images/products/171428.jpg</t>
  </si>
  <si>
    <t>https://fc2.cwa.sellercloud.com/images/products/171434.jpg</t>
  </si>
  <si>
    <t>https://fc2.cwa.sellercloud.com/images/products/171684.jpg</t>
  </si>
  <si>
    <t>https://fc2.cwa.sellercloud.com/images/products/171728.jpg</t>
  </si>
  <si>
    <t>https://fc2.cwa.sellercloud.com/images/products/171401.jpg</t>
  </si>
  <si>
    <t>https://fc2.cwa.sellercloud.com/images/products/172084.jpg</t>
  </si>
  <si>
    <t>https://fc2.cwa.sellercloud.com/images/products/171416.jpg</t>
  </si>
  <si>
    <t>https://fc2.cwa.sellercloud.com/images/products/171372.jpg</t>
  </si>
  <si>
    <t>https://fc2.cwa.sellercloud.com/images/products/171397.jpg</t>
  </si>
  <si>
    <t>https://fc2.cwa.sellercloud.com/images/products/171644.jpg</t>
  </si>
  <si>
    <t>https://fc2.cwa.sellercloud.com/images/products/171437.jpg</t>
  </si>
  <si>
    <t>https://fc2.cwa.sellercloud.com/images/products/171432.jpg</t>
  </si>
  <si>
    <t>https://fc2.cwa.sellercloud.com/images/products/171451.jpg</t>
  </si>
  <si>
    <t>https://fc2.cwa.sellercloud.com/images/products/171446.jpg</t>
  </si>
  <si>
    <t>https://fc2.cwa.sellercloud.com/images/products/171441.jpg</t>
  </si>
  <si>
    <t>https://fc2.cwa.sellercloud.com/images/products/171383.jpg</t>
  </si>
  <si>
    <t>https://fc2.cwa.sellercloud.com/images/products/171419.jpg</t>
  </si>
  <si>
    <t>https://fc2.cwa.sellercloud.com/images/products/171450.jpg</t>
  </si>
  <si>
    <t>https://fc2.cwa.sellercloud.com/images/products/171414.jpg</t>
  </si>
  <si>
    <t>https://fc2.cwa.sellercloud.com/images/products/171680.jpg</t>
  </si>
  <si>
    <t>https://fc2.cwa.sellercloud.com/images/products/171809.jpg</t>
  </si>
  <si>
    <t>https://fc2.cwa.sellercloud.com/images/products/171415.jpg</t>
  </si>
  <si>
    <t>https://fc2.cwa.sellercloud.com/images/products/170728.jpg</t>
  </si>
  <si>
    <t>https://fc2.cwa.sellercloud.com/images/products/171664.jpg</t>
  </si>
  <si>
    <t>https://fc2.cwa.sellercloud.com/images/products/171379.jpg</t>
  </si>
  <si>
    <t>https://fc2.cwa.sellercloud.com/images/products/171732.jpg</t>
  </si>
  <si>
    <t>https://fc2.cwa.sellercloud.com/images/products/171387.jpg</t>
  </si>
  <si>
    <t>https://fc2.cwa.sellercloud.com/images/products/171740.jpg</t>
  </si>
  <si>
    <t>https://fc2.cwa.sellercloud.com/images/products/171385.jpg</t>
  </si>
  <si>
    <t>https://fc2.cwa.sellercloud.com/images/products/171756.jpg</t>
  </si>
  <si>
    <t>https://fc2.cwa.sellercloud.com/images/products/171712.jpg</t>
  </si>
  <si>
    <t>https://fc2.cwa.sellercloud.com/images/products/171760.jpg</t>
  </si>
  <si>
    <t>https://fc2.cwa.sellercloud.com/images/products/171412.jpg</t>
  </si>
  <si>
    <t>https://fc2.cwa.sellercloud.com/images/products/171748.jpg</t>
  </si>
  <si>
    <t>https://fc2.cwa.sellercloud.com/images/products/171704.jpg</t>
  </si>
  <si>
    <t>https://fc2.cwa.sellercloud.com/images/products/171692.jpg</t>
  </si>
  <si>
    <t>https://fc2.cwa.sellercloud.com/images/products/170724.jpg</t>
  </si>
  <si>
    <t>https://fc2.cwa.sellercloud.com/images/products/171672.jpg</t>
  </si>
  <si>
    <t>https://fc2.cwa.sellercloud.com/images/products/171752.jpg</t>
  </si>
  <si>
    <t>https://fc2.cwa.sellercloud.com/images/products/171648.jpg</t>
  </si>
  <si>
    <t>https://fc2.cwa.sellercloud.com/images/products/171435.jpg</t>
  </si>
  <si>
    <t>https://fc2.cwa.sellercloud.com/images/products/171381.jpg</t>
  </si>
  <si>
    <t>https://fc2.cwa.sellercloud.com/images/products/171378.jpg</t>
  </si>
  <si>
    <t>https://fc2.cwa.sellercloud.com/images/products/171688.jpg</t>
  </si>
  <si>
    <t>https://fc2.cwa.sellercloud.com/images/products/171724.jpg</t>
  </si>
  <si>
    <t>https://fc2.cwa.sellercloud.com/images/products/171431.jpg</t>
  </si>
  <si>
    <t>https://fc2.cwa.sellercloud.com/images/products/171610.jpg</t>
  </si>
  <si>
    <t>https://fc2.cwa.sellercloud.com/images/products/171382.jpg</t>
  </si>
  <si>
    <t>https://fc2.cwa.sellercloud.com/images/products/171445.jpg</t>
  </si>
  <si>
    <t>https://fc2.cwa.sellercloud.com/images/products/171375.jpg</t>
  </si>
  <si>
    <t>https://fc2.cwa.sellercloud.com/images/products/170720.jpg</t>
  </si>
  <si>
    <t>https://fc2.cwa.sellercloud.com/images/products/171660.jpg</t>
  </si>
  <si>
    <t>https://fc2.cwa.sellercloud.com/images/products/171736.jpg</t>
  </si>
  <si>
    <t>https://fc2.cwa.sellercloud.com/images/products/171440.jpg</t>
  </si>
  <si>
    <t>https://fc2.cwa.sellercloud.com/images/products/170722.jpg</t>
  </si>
  <si>
    <t>https://fc2.cwa.sellercloud.com/images/products/171744.jpg</t>
  </si>
  <si>
    <t>https://fc2.cwa.sellercloud.com/images/products/171668.jpg</t>
  </si>
  <si>
    <t>https://fc2.cwa.sellercloud.com/images/products/170723.jpg</t>
  </si>
  <si>
    <t>https://fc2.cwa.sellercloud.com/images/products/171384.jpg</t>
  </si>
  <si>
    <t>https://fc2.cwa.sellercloud.com/images/products/171420.jpg</t>
  </si>
  <si>
    <t>https://fc2.cwa.sellercloud.com/images/products/171449.jpg</t>
  </si>
  <si>
    <t>https://fc2.cwa.sellercloud.com/images/products/171447.jpg</t>
  </si>
  <si>
    <t>https://fc2.cwa.sellercloud.com/images/products/171409.jpg</t>
  </si>
  <si>
    <t>https://fc2.cwa.sellercloud.com/images/products/171398.jpg</t>
  </si>
  <si>
    <t>https://fc2.cwa.sellercloud.com/images/products/171402.jpg</t>
  </si>
  <si>
    <t>https://fc2.cwa.sellercloud.com/images/products/171373.jpg</t>
  </si>
  <si>
    <t>https://fc2.cwa.sellercloud.com/images/products/171720.jpg</t>
  </si>
  <si>
    <t>https://fc2.cwa.sellercloud.com/images/products/171676.jpg</t>
  </si>
  <si>
    <t>https://fc2.cwa.sellercloud.com/images/products/163846.jpg</t>
  </si>
  <si>
    <t>https://fc2.cwa.sellercloud.com/images/products/171427.jpg</t>
  </si>
  <si>
    <t>https://fc2.cwa.sellercloud.com/images/products/171422.jpg</t>
  </si>
  <si>
    <t>https://fc2.cwa.sellercloud.com/images/products/171439.jpg</t>
  </si>
  <si>
    <t>https://fc2.cwa.sellercloud.com/images/products/171408.jpg</t>
  </si>
  <si>
    <t>https://fc2.cwa.sellercloud.com/images/products/171611.jpg</t>
  </si>
  <si>
    <t>https://fc2.cwa.sellercloud.com/images/products/171612.jpg</t>
  </si>
  <si>
    <t>https://fc2.cwa.sellercloud.com/images/products/171444.jpg</t>
  </si>
  <si>
    <t>https://fc2.cwa.sellercloud.com/images/products/171613.jpg</t>
  </si>
  <si>
    <t>https://fc2.cwa.sellercloud.com/images/products/171632.jpg</t>
  </si>
  <si>
    <t>https://fc2.cwa.sellercloud.com/images/products/171443.jpg</t>
  </si>
  <si>
    <t>https://fc2.cwa.sellercloud.com/images/products/171640.jpg</t>
  </si>
  <si>
    <t>https://fc2.cwa.sellercloud.com/images/products/171636.jpg</t>
  </si>
  <si>
    <t>https://fc2.cwa.sellercloud.com/images/products/172128.jpg</t>
  </si>
  <si>
    <t>https://fc2.cwa.sellercloud.com/images/products/171374.jpg</t>
  </si>
  <si>
    <t>https://fc2.cwa.sellercloud.com/images/products/171413.jpg</t>
  </si>
  <si>
    <t>https://fc2.cwa.sellercloud.com/images/products/171475.jpg</t>
  </si>
  <si>
    <t>https://fc2.cwa.sellercloud.com/images/products/168870.jpg</t>
  </si>
  <si>
    <t>https://fc2.cwa.sellercloud.com/images/products/168535.jpg</t>
  </si>
  <si>
    <t>https://fc2.cwa.sellercloud.com/images/products/169317.jpg</t>
  </si>
  <si>
    <t>https://fc2.cwa.sellercloud.com/images/products/169305.jpg</t>
  </si>
  <si>
    <t>https://fc2.cwa.sellercloud.com/images/products/169919.jpg</t>
  </si>
  <si>
    <t>https://fc2.cwa.sellercloud.com/images/products/169187.jpg</t>
  </si>
  <si>
    <t>https://fc2.cwa.sellercloud.com/images/products/169648.jpg</t>
  </si>
  <si>
    <t>https://fc2.cwa.sellercloud.com/images/products/167189.jpg</t>
  </si>
  <si>
    <t>https://fc2.cwa.sellercloud.com/images/products/160637.jpg</t>
  </si>
  <si>
    <t>https://fc2.cwa.sellercloud.com/images/products/169606.jpg</t>
  </si>
  <si>
    <t>https://fc2.cwa.sellercloud.com/images/products/170894.jpg</t>
  </si>
  <si>
    <t>https://fc2.cwa.sellercloud.com/images/products/170908.jpg</t>
  </si>
  <si>
    <t>https://fc2.cwa.sellercloud.com/images/products/164103.jpg</t>
  </si>
  <si>
    <t>https://fc2.cwa.sellercloud.com/images/products/166707.jpg</t>
  </si>
  <si>
    <t>https://fc2.cwa.sellercloud.com/images/products/170403.jpg</t>
  </si>
  <si>
    <t>https://fc2.cwa.sellercloud.com/images/products/171618.jpg</t>
  </si>
  <si>
    <t>https://fc2.cwa.sellercloud.com/images/products/167966.jpg</t>
  </si>
  <si>
    <t>https://fc2.cwa.sellercloud.com/images/products/160614.jpg</t>
  </si>
  <si>
    <t>https://fc2.cwa.sellercloud.com/images/products/160629.jpg</t>
  </si>
  <si>
    <t>https://fc2.cwa.sellercloud.com/images/products/160466.jpg</t>
  </si>
  <si>
    <t>https://fc2.cwa.sellercloud.com/images/products/160670.jpg</t>
  </si>
  <si>
    <t>https://fc2.cwa.sellercloud.com/images/products/160644.jpg</t>
  </si>
  <si>
    <t>https://fc2.cwa.sellercloud.com/images/products/170668.jpg</t>
  </si>
  <si>
    <t>https://fc2.cwa.sellercloud.com/images/products/160268.jpg</t>
  </si>
  <si>
    <t>https://fc2.cwa.sellercloud.com/images/products/160403.jpg</t>
  </si>
  <si>
    <t>https://fc2.cwa.sellercloud.com/images/products/169967.jpg</t>
  </si>
  <si>
    <t>https://fc2.cwa.sellercloud.com/images/products/170227.jpg</t>
  </si>
  <si>
    <t>https://fc2.cwa.sellercloud.com/images/products/170761.jpg</t>
  </si>
  <si>
    <t>https://fc2.cwa.sellercloud.com/images/products/170151.jpg</t>
  </si>
  <si>
    <t>https://fc2.cwa.sellercloud.com/images/products/170672.jpg</t>
  </si>
  <si>
    <t>https://fc2.cwa.sellercloud.com/images/products/169951.jpg</t>
  </si>
  <si>
    <t>https://fc2.cwa.sellercloud.com/images/products/168999.jpg</t>
  </si>
  <si>
    <t>https://fc2.cwa.sellercloud.com/images/products/160339.jpg</t>
  </si>
  <si>
    <t>https://fc2.cwa.sellercloud.com/images/products/170195.jpg</t>
  </si>
  <si>
    <t>https://fc2.cwa.sellercloud.com/images/products/160688.jpg</t>
  </si>
  <si>
    <t>https://fc2.cwa.sellercloud.com/images/products/170103.jpg</t>
  </si>
  <si>
    <t>https://fc2.cwa.sellercloud.com/images/products/170327.jpg</t>
  </si>
  <si>
    <t>https://fc2.cwa.sellercloud.com/images/products/160604.jpg</t>
  </si>
  <si>
    <t>https://fc2.cwa.sellercloud.com/images/products/170684.jpg</t>
  </si>
  <si>
    <t>https://fc2.cwa.sellercloud.com/images/products/160533.jpg</t>
  </si>
  <si>
    <t>https://fc2.cwa.sellercloud.com/images/products/160363.jpg</t>
  </si>
  <si>
    <t>https://fc2.cwa.sellercloud.com/images/products/160444.jpg</t>
  </si>
  <si>
    <t>https://fc2.cwa.sellercloud.com/images/products/166924.jpg</t>
  </si>
  <si>
    <t>https://fc2.cwa.sellercloud.com/images/products/160316.jpg</t>
  </si>
  <si>
    <t>https://fc2.cwa.sellercloud.com/images/products/160348.jpg</t>
  </si>
  <si>
    <t>https://fc2.cwa.sellercloud.com/images/products/160621.jpg</t>
  </si>
  <si>
    <t>https://fc2.cwa.sellercloud.com/images/products/170781.jpg</t>
  </si>
  <si>
    <t>https://fc2.cwa.sellercloud.com/images/products/160364.jpg</t>
  </si>
  <si>
    <t>https://fc2.cwa.sellercloud.com/images/products/160457.jpg</t>
  </si>
  <si>
    <t>https://fc2.cwa.sellercloud.com/images/products/160269.jpg</t>
  </si>
  <si>
    <t>https://fc2.cwa.sellercloud.com/images/products/170579.jpg</t>
  </si>
  <si>
    <t>https://fc2.cwa.sellercloud.com/images/products/170267.jpg</t>
  </si>
  <si>
    <t>https://fc2.cwa.sellercloud.com/images/products/160349.jpg</t>
  </si>
  <si>
    <t>https://fc2.cwa.sellercloud.com/images/products/160450.jpg</t>
  </si>
  <si>
    <t>https://fc2.cwa.sellercloud.com/images/products/160257.jpg</t>
  </si>
  <si>
    <t>https://fc2.cwa.sellercloud.com/images/products/170223.jpg</t>
  </si>
  <si>
    <t>https://fc2.cwa.sellercloud.com/images/products/160464.jpg</t>
  </si>
  <si>
    <t>https://fc2.cwa.sellercloud.com/images/products/160595.jpg</t>
  </si>
  <si>
    <t>https://fc2.cwa.sellercloud.com/images/products/160516.jpg</t>
  </si>
  <si>
    <t>https://fc2.cwa.sellercloud.com/images/products/170911.jpg</t>
  </si>
  <si>
    <t>https://fc2.cwa.sellercloud.com/images/products/160366.jpg</t>
  </si>
  <si>
    <t>https://fc2.cwa.sellercloud.com/images/products/170785.jpg</t>
  </si>
  <si>
    <t>https://fc2.cwa.sellercloud.com/images/products/160394.jpg</t>
  </si>
  <si>
    <t>https://fc2.cwa.sellercloud.com/images/products/160440.jpg</t>
  </si>
  <si>
    <t>https://fc2.cwa.sellercloud.com/images/products/160689.jpg</t>
  </si>
  <si>
    <t>https://fc2.cwa.sellercloud.com/images/products/160390.jpg</t>
  </si>
  <si>
    <t>https://fc2.cwa.sellercloud.com/images/products/160418.jpg</t>
  </si>
  <si>
    <t>https://fc2.cwa.sellercloud.com/images/products/160560.jpg</t>
  </si>
  <si>
    <t>https://fc2.cwa.sellercloud.com/images/products/160528.jpg</t>
  </si>
  <si>
    <t>https://fc2.cwa.sellercloud.com/images/products/160468.jpg</t>
  </si>
  <si>
    <t>https://fc2.cwa.sellercloud.com/images/products/160467.jpg</t>
  </si>
  <si>
    <t>https://fc2.cwa.sellercloud.com/images/products/160545.jpg</t>
  </si>
  <si>
    <t>https://fc2.cwa.sellercloud.com/images/products/160547.jpg</t>
  </si>
  <si>
    <t>https://fc2.cwa.sellercloud.com/images/products/160542.jpg</t>
  </si>
  <si>
    <t>https://fc2.cwa.sellercloud.com/images/products/160326.jpg</t>
  </si>
  <si>
    <t>https://fc2.cwa.sellercloud.com/images/products/160548.jpg</t>
  </si>
  <si>
    <t>https://fc2.cwa.sellercloud.com/images/products/160546.jpg</t>
  </si>
  <si>
    <t>https://fc2.cwa.sellercloud.com/images/products/160543.jpg</t>
  </si>
  <si>
    <t>https://fc2.cwa.sellercloud.com/images/products/160352.jpg</t>
  </si>
  <si>
    <t>https://fc2.cwa.sellercloud.com/images/products/166389.jpg</t>
  </si>
  <si>
    <t>https://fc2.cwa.sellercloud.com/images/products/160370.jpg</t>
  </si>
  <si>
    <t>https://fc2.cwa.sellercloud.com/images/products/160369.jpg</t>
  </si>
  <si>
    <t>https://fc2.cwa.sellercloud.com/images/products/172250.jpg</t>
  </si>
  <si>
    <t>https://fc2.cwa.sellercloud.com/images/products/172251.jpg</t>
  </si>
  <si>
    <t>Rabab 3.4 Oz Edp Unisex</t>
  </si>
  <si>
    <t>ZX_PE-PR-M-661640</t>
  </si>
  <si>
    <t>Phantom In Red Elixir 3.4 Oz Parfum Men</t>
  </si>
  <si>
    <t>ZX_PE-ELI-U-346751</t>
  </si>
  <si>
    <t>Hong Kong 3.4 Oz Edp Unisex</t>
  </si>
  <si>
    <t>https://fc2.cwa.sellercloud.com/images/products/172198.jpg</t>
  </si>
  <si>
    <t>Set Impact 3.4 Oz Edt &amp; Edt 0.14 Oz Men</t>
  </si>
  <si>
    <t>Set Impact Intense 3.4 Oz Edp + 0.14 Oz Spray Edp Men</t>
  </si>
  <si>
    <t>212 Vip Black NY 3.4 Oz Edp Men Limited Edition</t>
  </si>
  <si>
    <t>https://fc2.cwa.sellercloud.com/images/products/172320.jpg</t>
  </si>
  <si>
    <t>https://fc2.cwa.sellercloud.com/images/products/172289.jpg</t>
  </si>
  <si>
    <t>https://fc2.cwa.sellercloud.com/images/products/172340.jpg</t>
  </si>
  <si>
    <t>https://fc2.cwa.sellercloud.com/images/products/172272.jpg</t>
  </si>
  <si>
    <t>212 Vip Black Cab  3.4 Oz Edp Men Limited Edition</t>
  </si>
  <si>
    <t>https://fc2.cwa.sellercloud.com/images/products/172345.jpg</t>
  </si>
  <si>
    <t>https://fc2.cwa.sellercloud.com/images/products/172344.jpg</t>
  </si>
  <si>
    <t>https://fc2.cwa.sellercloud.com/images/products/172280.jpg</t>
  </si>
  <si>
    <t>https://fc2.cwa.sellercloud.com/images/products/172296.jpg</t>
  </si>
  <si>
    <t>https://fc2.cwa.sellercloud.com/images/products/172302.jpg</t>
  </si>
  <si>
    <t>https://fc2.cwa.sellercloud.com/images/products/172316.jpg</t>
  </si>
  <si>
    <t>https://fc2.cwa.sellercloud.com/images/products/172325.jpg</t>
  </si>
  <si>
    <t>https://fc2.cwa.sellercloud.com/images/products/172284.jpg</t>
  </si>
  <si>
    <t>https://fc2.cwa.sellercloud.com/images/products/172285.jpg</t>
  </si>
  <si>
    <t>https://fc2.cwa.sellercloud.com/images/products/172273.jpg</t>
  </si>
  <si>
    <t>https://fc2.cwa.sellercloud.com/images/products/172354.jpg</t>
  </si>
  <si>
    <t>https://fc2.cwa.sellercloud.com/images/products/172378.jpg</t>
  </si>
  <si>
    <t>https://fc2.cwa.sellercloud.com/images/products/172374.jpg</t>
  </si>
  <si>
    <t>https://fc2.cwa.sellercloud.com/images/products/172370.jpg</t>
  </si>
  <si>
    <t>https://fc2.cwa.sellercloud.com/images/products/172366.jpg</t>
  </si>
  <si>
    <t>https://fc2.cwa.sellercloud.com/images/products/172362.jpg</t>
  </si>
  <si>
    <t>https://fc2.cwa.sellercloud.com/images/products/172358.jpg</t>
  </si>
  <si>
    <t>https://fc2.cwa.sellercloud.com/images/products/172300.jpg</t>
  </si>
  <si>
    <t>https://fc2.cwa.sellercloud.com/images/products/172308.jpg</t>
  </si>
  <si>
    <t>https://fc2.cwa.sellercloud.com/images/products/172252.jpg</t>
  </si>
  <si>
    <t>ZX_PE-JP-M-115193</t>
  </si>
  <si>
    <t>Le Beau Narcisse 4.2 Oz Edp Men</t>
  </si>
  <si>
    <t>https://fc2.cwa.sellercloud.com/images/products/172219.jpg</t>
  </si>
  <si>
    <t>ZX_PE-JP-W-115025</t>
  </si>
  <si>
    <t>La Belle Rosea 3.4 Oz Edp Women</t>
  </si>
  <si>
    <t>https://fc2.cwa.sellercloud.com/images/products/172218.jpg</t>
  </si>
  <si>
    <t>ZX_PE-CK-M-678523</t>
  </si>
  <si>
    <t>Set Obsession 4.2 Oz Edp + 3.3 Oz After Shave + 2.6 Oz Deo Men</t>
  </si>
  <si>
    <t>https://fc2.cwa.sellercloud.com/images/products/172204.jpg</t>
  </si>
  <si>
    <t>ZX_PE-V-M-903122</t>
  </si>
  <si>
    <t>Set Eros 3.4 Oz Edp + 10 Ml Spray Edp + Gwp Men</t>
  </si>
  <si>
    <t>https://fc2.cwa.sellercloud.com/images/products/172215.jpg</t>
  </si>
  <si>
    <t>ZX_PE-CK-M-966590</t>
  </si>
  <si>
    <t>Set Defy 3.4 Oz Edt + 10 Ml Edt + Hair And Body Wash 3.4 Oz Men</t>
  </si>
  <si>
    <t>https://fc2.cwa.sellercloud.com/images/products/172216.jpg</t>
  </si>
  <si>
    <t>ZX_PE-CK-M-296737</t>
  </si>
  <si>
    <t>Defy 6.7 Oz Edt Men</t>
  </si>
  <si>
    <t>https://fc2.cwa.sellercloud.com/images/products/172217.jpg</t>
  </si>
  <si>
    <t>https://fc2.cwa.sellercloud.com/images/products/172379.jpg</t>
  </si>
  <si>
    <t>ZX_PE-MSP-U-670244</t>
  </si>
  <si>
    <t>On The Rocks 3.4 Oz Edp Unisex</t>
  </si>
  <si>
    <t>https://fc2.cwa.sellercloud.com/images/products/171172.jpg</t>
  </si>
  <si>
    <t>ZX_PE-MSP-M-062660</t>
  </si>
  <si>
    <t>Absolu 3.4 Oz Edp Men</t>
  </si>
  <si>
    <t>https://fc2.cwa.sellercloud.com/images/products/171173.jpg</t>
  </si>
  <si>
    <t>ZX_PE-MSP-U-062950</t>
  </si>
  <si>
    <t>Mast Boozy 3.4 Oz Edp Unisex</t>
  </si>
  <si>
    <t>https://fc2.cwa.sellercloud.com/images/products/171174.jpg</t>
  </si>
  <si>
    <t>ZX_PE-MSP-U-062851</t>
  </si>
  <si>
    <t>Azul 3.4 Oz Edp Unisex</t>
  </si>
  <si>
    <t>https://fc2.cwa.sellercloud.com/images/products/171175.jpg</t>
  </si>
  <si>
    <t>ZX_PE-MSP-M-670251</t>
  </si>
  <si>
    <t>Bleu L Exclusif 3.4 Oz Edp Men</t>
  </si>
  <si>
    <t>https://fc2.cwa.sellercloud.com/images/products/171171.jpg</t>
  </si>
  <si>
    <t>https://fc2.cwa.sellercloud.com/images/products/172207.jpg</t>
  </si>
  <si>
    <t>https://fc2.cwa.sellercloud.com/images/products/172206.jpg</t>
  </si>
  <si>
    <t>https://fc2.cwa.sellercloud.com/images/products/172391.jpg</t>
  </si>
  <si>
    <t>https://fc2.cwa.sellercloud.com/images/products/172387.jpg</t>
  </si>
  <si>
    <t>https://fc2.cwa.sellercloud.com/images/products/172398.jpg</t>
  </si>
  <si>
    <t>https://fc2.cwa.sellercloud.com/images/products/172460.jpg</t>
  </si>
  <si>
    <t>https://fc2.cwa.sellercloud.com/images/products/172420.jpg</t>
  </si>
  <si>
    <t>https://fc2.cwa.sellercloud.com/images/products/172406.jpg</t>
  </si>
  <si>
    <t>ZX_PE-CH-M-106389</t>
  </si>
  <si>
    <t>Men Wild Love 3.4 Oz Edp Men</t>
  </si>
  <si>
    <t>https://fc2.cwa.sellercloud.com/images/products/172402.jpg</t>
  </si>
  <si>
    <t>ZX_PE-CH-M-111604</t>
  </si>
  <si>
    <t>212 Vip Black NY Rodeo 3.4 Oz Edp Men</t>
  </si>
  <si>
    <t>https://fc2.cwa.sellercloud.com/images/products/172400.jpg</t>
  </si>
  <si>
    <t>ZX_PE-CH-W-106372</t>
  </si>
  <si>
    <t>Wild Love 3.4 Oz Edp Women</t>
  </si>
  <si>
    <t>https://fc2.cwa.sellercloud.com/images/products/172401.jpg</t>
  </si>
  <si>
    <t>ZX_PE-MO-M-906345</t>
  </si>
  <si>
    <t>Toy Boy 2 3.4 Oz Edp Men</t>
  </si>
  <si>
    <t>https://fc2.cwa.sellercloud.com/images/products/172399.jpg</t>
  </si>
  <si>
    <t>ZX_PE-PR-W-643929</t>
  </si>
  <si>
    <t>Fame In Love Elixir 2.8 Oz Parfum Women Refillable</t>
  </si>
  <si>
    <t>https://fc2.cwa.sellercloud.com/images/products/172462.jpg</t>
  </si>
  <si>
    <t>ZX_PE-FRN-W-377988</t>
  </si>
  <si>
    <t>Venus De Milo 3.4 Oz Edp Women</t>
  </si>
  <si>
    <t>Amber Oud Gold 999.9 Extrait De Parfum 2.5 Oz Unisex</t>
  </si>
  <si>
    <t>https://fc2.cwa.sellercloud.com/images/products/172445.jpg</t>
  </si>
  <si>
    <t>Your Touch Oud 3.4 Oz Edp Unisex</t>
  </si>
  <si>
    <t>ZX_PE-MA-M-343226</t>
  </si>
  <si>
    <t>Pink Velvet 2.7 Oz Edp Men</t>
  </si>
  <si>
    <t>ZX_PE-OR-U-270591</t>
  </si>
  <si>
    <t>Luxury Collection Royal Amber 2.7 Oz Edp Unisex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</si>
</sst>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aleway"/>
    </font>
    <font>
      <b/>
      <sz val="11"/>
      <color theme="0"/>
      <name val="Raleway"/>
    </font>
    <font>
      <sz val="9"/>
      <name val="Calibri"/>
      <family val="2"/>
      <scheme val="minor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theme="1"/>
      <name val="Raleway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4" borderId="0" applyNumberFormat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3" fontId="4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164" fontId="0" fillId="3" borderId="0" xfId="0" applyNumberFormat="1" applyFill="1"/>
    <xf numFmtId="164" fontId="0" fillId="0" borderId="0" xfId="0" applyNumberFormat="1"/>
    <xf numFmtId="0" fontId="8" fillId="5" borderId="0" xfId="1" applyFill="1" applyAlignment="1" applyProtection="1">
      <alignment horizontal="center"/>
      <protection locked="0"/>
    </xf>
    <xf numFmtId="0" fontId="8" fillId="5" borderId="0" xfId="1" applyFill="1" applyAlignment="1">
      <alignment horizontal="center"/>
    </xf>
    <xf numFmtId="0" fontId="8" fillId="5" borderId="0" xfId="1" applyNumberFormat="1" applyFill="1" applyAlignment="1">
      <alignment horizontal="center"/>
    </xf>
    <xf numFmtId="0" fontId="9" fillId="0" borderId="0" xfId="0" applyFont="1" applyAlignment="1">
      <alignment horizontal="center" vertical="center" wrapText="1"/>
    </xf>
    <xf numFmtId="44" fontId="3" fillId="2" borderId="0" xfId="2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44" fontId="0" fillId="7" borderId="1" xfId="2" applyFont="1" applyFill="1" applyBorder="1" applyAlignment="1">
      <alignment horizontal="center"/>
    </xf>
    <xf numFmtId="44" fontId="0" fillId="8" borderId="1" xfId="2" applyFont="1" applyFill="1" applyBorder="1" applyAlignment="1"/>
    <xf numFmtId="0" fontId="0" fillId="5" borderId="0" xfId="0" applyFill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44" fontId="0" fillId="0" borderId="0" xfId="0" applyNumberFormat="1"/>
    <xf numFmtId="9" fontId="0" fillId="0" borderId="0" xfId="0" applyNumberFormat="1"/>
    <xf numFmtId="0" fontId="8" fillId="5" borderId="0" xfId="1" applyNumberFormat="1" applyFill="1" applyAlignment="1" applyProtection="1">
      <alignment horizontal="center"/>
      <protection locked="0"/>
    </xf>
    <xf numFmtId="14" fontId="11" fillId="0" borderId="0" xfId="0" applyNumberFormat="1" applyFont="1"/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8" fontId="12" fillId="0" borderId="0" xfId="0" applyNumberFormat="1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44" fontId="0" fillId="0" borderId="0" xfId="2" applyFon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4" fontId="9" fillId="0" borderId="0" xfId="2" applyFont="1" applyAlignment="1">
      <alignment horizontal="center" vertical="center" wrapText="1"/>
    </xf>
    <xf numFmtId="44" fontId="0" fillId="0" borderId="0" xfId="0" applyNumberFormat="1" applyAlignment="1" applyProtection="1">
      <alignment horizontal="center"/>
      <protection locked="0"/>
    </xf>
    <xf numFmtId="44" fontId="0" fillId="0" borderId="0" xfId="2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2" applyNumberFormat="1" applyFont="1" applyAlignment="1">
      <alignment horizontal="center" wrapText="1"/>
    </xf>
    <xf numFmtId="44" fontId="12" fillId="0" borderId="0" xfId="2" applyFont="1" applyFill="1" applyAlignment="1">
      <alignment horizontal="center" vertical="center"/>
    </xf>
    <xf numFmtId="44" fontId="0" fillId="0" borderId="0" xfId="2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6" borderId="2" xfId="0" applyFont="1" applyFill="1" applyBorder="1" applyAlignment="1">
      <alignment horizontal="center"/>
    </xf>
  </cellXfs>
  <cellStyles count="3">
    <cellStyle name="Currency" xfId="2" builtinId="4"/>
    <cellStyle name="Neutral" xfId="1" builtinId="28"/>
    <cellStyle name="Normal" xfId="0" builtinId="0"/>
  </cellStyles>
  <dxfs count="20">
    <dxf>
      <numFmt numFmtId="164" formatCode="&quot;$&quot;#,##0.00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color theme="5" tint="-0.24994659260841701"/>
      </font>
      <fill>
        <patternFill>
          <bgColor theme="5" tint="0.39994506668294322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4" formatCode="&quot;$&quot;#,##0.00"/>
      <fill>
        <patternFill patternType="none">
          <fgColor indexed="64"/>
          <bgColor auto="1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Raleway"/>
        <scheme val="none"/>
      </font>
      <fill>
        <patternFill patternType="solid">
          <fgColor indexed="64"/>
          <bgColor rgb="FF0000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809625</xdr:colOff>
      <xdr:row>1</xdr:row>
      <xdr:rowOff>104775</xdr:rowOff>
    </xdr:from>
    <xdr:to>
      <xdr:col>3</xdr:col>
      <xdr:colOff>3324225</xdr:colOff>
      <xdr:row>2</xdr:row>
      <xdr:rowOff>219284</xdr:rowOff>
    </xdr:to>
    <xdr:pic>
      <xdr:nvPicPr>
        <xdr:cNvPr id="2" name="Gráfico 7">
          <a:extLst>
            <a:ext uri="{FF2B5EF4-FFF2-40B4-BE49-F238E27FC236}">
              <a16:creationId xmlns:a16="http://schemas.microsoft.com/office/drawing/2014/main" id="{7BAB15CA-38D0-42E3-A1FE-A54323CE3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33925" y="333375"/>
          <a:ext cx="2514600" cy="4193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8BBC2F-A74F-4A97-8DF0-BEFF4807FF32}" name="Table1" displayName="Table1" ref="A8:I2736" totalsRowCount="1" headerRowDxfId="19" dataDxfId="18">
  <autoFilter ref="A8:I2735" xr:uid="{258BBC2F-A74F-4A97-8DF0-BEFF4807FF32}"/>
  <sortState xmlns:xlrd2="http://schemas.microsoft.com/office/spreadsheetml/2017/richdata2" ref="A9:I2735">
    <sortCondition ref="F8:F2735"/>
  </sortState>
  <tableColumns count="9">
    <tableColumn id="1" xr3:uid="{72A9084F-6736-49CA-BC87-A8335DA6AD96}" name="UPC" dataDxfId="17" totalsRowDxfId="7"/>
    <tableColumn id="8" xr3:uid="{747E63D7-5D42-42FE-9435-0717333AA638}" name="Sku" dataDxfId="16" totalsRowDxfId="6"/>
    <tableColumn id="2" xr3:uid="{430CE24D-D3C0-49D5-9970-5F5B0DB2D501}" name="Brand" dataDxfId="15" totalsRowDxfId="5"/>
    <tableColumn id="3" xr3:uid="{D4C675E2-665E-4033-A85E-014103A699C1}" name="Title Product" dataDxfId="14"/>
    <tableColumn id="6" xr3:uid="{D6EDF9CB-EB8A-42FC-85CE-ABDFFB1A9871}" name="Price" dataDxfId="13" totalsRowDxfId="4" dataCellStyle="Currency"/>
    <tableColumn id="4" xr3:uid="{F7CC62BC-AF0F-4809-923F-FDDAB719092B}" name="Type" dataDxfId="12" totalsRowDxfId="3"/>
    <tableColumn id="5" xr3:uid="{D1C579C9-F75E-490F-8945-F9997C671EC3}" name="Column1" dataDxfId="11" totalsRowDxfId="2"/>
    <tableColumn id="9" xr3:uid="{B9C80767-5136-4F5B-9956-D4AE8144C7CA}" name="Qty" totalsRowFunction="sum" dataDxfId="10" totalsRowDxfId="1"/>
    <tableColumn id="10" xr3:uid="{3C74D457-4AC2-45BE-8A65-544FC188EC83}" name="Total Price" dataDxfId="9" totalsRowDxfId="0">
      <calculatedColumnFormula>Table1[[#This Row],[Qty]]*Table1[[#This Row],[Price]]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6B21-D2AC-4D39-8E47-85482C95AD4D}">
  <dimension ref="A1:L2736"/>
  <sheetViews>
    <sheetView showGridLines="0" tabSelected="1" zoomScaleNormal="100" zoomScaleSheetLayoutView="100" workbookViewId="0">
      <pane ySplit="6" topLeftCell="A7" activePane="bottomLeft" state="frozen"/>
      <selection pane="bottomLeft" activeCell="D17" sqref="D17"/>
    </sheetView>
  </sheetViews>
  <sheetFormatPr defaultColWidth="8.85546875" defaultRowHeight="15" x14ac:dyDescent="0.25"/>
  <cols>
    <col min="1" max="1" width="18.42578125" customWidth="1"/>
    <col min="2" max="2" width="20.28515625" style="41" bestFit="1" customWidth="1"/>
    <col min="3" max="3" width="20.140625" style="6" customWidth="1"/>
    <col min="4" max="4" width="65.7109375" customWidth="1"/>
    <col min="5" max="5" width="10.85546875" style="47" customWidth="1"/>
    <col min="6" max="6" width="13.28515625" style="6" customWidth="1"/>
    <col min="7" max="7" width="56.5703125" style="6" hidden="1" customWidth="1"/>
    <col min="8" max="8" width="13.28515625" customWidth="1"/>
    <col min="9" max="9" width="11.85546875" customWidth="1"/>
  </cols>
  <sheetData>
    <row r="1" spans="1:11" ht="18" x14ac:dyDescent="0.35">
      <c r="B1" s="37"/>
      <c r="C1" s="36"/>
      <c r="D1" s="1"/>
      <c r="E1" s="50">
        <v>46205</v>
      </c>
      <c r="H1" s="54" t="s">
        <v>16</v>
      </c>
      <c r="I1" s="54"/>
      <c r="J1" s="27"/>
    </row>
    <row r="2" spans="1:11" ht="18" x14ac:dyDescent="0.35">
      <c r="A2" s="2" t="s">
        <v>0</v>
      </c>
      <c r="B2" s="38"/>
      <c r="C2" s="36"/>
      <c r="D2" s="1"/>
      <c r="E2" s="42"/>
      <c r="H2" s="43" t="s">
        <v>14</v>
      </c>
      <c r="I2" s="18">
        <f>SUMIF(Table1[Type],H2,Table1[Qty])</f>
        <v>0</v>
      </c>
    </row>
    <row r="3" spans="1:11" ht="18" x14ac:dyDescent="0.25">
      <c r="A3" s="3" t="s">
        <v>5</v>
      </c>
      <c r="B3" s="38"/>
      <c r="C3" s="36"/>
      <c r="D3" s="1"/>
      <c r="E3" s="42"/>
      <c r="H3" s="43" t="s">
        <v>13</v>
      </c>
      <c r="I3" s="18">
        <f>SUMIF(Table1[Type],H3,Table1[Qty])</f>
        <v>0</v>
      </c>
    </row>
    <row r="4" spans="1:11" ht="18" x14ac:dyDescent="0.25">
      <c r="A4" s="3" t="s">
        <v>11</v>
      </c>
      <c r="B4" s="38"/>
      <c r="C4" s="36"/>
      <c r="D4" s="1"/>
      <c r="E4" s="42"/>
      <c r="H4" s="43" t="s">
        <v>17</v>
      </c>
      <c r="I4" s="23">
        <f>SUMIFS(Table1[Total Price],Table1[Type],"Available")+SUMIFS(Table1[Total Price],Table1[Type],"Flash Sale")</f>
        <v>0</v>
      </c>
    </row>
    <row r="5" spans="1:11" ht="18" x14ac:dyDescent="0.25">
      <c r="A5" s="3" t="s">
        <v>4</v>
      </c>
      <c r="B5" s="38"/>
      <c r="C5" s="36"/>
      <c r="D5" s="1"/>
      <c r="E5" s="42"/>
      <c r="H5" s="44" t="s">
        <v>15</v>
      </c>
      <c r="I5" s="19">
        <f>SUMIF(Table1[Type],H5,Table1[Qty])</f>
        <v>0</v>
      </c>
    </row>
    <row r="6" spans="1:11" ht="15" customHeight="1" x14ac:dyDescent="0.25">
      <c r="A6" s="17"/>
      <c r="B6" s="39"/>
      <c r="C6" s="15"/>
      <c r="D6" s="15" t="s">
        <v>12</v>
      </c>
      <c r="E6" s="45"/>
      <c r="H6" s="19" t="s">
        <v>17</v>
      </c>
      <c r="I6" s="20">
        <f>I2+I3+I5</f>
        <v>0</v>
      </c>
      <c r="J6" s="21">
        <f>I6+I4</f>
        <v>0</v>
      </c>
    </row>
    <row r="7" spans="1:11" ht="25.5" customHeight="1" x14ac:dyDescent="0.3">
      <c r="A7" s="53"/>
      <c r="B7" s="53"/>
      <c r="C7" s="53"/>
      <c r="D7" s="53"/>
      <c r="E7" s="53"/>
      <c r="F7" s="53"/>
      <c r="G7" s="53"/>
      <c r="H7" s="53"/>
      <c r="I7" s="53"/>
    </row>
    <row r="8" spans="1:11" ht="51" customHeight="1" x14ac:dyDescent="0.25">
      <c r="A8" s="4" t="s">
        <v>1</v>
      </c>
      <c r="B8" s="40" t="s">
        <v>9</v>
      </c>
      <c r="C8" s="4" t="s">
        <v>2</v>
      </c>
      <c r="D8" s="4" t="s">
        <v>6</v>
      </c>
      <c r="E8" s="16" t="s">
        <v>8</v>
      </c>
      <c r="F8" s="4" t="s">
        <v>7</v>
      </c>
      <c r="G8" s="4" t="s">
        <v>5607</v>
      </c>
      <c r="H8" s="4" t="s">
        <v>3</v>
      </c>
      <c r="I8" s="8" t="s">
        <v>10</v>
      </c>
    </row>
    <row r="9" spans="1:11" ht="13.5" customHeight="1" x14ac:dyDescent="0.25">
      <c r="A9" s="28">
        <v>85715167224</v>
      </c>
      <c r="B9" s="29" t="s">
        <v>2917</v>
      </c>
      <c r="C9" s="30" t="s">
        <v>2918</v>
      </c>
      <c r="D9" s="31" t="s">
        <v>2919</v>
      </c>
      <c r="E9" s="51">
        <v>18.8</v>
      </c>
      <c r="F9" s="32" t="s">
        <v>14</v>
      </c>
      <c r="G9" s="32" t="s">
        <v>6647</v>
      </c>
      <c r="H9" s="22"/>
      <c r="I9" s="11">
        <f>Table1[[#This Row],[Qty]]*Table1[[#This Row],[Price]]</f>
        <v>0</v>
      </c>
    </row>
    <row r="10" spans="1:11" ht="13.5" customHeight="1" x14ac:dyDescent="0.25">
      <c r="A10" s="48">
        <v>3616305447050</v>
      </c>
      <c r="B10" s="41" t="s">
        <v>2512</v>
      </c>
      <c r="C10" s="6" t="s">
        <v>67</v>
      </c>
      <c r="D10" t="s">
        <v>2513</v>
      </c>
      <c r="E10" s="52">
        <v>10.94</v>
      </c>
      <c r="F10" s="49" t="s">
        <v>14</v>
      </c>
      <c r="G10" s="49" t="s">
        <v>6498</v>
      </c>
      <c r="H10" s="22"/>
      <c r="I10" s="11">
        <f>Table1[[#This Row],[Qty]]*Table1[[#This Row],[Price]]</f>
        <v>0</v>
      </c>
    </row>
    <row r="11" spans="1:11" ht="13.5" customHeight="1" x14ac:dyDescent="0.25">
      <c r="A11" s="28">
        <v>3616305447166</v>
      </c>
      <c r="B11" s="29" t="s">
        <v>2514</v>
      </c>
      <c r="C11" s="30" t="s">
        <v>67</v>
      </c>
      <c r="D11" s="31" t="s">
        <v>2515</v>
      </c>
      <c r="E11" s="51">
        <v>11.05</v>
      </c>
      <c r="F11" s="32" t="s">
        <v>14</v>
      </c>
      <c r="G11" s="32" t="s">
        <v>6499</v>
      </c>
      <c r="H11" s="22"/>
      <c r="I11" s="11">
        <f>Table1[[#This Row],[Qty]]*Table1[[#This Row],[Price]]</f>
        <v>0</v>
      </c>
    </row>
    <row r="12" spans="1:11" ht="13.5" customHeight="1" x14ac:dyDescent="0.25">
      <c r="A12" s="28">
        <v>3616305447197</v>
      </c>
      <c r="B12" s="29" t="s">
        <v>2516</v>
      </c>
      <c r="C12" s="30" t="s">
        <v>67</v>
      </c>
      <c r="D12" s="31" t="s">
        <v>2517</v>
      </c>
      <c r="E12" s="51">
        <v>11.15</v>
      </c>
      <c r="F12" s="32" t="s">
        <v>14</v>
      </c>
      <c r="G12" s="32" t="s">
        <v>6500</v>
      </c>
      <c r="H12" s="12"/>
      <c r="I12" s="11">
        <f>Table1[[#This Row],[Qty]]*Table1[[#This Row],[Price]]</f>
        <v>0</v>
      </c>
    </row>
    <row r="13" spans="1:11" ht="13.5" customHeight="1" x14ac:dyDescent="0.25">
      <c r="A13" s="28">
        <v>3616305447067</v>
      </c>
      <c r="B13" s="29" t="s">
        <v>3116</v>
      </c>
      <c r="C13" s="30" t="s">
        <v>67</v>
      </c>
      <c r="D13" s="31" t="s">
        <v>3117</v>
      </c>
      <c r="E13" s="51">
        <v>10.99</v>
      </c>
      <c r="F13" s="32" t="s">
        <v>14</v>
      </c>
      <c r="G13" s="32" t="s">
        <v>6702</v>
      </c>
      <c r="H13" s="12"/>
      <c r="I13" s="11">
        <f>Table1[[#This Row],[Qty]]*Table1[[#This Row],[Price]]</f>
        <v>0</v>
      </c>
      <c r="K13" s="25"/>
    </row>
    <row r="14" spans="1:11" ht="13.5" customHeight="1" x14ac:dyDescent="0.25">
      <c r="A14" s="28">
        <v>3616305447159</v>
      </c>
      <c r="B14" s="29" t="s">
        <v>3118</v>
      </c>
      <c r="C14" s="30" t="s">
        <v>67</v>
      </c>
      <c r="D14" s="31" t="s">
        <v>3119</v>
      </c>
      <c r="E14" s="51">
        <v>11.18</v>
      </c>
      <c r="F14" s="32" t="s">
        <v>14</v>
      </c>
      <c r="G14" s="32" t="s">
        <v>6703</v>
      </c>
      <c r="H14" s="22"/>
      <c r="I14" s="11">
        <f>Table1[[#This Row],[Qty]]*Table1[[#This Row],[Price]]</f>
        <v>0</v>
      </c>
    </row>
    <row r="15" spans="1:11" ht="13.5" customHeight="1" x14ac:dyDescent="0.25">
      <c r="A15" s="28">
        <v>3616305447210</v>
      </c>
      <c r="B15" s="29" t="s">
        <v>3120</v>
      </c>
      <c r="C15" s="33" t="s">
        <v>67</v>
      </c>
      <c r="D15" s="31" t="s">
        <v>3121</v>
      </c>
      <c r="E15" s="51">
        <v>11.18</v>
      </c>
      <c r="F15" s="32" t="s">
        <v>14</v>
      </c>
      <c r="G15" s="32" t="s">
        <v>6704</v>
      </c>
      <c r="H15" s="22"/>
      <c r="I15" s="11">
        <f>Table1[[#This Row],[Qty]]*Table1[[#This Row],[Price]]</f>
        <v>0</v>
      </c>
    </row>
    <row r="16" spans="1:11" ht="13.5" customHeight="1" x14ac:dyDescent="0.25">
      <c r="A16" s="28">
        <v>6290171002338</v>
      </c>
      <c r="B16" s="29" t="s">
        <v>316</v>
      </c>
      <c r="C16" s="30" t="s">
        <v>112</v>
      </c>
      <c r="D16" s="31" t="s">
        <v>317</v>
      </c>
      <c r="E16" s="51">
        <v>20.5</v>
      </c>
      <c r="F16" s="32" t="s">
        <v>14</v>
      </c>
      <c r="G16" s="32" t="s">
        <v>5768</v>
      </c>
      <c r="H16" s="22"/>
      <c r="I16" s="11">
        <f>Table1[[#This Row],[Qty]]*Table1[[#This Row],[Price]]</f>
        <v>0</v>
      </c>
    </row>
    <row r="17" spans="1:9" ht="13.5" customHeight="1" x14ac:dyDescent="0.25">
      <c r="A17" s="28">
        <v>6290171002345</v>
      </c>
      <c r="B17" s="29" t="s">
        <v>351</v>
      </c>
      <c r="C17" s="30" t="s">
        <v>112</v>
      </c>
      <c r="D17" s="31" t="s">
        <v>352</v>
      </c>
      <c r="E17" s="51">
        <v>17.23</v>
      </c>
      <c r="F17" s="32" t="s">
        <v>14</v>
      </c>
      <c r="G17" s="32" t="s">
        <v>5788</v>
      </c>
      <c r="H17" s="12"/>
      <c r="I17" s="11">
        <f>Table1[[#This Row],[Qty]]*Table1[[#This Row],[Price]]</f>
        <v>0</v>
      </c>
    </row>
    <row r="18" spans="1:9" ht="13.5" customHeight="1" x14ac:dyDescent="0.25">
      <c r="A18" s="48">
        <v>6290171072591</v>
      </c>
      <c r="B18" s="41" t="s">
        <v>473</v>
      </c>
      <c r="C18" s="6" t="s">
        <v>112</v>
      </c>
      <c r="D18" t="s">
        <v>474</v>
      </c>
      <c r="E18" s="52">
        <v>19.66</v>
      </c>
      <c r="F18" s="49" t="s">
        <v>14</v>
      </c>
      <c r="G18" s="49" t="s">
        <v>5847</v>
      </c>
      <c r="H18" s="22"/>
      <c r="I18" s="11">
        <f>Table1[[#This Row],[Qty]]*Table1[[#This Row],[Price]]</f>
        <v>0</v>
      </c>
    </row>
    <row r="19" spans="1:9" ht="13.5" customHeight="1" x14ac:dyDescent="0.25">
      <c r="A19" s="28">
        <v>6290171075738</v>
      </c>
      <c r="B19" s="29" t="s">
        <v>1562</v>
      </c>
      <c r="C19" s="30" t="s">
        <v>112</v>
      </c>
      <c r="D19" s="31" t="s">
        <v>1563</v>
      </c>
      <c r="E19" s="51">
        <v>25.5</v>
      </c>
      <c r="F19" s="32" t="s">
        <v>14</v>
      </c>
      <c r="G19" s="32" t="s">
        <v>6245</v>
      </c>
      <c r="H19" s="12"/>
      <c r="I19" s="11">
        <f>Table1[[#This Row],[Qty]]*Table1[[#This Row],[Price]]</f>
        <v>0</v>
      </c>
    </row>
    <row r="20" spans="1:9" ht="13.5" customHeight="1" x14ac:dyDescent="0.25">
      <c r="A20" s="28">
        <v>6290171077152</v>
      </c>
      <c r="B20" s="29" t="s">
        <v>3214</v>
      </c>
      <c r="C20" s="30" t="s">
        <v>112</v>
      </c>
      <c r="D20" s="31" t="s">
        <v>3215</v>
      </c>
      <c r="E20" s="51">
        <v>30</v>
      </c>
      <c r="F20" s="32" t="s">
        <v>14</v>
      </c>
      <c r="G20" s="32" t="s">
        <v>6743</v>
      </c>
      <c r="H20" s="22"/>
      <c r="I20" s="11">
        <f>Table1[[#This Row],[Qty]]*Table1[[#This Row],[Price]]</f>
        <v>0</v>
      </c>
    </row>
    <row r="21" spans="1:9" ht="13.5" customHeight="1" x14ac:dyDescent="0.25">
      <c r="A21" s="28">
        <v>6291100130498</v>
      </c>
      <c r="B21" s="29" t="s">
        <v>322</v>
      </c>
      <c r="C21" s="30" t="s">
        <v>91</v>
      </c>
      <c r="D21" s="31" t="s">
        <v>323</v>
      </c>
      <c r="E21" s="51">
        <v>38</v>
      </c>
      <c r="F21" s="32" t="s">
        <v>14</v>
      </c>
      <c r="G21" s="32" t="s">
        <v>5771</v>
      </c>
      <c r="H21" s="22"/>
      <c r="I21" s="11">
        <f>Table1[[#This Row],[Qty]]*Table1[[#This Row],[Price]]</f>
        <v>0</v>
      </c>
    </row>
    <row r="22" spans="1:9" ht="13.5" customHeight="1" x14ac:dyDescent="0.25">
      <c r="A22" s="28">
        <v>6291100131716</v>
      </c>
      <c r="B22" s="29" t="s">
        <v>442</v>
      </c>
      <c r="C22" s="30" t="s">
        <v>91</v>
      </c>
      <c r="D22" s="31" t="s">
        <v>443</v>
      </c>
      <c r="E22" s="51">
        <v>24.95</v>
      </c>
      <c r="F22" s="32" t="s">
        <v>14</v>
      </c>
      <c r="G22" s="32" t="s">
        <v>5833</v>
      </c>
      <c r="H22" s="22"/>
      <c r="I22" s="11">
        <f>Table1[[#This Row],[Qty]]*Table1[[#This Row],[Price]]</f>
        <v>0</v>
      </c>
    </row>
    <row r="23" spans="1:9" ht="13.5" customHeight="1" x14ac:dyDescent="0.25">
      <c r="A23" s="28">
        <v>6291100131587</v>
      </c>
      <c r="B23" s="29" t="s">
        <v>1056</v>
      </c>
      <c r="C23" s="30" t="s">
        <v>91</v>
      </c>
      <c r="D23" s="31" t="s">
        <v>1057</v>
      </c>
      <c r="E23" s="51">
        <v>43.39</v>
      </c>
      <c r="F23" s="32" t="s">
        <v>14</v>
      </c>
      <c r="G23" s="32" t="s">
        <v>6108</v>
      </c>
      <c r="H23" s="22"/>
      <c r="I23" s="11">
        <f>Table1[[#This Row],[Qty]]*Table1[[#This Row],[Price]]</f>
        <v>0</v>
      </c>
    </row>
    <row r="24" spans="1:9" ht="13.5" customHeight="1" x14ac:dyDescent="0.25">
      <c r="A24" s="28">
        <v>6291100130122</v>
      </c>
      <c r="B24" s="29" t="s">
        <v>1086</v>
      </c>
      <c r="C24" s="30" t="s">
        <v>91</v>
      </c>
      <c r="D24" s="31" t="s">
        <v>1087</v>
      </c>
      <c r="E24" s="51">
        <v>33.020000000000003</v>
      </c>
      <c r="F24" s="32" t="s">
        <v>14</v>
      </c>
      <c r="G24" s="32" t="s">
        <v>6122</v>
      </c>
      <c r="H24" s="12"/>
      <c r="I24" s="11">
        <f>Table1[[#This Row],[Qty]]*Table1[[#This Row],[Price]]</f>
        <v>0</v>
      </c>
    </row>
    <row r="25" spans="1:9" ht="13.5" customHeight="1" x14ac:dyDescent="0.25">
      <c r="A25" s="28">
        <v>6291100130375</v>
      </c>
      <c r="B25" s="29" t="s">
        <v>1522</v>
      </c>
      <c r="C25" s="30" t="s">
        <v>91</v>
      </c>
      <c r="D25" s="31" t="s">
        <v>1523</v>
      </c>
      <c r="E25" s="51">
        <v>34</v>
      </c>
      <c r="F25" s="32" t="s">
        <v>14</v>
      </c>
      <c r="G25" s="32" t="s">
        <v>6237</v>
      </c>
      <c r="H25" s="22"/>
      <c r="I25" s="11">
        <f>Table1[[#This Row],[Qty]]*Table1[[#This Row],[Price]]</f>
        <v>0</v>
      </c>
    </row>
    <row r="26" spans="1:9" ht="13.5" customHeight="1" x14ac:dyDescent="0.25">
      <c r="A26" s="28">
        <v>6291106813333</v>
      </c>
      <c r="B26" s="29" t="s">
        <v>3174</v>
      </c>
      <c r="C26" s="30" t="s">
        <v>91</v>
      </c>
      <c r="D26" s="31" t="s">
        <v>3175</v>
      </c>
      <c r="E26" s="51">
        <v>40.5</v>
      </c>
      <c r="F26" s="32" t="s">
        <v>14</v>
      </c>
      <c r="G26" s="32" t="s">
        <v>6725</v>
      </c>
      <c r="H26" s="12"/>
      <c r="I26" s="11">
        <f>Table1[[#This Row],[Qty]]*Table1[[#This Row],[Price]]</f>
        <v>0</v>
      </c>
    </row>
    <row r="27" spans="1:9" ht="13.5" customHeight="1" x14ac:dyDescent="0.25">
      <c r="A27" s="28">
        <v>6291100132485</v>
      </c>
      <c r="B27" s="29" t="s">
        <v>3494</v>
      </c>
      <c r="C27" s="30" t="s">
        <v>91</v>
      </c>
      <c r="D27" s="31" t="s">
        <v>3495</v>
      </c>
      <c r="E27" s="51">
        <v>46.64</v>
      </c>
      <c r="F27" s="32" t="s">
        <v>14</v>
      </c>
      <c r="G27" s="32" t="s">
        <v>6869</v>
      </c>
      <c r="H27" s="12"/>
      <c r="I27" s="11">
        <f>Table1[[#This Row],[Qty]]*Table1[[#This Row],[Price]]</f>
        <v>0</v>
      </c>
    </row>
    <row r="28" spans="1:9" ht="13.5" customHeight="1" x14ac:dyDescent="0.25">
      <c r="A28" s="28">
        <v>8411061636268</v>
      </c>
      <c r="B28" s="29" t="s">
        <v>656</v>
      </c>
      <c r="C28" s="30" t="s">
        <v>657</v>
      </c>
      <c r="D28" s="31" t="s">
        <v>658</v>
      </c>
      <c r="E28" s="51">
        <v>13.41</v>
      </c>
      <c r="F28" s="32" t="s">
        <v>14</v>
      </c>
      <c r="G28" s="32" t="s">
        <v>5928</v>
      </c>
      <c r="H28" s="12"/>
      <c r="I28" s="11">
        <f>Table1[[#This Row],[Qty]]*Table1[[#This Row],[Price]]</f>
        <v>0</v>
      </c>
    </row>
    <row r="29" spans="1:9" ht="13.5" customHeight="1" x14ac:dyDescent="0.25">
      <c r="A29" s="28">
        <v>8411061999332</v>
      </c>
      <c r="B29" s="29" t="s">
        <v>819</v>
      </c>
      <c r="C29" s="30" t="s">
        <v>657</v>
      </c>
      <c r="D29" s="31" t="s">
        <v>820</v>
      </c>
      <c r="E29" s="51">
        <v>14.56</v>
      </c>
      <c r="F29" s="32" t="s">
        <v>14</v>
      </c>
      <c r="G29" s="32" t="s">
        <v>6003</v>
      </c>
      <c r="H29" s="12"/>
      <c r="I29" s="11">
        <f>Table1[[#This Row],[Qty]]*Table1[[#This Row],[Price]]</f>
        <v>0</v>
      </c>
    </row>
    <row r="30" spans="1:9" ht="13.5" customHeight="1" x14ac:dyDescent="0.25">
      <c r="A30" s="28">
        <v>8411061913024</v>
      </c>
      <c r="B30" s="29" t="s">
        <v>821</v>
      </c>
      <c r="C30" s="30" t="s">
        <v>657</v>
      </c>
      <c r="D30" s="31" t="s">
        <v>822</v>
      </c>
      <c r="E30" s="51">
        <v>11.77</v>
      </c>
      <c r="F30" s="32" t="s">
        <v>14</v>
      </c>
      <c r="G30" s="32" t="s">
        <v>6004</v>
      </c>
      <c r="H30" s="22"/>
      <c r="I30" s="11">
        <f>Table1[[#This Row],[Qty]]*Table1[[#This Row],[Price]]</f>
        <v>0</v>
      </c>
    </row>
    <row r="31" spans="1:9" ht="13.5" customHeight="1" x14ac:dyDescent="0.25">
      <c r="A31" s="28">
        <v>8411061034972</v>
      </c>
      <c r="B31" s="29" t="s">
        <v>1050</v>
      </c>
      <c r="C31" s="30" t="s">
        <v>657</v>
      </c>
      <c r="D31" s="31" t="s">
        <v>1051</v>
      </c>
      <c r="E31" s="51">
        <v>12.82</v>
      </c>
      <c r="F31" s="32" t="s">
        <v>14</v>
      </c>
      <c r="G31" s="32" t="s">
        <v>6105</v>
      </c>
      <c r="H31" s="22"/>
      <c r="I31" s="11">
        <f>Table1[[#This Row],[Qty]]*Table1[[#This Row],[Price]]</f>
        <v>0</v>
      </c>
    </row>
    <row r="32" spans="1:9" ht="13.5" customHeight="1" x14ac:dyDescent="0.25">
      <c r="A32" s="28">
        <v>8411061737859</v>
      </c>
      <c r="B32" s="29" t="s">
        <v>1876</v>
      </c>
      <c r="C32" s="30" t="s">
        <v>657</v>
      </c>
      <c r="D32" s="31" t="s">
        <v>1877</v>
      </c>
      <c r="E32" s="51">
        <v>15.24</v>
      </c>
      <c r="F32" s="32" t="s">
        <v>14</v>
      </c>
      <c r="G32" s="32" t="s">
        <v>6322</v>
      </c>
      <c r="H32" s="22"/>
      <c r="I32" s="11">
        <f>Table1[[#This Row],[Qty]]*Table1[[#This Row],[Price]]</f>
        <v>0</v>
      </c>
    </row>
    <row r="33" spans="1:9" ht="13.5" customHeight="1" x14ac:dyDescent="0.25">
      <c r="A33" s="28">
        <v>8411061829530</v>
      </c>
      <c r="B33" s="29" t="s">
        <v>1886</v>
      </c>
      <c r="C33" s="30" t="s">
        <v>657</v>
      </c>
      <c r="D33" s="31" t="s">
        <v>1887</v>
      </c>
      <c r="E33" s="51">
        <v>17.649999999999999</v>
      </c>
      <c r="F33" s="32" t="s">
        <v>14</v>
      </c>
      <c r="G33" s="32" t="s">
        <v>6326</v>
      </c>
      <c r="H33" s="22"/>
      <c r="I33" s="11">
        <f>Table1[[#This Row],[Qty]]*Table1[[#This Row],[Price]]</f>
        <v>0</v>
      </c>
    </row>
    <row r="34" spans="1:9" ht="13.5" customHeight="1" x14ac:dyDescent="0.25">
      <c r="A34" s="28">
        <v>8411061737835</v>
      </c>
      <c r="B34" s="29" t="s">
        <v>1897</v>
      </c>
      <c r="C34" s="30" t="s">
        <v>657</v>
      </c>
      <c r="D34" s="31" t="s">
        <v>1898</v>
      </c>
      <c r="E34" s="51">
        <v>16</v>
      </c>
      <c r="F34" s="32" t="s">
        <v>14</v>
      </c>
      <c r="G34" s="32" t="s">
        <v>6331</v>
      </c>
      <c r="H34" s="22"/>
      <c r="I34" s="11">
        <f>Table1[[#This Row],[Qty]]*Table1[[#This Row],[Price]]</f>
        <v>0</v>
      </c>
    </row>
    <row r="35" spans="1:9" ht="13.5" customHeight="1" x14ac:dyDescent="0.25">
      <c r="A35" s="28">
        <v>8411061819685</v>
      </c>
      <c r="B35" s="29" t="s">
        <v>1949</v>
      </c>
      <c r="C35" s="30" t="s">
        <v>657</v>
      </c>
      <c r="D35" s="31" t="s">
        <v>1950</v>
      </c>
      <c r="E35" s="51">
        <v>16.18</v>
      </c>
      <c r="F35" s="32" t="s">
        <v>14</v>
      </c>
      <c r="G35" s="32" t="s">
        <v>6344</v>
      </c>
      <c r="H35" s="22"/>
      <c r="I35" s="11">
        <f>Table1[[#This Row],[Qty]]*Table1[[#This Row],[Price]]</f>
        <v>0</v>
      </c>
    </row>
    <row r="36" spans="1:9" ht="13.5" customHeight="1" x14ac:dyDescent="0.25">
      <c r="A36" s="28">
        <v>8411061739877</v>
      </c>
      <c r="B36" s="29" t="s">
        <v>1959</v>
      </c>
      <c r="C36" s="30" t="s">
        <v>657</v>
      </c>
      <c r="D36" s="31" t="s">
        <v>1960</v>
      </c>
      <c r="E36" s="51">
        <v>15.52</v>
      </c>
      <c r="F36" s="32" t="s">
        <v>14</v>
      </c>
      <c r="G36" s="32" t="s">
        <v>6348</v>
      </c>
      <c r="H36" s="22"/>
      <c r="I36" s="11">
        <f>Table1[[#This Row],[Qty]]*Table1[[#This Row],[Price]]</f>
        <v>0</v>
      </c>
    </row>
    <row r="37" spans="1:9" ht="13.5" customHeight="1" x14ac:dyDescent="0.25">
      <c r="A37" s="28">
        <v>8411061695951</v>
      </c>
      <c r="B37" s="29" t="s">
        <v>1973</v>
      </c>
      <c r="C37" s="30" t="s">
        <v>657</v>
      </c>
      <c r="D37" s="31" t="s">
        <v>1974</v>
      </c>
      <c r="E37" s="51">
        <v>12.87</v>
      </c>
      <c r="F37" s="32" t="s">
        <v>14</v>
      </c>
      <c r="G37" s="32" t="s">
        <v>6353</v>
      </c>
      <c r="H37" s="22"/>
      <c r="I37" s="11">
        <f>Table1[[#This Row],[Qty]]*Table1[[#This Row],[Price]]</f>
        <v>0</v>
      </c>
    </row>
    <row r="38" spans="1:9" ht="13.5" customHeight="1" x14ac:dyDescent="0.25">
      <c r="A38" s="28">
        <v>8411061839669</v>
      </c>
      <c r="B38" s="29" t="s">
        <v>1984</v>
      </c>
      <c r="C38" s="30" t="s">
        <v>657</v>
      </c>
      <c r="D38" s="31" t="s">
        <v>1985</v>
      </c>
      <c r="E38" s="51">
        <v>12.53</v>
      </c>
      <c r="F38" s="32" t="s">
        <v>14</v>
      </c>
      <c r="G38" s="32" t="s">
        <v>6354</v>
      </c>
      <c r="H38" s="22"/>
      <c r="I38" s="11">
        <f>Table1[[#This Row],[Qty]]*Table1[[#This Row],[Price]]</f>
        <v>0</v>
      </c>
    </row>
    <row r="39" spans="1:9" ht="13.5" customHeight="1" x14ac:dyDescent="0.25">
      <c r="A39" s="28">
        <v>8411061945568</v>
      </c>
      <c r="B39" s="29" t="s">
        <v>2061</v>
      </c>
      <c r="C39" s="30" t="s">
        <v>657</v>
      </c>
      <c r="D39" s="31" t="s">
        <v>2062</v>
      </c>
      <c r="E39" s="51">
        <v>16.22</v>
      </c>
      <c r="F39" s="32" t="s">
        <v>14</v>
      </c>
      <c r="G39" s="32" t="s">
        <v>6371</v>
      </c>
      <c r="H39" s="12"/>
      <c r="I39" s="11">
        <f>Table1[[#This Row],[Qty]]*Table1[[#This Row],[Price]]</f>
        <v>0</v>
      </c>
    </row>
    <row r="40" spans="1:9" ht="13.5" customHeight="1" x14ac:dyDescent="0.25">
      <c r="A40" s="28">
        <v>8411061860410</v>
      </c>
      <c r="B40" s="29" t="s">
        <v>2080</v>
      </c>
      <c r="C40" s="30" t="s">
        <v>657</v>
      </c>
      <c r="D40" s="31" t="s">
        <v>2081</v>
      </c>
      <c r="E40" s="51">
        <v>10.25</v>
      </c>
      <c r="F40" s="32" t="s">
        <v>14</v>
      </c>
      <c r="G40" s="32" t="s">
        <v>6374</v>
      </c>
      <c r="H40" s="12"/>
      <c r="I40" s="11">
        <f>Table1[[#This Row],[Qty]]*Table1[[#This Row],[Price]]</f>
        <v>0</v>
      </c>
    </row>
    <row r="41" spans="1:9" ht="13.5" customHeight="1" x14ac:dyDescent="0.25">
      <c r="A41" s="28">
        <v>8411061784273</v>
      </c>
      <c r="B41" s="29" t="s">
        <v>2106</v>
      </c>
      <c r="C41" s="30" t="s">
        <v>657</v>
      </c>
      <c r="D41" s="31" t="s">
        <v>2107</v>
      </c>
      <c r="E41" s="51">
        <v>11.29</v>
      </c>
      <c r="F41" s="32" t="s">
        <v>14</v>
      </c>
      <c r="G41" s="32" t="s">
        <v>6377</v>
      </c>
      <c r="H41" s="22"/>
      <c r="I41" s="11">
        <f>Table1[[#This Row],[Qty]]*Table1[[#This Row],[Price]]</f>
        <v>0</v>
      </c>
    </row>
    <row r="42" spans="1:9" ht="13.5" customHeight="1" x14ac:dyDescent="0.25">
      <c r="A42" s="28">
        <v>8411061982020</v>
      </c>
      <c r="B42" s="29" t="s">
        <v>2536</v>
      </c>
      <c r="C42" s="33" t="s">
        <v>657</v>
      </c>
      <c r="D42" s="31" t="s">
        <v>2537</v>
      </c>
      <c r="E42" s="51">
        <v>11.84</v>
      </c>
      <c r="F42" s="32" t="s">
        <v>14</v>
      </c>
      <c r="G42" s="32" t="s">
        <v>6509</v>
      </c>
      <c r="H42" s="22"/>
      <c r="I42" s="11">
        <f>Table1[[#This Row],[Qty]]*Table1[[#This Row],[Price]]</f>
        <v>0</v>
      </c>
    </row>
    <row r="43" spans="1:9" ht="13.5" customHeight="1" x14ac:dyDescent="0.25">
      <c r="A43" s="28">
        <v>8411061971857</v>
      </c>
      <c r="B43" s="29" t="s">
        <v>2671</v>
      </c>
      <c r="C43" s="30" t="s">
        <v>657</v>
      </c>
      <c r="D43" s="31" t="s">
        <v>2672</v>
      </c>
      <c r="E43" s="51">
        <v>14.47</v>
      </c>
      <c r="F43" s="32" t="s">
        <v>14</v>
      </c>
      <c r="G43" s="32" t="s">
        <v>6564</v>
      </c>
      <c r="H43" s="12"/>
      <c r="I43" s="11">
        <f>Table1[[#This Row],[Qty]]*Table1[[#This Row],[Price]]</f>
        <v>0</v>
      </c>
    </row>
    <row r="44" spans="1:9" ht="13.5" customHeight="1" x14ac:dyDescent="0.25">
      <c r="A44" s="28">
        <v>8411061084922</v>
      </c>
      <c r="B44" s="29" t="s">
        <v>3630</v>
      </c>
      <c r="C44" s="30" t="s">
        <v>657</v>
      </c>
      <c r="D44" s="31" t="s">
        <v>3631</v>
      </c>
      <c r="E44" s="51">
        <v>11.75</v>
      </c>
      <c r="F44" s="32" t="s">
        <v>14</v>
      </c>
      <c r="G44" s="32" t="s">
        <v>6940</v>
      </c>
      <c r="H44" s="22"/>
      <c r="I44" s="11">
        <f>Table1[[#This Row],[Qty]]*Table1[[#This Row],[Price]]</f>
        <v>0</v>
      </c>
    </row>
    <row r="45" spans="1:9" ht="13.5" customHeight="1" x14ac:dyDescent="0.25">
      <c r="A45" s="28">
        <v>8411061124277</v>
      </c>
      <c r="B45" s="29" t="s">
        <v>3632</v>
      </c>
      <c r="C45" s="30" t="s">
        <v>657</v>
      </c>
      <c r="D45" s="31" t="s">
        <v>3633</v>
      </c>
      <c r="E45" s="51">
        <v>17</v>
      </c>
      <c r="F45" s="32" t="s">
        <v>14</v>
      </c>
      <c r="G45" s="32" t="s">
        <v>6941</v>
      </c>
      <c r="H45" s="12"/>
      <c r="I45" s="11">
        <f>Table1[[#This Row],[Qty]]*Table1[[#This Row],[Price]]</f>
        <v>0</v>
      </c>
    </row>
    <row r="46" spans="1:9" ht="13.5" customHeight="1" x14ac:dyDescent="0.25">
      <c r="A46" s="28">
        <v>8411061401705</v>
      </c>
      <c r="B46" s="29" t="s">
        <v>823</v>
      </c>
      <c r="C46" s="30" t="s">
        <v>824</v>
      </c>
      <c r="D46" s="31" t="s">
        <v>825</v>
      </c>
      <c r="E46" s="51">
        <v>9.09</v>
      </c>
      <c r="F46" s="32" t="s">
        <v>14</v>
      </c>
      <c r="G46" s="32" t="s">
        <v>6005</v>
      </c>
      <c r="H46" s="12"/>
      <c r="I46" s="11">
        <f>Table1[[#This Row],[Qty]]*Table1[[#This Row],[Price]]</f>
        <v>0</v>
      </c>
    </row>
    <row r="47" spans="1:9" ht="13.5" customHeight="1" x14ac:dyDescent="0.25">
      <c r="A47" s="28">
        <v>6290361912379</v>
      </c>
      <c r="B47" s="29" t="s">
        <v>3673</v>
      </c>
      <c r="C47" s="30" t="s">
        <v>3674</v>
      </c>
      <c r="D47" s="31" t="s">
        <v>3675</v>
      </c>
      <c r="E47" s="51">
        <v>32.4</v>
      </c>
      <c r="F47" s="32" t="s">
        <v>14</v>
      </c>
      <c r="G47" s="32" t="s">
        <v>7465</v>
      </c>
      <c r="H47" s="22"/>
      <c r="I47" s="11">
        <f>Table1[[#This Row],[Qty]]*Table1[[#This Row],[Price]]</f>
        <v>0</v>
      </c>
    </row>
    <row r="48" spans="1:9" ht="13.5" customHeight="1" x14ac:dyDescent="0.25">
      <c r="A48" s="28">
        <v>6290361912362</v>
      </c>
      <c r="B48" s="29" t="s">
        <v>3686</v>
      </c>
      <c r="C48" s="30" t="s">
        <v>3674</v>
      </c>
      <c r="D48" s="31" t="s">
        <v>3687</v>
      </c>
      <c r="E48" s="51">
        <v>28.4</v>
      </c>
      <c r="F48" s="32" t="s">
        <v>14</v>
      </c>
      <c r="G48" s="32" t="s">
        <v>7467</v>
      </c>
      <c r="H48" s="22"/>
      <c r="I48" s="11">
        <f>Table1[[#This Row],[Qty]]*Table1[[#This Row],[Price]]</f>
        <v>0</v>
      </c>
    </row>
    <row r="49" spans="1:12" ht="13.5" customHeight="1" x14ac:dyDescent="0.25">
      <c r="A49" s="28">
        <v>6295199793923</v>
      </c>
      <c r="B49" s="29" t="s">
        <v>5558</v>
      </c>
      <c r="C49" s="30" t="s">
        <v>5559</v>
      </c>
      <c r="D49" s="31" t="s">
        <v>5560</v>
      </c>
      <c r="E49" s="51">
        <v>12.23</v>
      </c>
      <c r="F49" s="32" t="s">
        <v>14</v>
      </c>
      <c r="G49" s="32" t="s">
        <v>6986</v>
      </c>
      <c r="H49" s="12"/>
      <c r="I49" s="11">
        <f>Table1[[#This Row],[Qty]]*Table1[[#This Row],[Price]]</f>
        <v>0</v>
      </c>
      <c r="L49" s="24"/>
    </row>
    <row r="50" spans="1:12" ht="13.5" customHeight="1" x14ac:dyDescent="0.25">
      <c r="A50" s="28">
        <v>810101501227</v>
      </c>
      <c r="B50" s="29" t="s">
        <v>665</v>
      </c>
      <c r="C50" s="30" t="s">
        <v>75</v>
      </c>
      <c r="D50" s="31" t="s">
        <v>666</v>
      </c>
      <c r="E50" s="51">
        <v>39.590000000000003</v>
      </c>
      <c r="F50" s="32" t="s">
        <v>14</v>
      </c>
      <c r="G50" s="32" t="s">
        <v>5932</v>
      </c>
      <c r="H50" s="22"/>
      <c r="I50" s="11">
        <f>Table1[[#This Row],[Qty]]*Table1[[#This Row],[Price]]</f>
        <v>0</v>
      </c>
    </row>
    <row r="51" spans="1:12" ht="13.5" customHeight="1" x14ac:dyDescent="0.25">
      <c r="A51" s="48">
        <v>812256024279</v>
      </c>
      <c r="B51" s="41" t="s">
        <v>689</v>
      </c>
      <c r="C51" s="6" t="s">
        <v>75</v>
      </c>
      <c r="D51" t="s">
        <v>690</v>
      </c>
      <c r="E51" s="47">
        <v>32.51</v>
      </c>
      <c r="F51" s="6" t="s">
        <v>14</v>
      </c>
      <c r="G51" s="6" t="s">
        <v>5944</v>
      </c>
      <c r="H51" s="22"/>
      <c r="I51" s="11">
        <f>Table1[[#This Row],[Qty]]*Table1[[#This Row],[Price]]</f>
        <v>0</v>
      </c>
    </row>
    <row r="52" spans="1:12" ht="13.5" customHeight="1" x14ac:dyDescent="0.25">
      <c r="A52" s="28">
        <v>812256023289</v>
      </c>
      <c r="B52" s="29" t="s">
        <v>717</v>
      </c>
      <c r="C52" s="30" t="s">
        <v>75</v>
      </c>
      <c r="D52" s="31" t="s">
        <v>718</v>
      </c>
      <c r="E52" s="51">
        <v>39.56</v>
      </c>
      <c r="F52" s="32" t="s">
        <v>14</v>
      </c>
      <c r="G52" s="32" t="s">
        <v>5957</v>
      </c>
      <c r="H52" s="22"/>
      <c r="I52" s="11">
        <f>Table1[[#This Row],[Qty]]*Table1[[#This Row],[Price]]</f>
        <v>0</v>
      </c>
    </row>
    <row r="53" spans="1:12" ht="13.5" customHeight="1" x14ac:dyDescent="0.25">
      <c r="A53" s="28">
        <v>812256024194</v>
      </c>
      <c r="B53" s="29" t="s">
        <v>826</v>
      </c>
      <c r="C53" s="33" t="s">
        <v>75</v>
      </c>
      <c r="D53" s="31" t="s">
        <v>827</v>
      </c>
      <c r="E53" s="51">
        <v>8.4</v>
      </c>
      <c r="F53" s="32" t="s">
        <v>14</v>
      </c>
      <c r="G53" s="32" t="s">
        <v>6006</v>
      </c>
      <c r="H53" s="22"/>
      <c r="I53" s="11">
        <f>Table1[[#This Row],[Qty]]*Table1[[#This Row],[Price]]</f>
        <v>0</v>
      </c>
    </row>
    <row r="54" spans="1:12" ht="13.5" customHeight="1" x14ac:dyDescent="0.25">
      <c r="A54" s="28">
        <v>812256025269</v>
      </c>
      <c r="B54" s="29" t="s">
        <v>828</v>
      </c>
      <c r="C54" s="30" t="s">
        <v>75</v>
      </c>
      <c r="D54" s="31" t="s">
        <v>829</v>
      </c>
      <c r="E54" s="51">
        <v>8.4600000000000009</v>
      </c>
      <c r="F54" s="32" t="s">
        <v>14</v>
      </c>
      <c r="G54" s="32" t="s">
        <v>6007</v>
      </c>
      <c r="H54" s="12"/>
      <c r="I54" s="11">
        <f>Table1[[#This Row],[Qty]]*Table1[[#This Row],[Price]]</f>
        <v>0</v>
      </c>
    </row>
    <row r="55" spans="1:12" ht="13.5" customHeight="1" x14ac:dyDescent="0.25">
      <c r="A55" s="28">
        <v>812256020301</v>
      </c>
      <c r="B55" s="29" t="s">
        <v>865</v>
      </c>
      <c r="C55" s="30" t="s">
        <v>75</v>
      </c>
      <c r="D55" s="31" t="s">
        <v>866</v>
      </c>
      <c r="E55" s="51">
        <v>28.28</v>
      </c>
      <c r="F55" s="32" t="s">
        <v>14</v>
      </c>
      <c r="G55" s="32" t="s">
        <v>6022</v>
      </c>
      <c r="H55" s="22"/>
      <c r="I55" s="11">
        <f>Table1[[#This Row],[Qty]]*Table1[[#This Row],[Price]]</f>
        <v>0</v>
      </c>
    </row>
    <row r="56" spans="1:12" ht="13.5" customHeight="1" x14ac:dyDescent="0.25">
      <c r="A56" s="28">
        <v>810101502798</v>
      </c>
      <c r="B56" s="29" t="s">
        <v>867</v>
      </c>
      <c r="C56" s="30" t="s">
        <v>75</v>
      </c>
      <c r="D56" s="31" t="s">
        <v>868</v>
      </c>
      <c r="E56" s="51">
        <v>39.090000000000003</v>
      </c>
      <c r="F56" s="32" t="s">
        <v>14</v>
      </c>
      <c r="G56" s="32" t="s">
        <v>6023</v>
      </c>
      <c r="H56" s="22"/>
      <c r="I56" s="11">
        <f>Table1[[#This Row],[Qty]]*Table1[[#This Row],[Price]]</f>
        <v>0</v>
      </c>
    </row>
    <row r="57" spans="1:12" ht="13.5" customHeight="1" x14ac:dyDescent="0.25">
      <c r="A57" s="28">
        <v>812256021711</v>
      </c>
      <c r="B57" s="29" t="s">
        <v>880</v>
      </c>
      <c r="C57" s="30" t="s">
        <v>75</v>
      </c>
      <c r="D57" s="31" t="s">
        <v>881</v>
      </c>
      <c r="E57" s="51">
        <v>30.14</v>
      </c>
      <c r="F57" s="32" t="s">
        <v>14</v>
      </c>
      <c r="G57" s="32" t="s">
        <v>6029</v>
      </c>
      <c r="H57" s="22"/>
      <c r="I57" s="11">
        <f>Table1[[#This Row],[Qty]]*Table1[[#This Row],[Price]]</f>
        <v>0</v>
      </c>
    </row>
    <row r="58" spans="1:12" ht="13.5" customHeight="1" x14ac:dyDescent="0.25">
      <c r="A58" s="28">
        <v>812256028611</v>
      </c>
      <c r="B58" s="29" t="s">
        <v>1455</v>
      </c>
      <c r="C58" s="30" t="s">
        <v>75</v>
      </c>
      <c r="D58" s="31" t="s">
        <v>1456</v>
      </c>
      <c r="E58" s="51">
        <v>39.18</v>
      </c>
      <c r="F58" s="32" t="s">
        <v>14</v>
      </c>
      <c r="G58" s="32" t="s">
        <v>6216</v>
      </c>
      <c r="H58" s="14"/>
      <c r="I58" s="11">
        <f>Table1[[#This Row],[Qty]]*Table1[[#This Row],[Price]]</f>
        <v>0</v>
      </c>
    </row>
    <row r="59" spans="1:12" ht="13.5" customHeight="1" x14ac:dyDescent="0.25">
      <c r="A59" s="28">
        <v>810101501623</v>
      </c>
      <c r="B59" s="29" t="s">
        <v>1502</v>
      </c>
      <c r="C59" s="30" t="s">
        <v>75</v>
      </c>
      <c r="D59" s="31" t="s">
        <v>1503</v>
      </c>
      <c r="E59" s="51">
        <v>36.5</v>
      </c>
      <c r="F59" s="32" t="s">
        <v>14</v>
      </c>
      <c r="G59" s="32" t="s">
        <v>6230</v>
      </c>
      <c r="H59" s="12"/>
      <c r="I59" s="11">
        <f>Table1[[#This Row],[Qty]]*Table1[[#This Row],[Price]]</f>
        <v>0</v>
      </c>
    </row>
    <row r="60" spans="1:12" ht="13.5" customHeight="1" x14ac:dyDescent="0.25">
      <c r="A60" s="28">
        <v>812256022480</v>
      </c>
      <c r="B60" s="29" t="s">
        <v>1577</v>
      </c>
      <c r="C60" s="30" t="s">
        <v>75</v>
      </c>
      <c r="D60" s="31" t="s">
        <v>1578</v>
      </c>
      <c r="E60" s="51">
        <v>28.25</v>
      </c>
      <c r="F60" s="32" t="s">
        <v>14</v>
      </c>
      <c r="G60" s="32" t="s">
        <v>6247</v>
      </c>
      <c r="H60" s="12"/>
      <c r="I60" s="11">
        <f>Table1[[#This Row],[Qty]]*Table1[[#This Row],[Price]]</f>
        <v>0</v>
      </c>
    </row>
    <row r="61" spans="1:12" ht="13.5" customHeight="1" x14ac:dyDescent="0.25">
      <c r="A61" s="28">
        <v>812256029731</v>
      </c>
      <c r="B61" s="29" t="s">
        <v>2454</v>
      </c>
      <c r="C61" s="30" t="s">
        <v>75</v>
      </c>
      <c r="D61" s="31" t="s">
        <v>2455</v>
      </c>
      <c r="E61" s="51">
        <v>35.229999999999997</v>
      </c>
      <c r="F61" s="32" t="s">
        <v>14</v>
      </c>
      <c r="G61" s="32" t="s">
        <v>6469</v>
      </c>
      <c r="H61" s="22"/>
      <c r="I61" s="11">
        <f>Table1[[#This Row],[Qty]]*Table1[[#This Row],[Price]]</f>
        <v>0</v>
      </c>
    </row>
    <row r="62" spans="1:12" ht="13.5" customHeight="1" x14ac:dyDescent="0.25">
      <c r="A62" s="28">
        <v>812256022381</v>
      </c>
      <c r="B62" s="29" t="s">
        <v>2522</v>
      </c>
      <c r="C62" s="30" t="s">
        <v>75</v>
      </c>
      <c r="D62" s="31" t="s">
        <v>2523</v>
      </c>
      <c r="E62" s="51">
        <v>8.2200000000000006</v>
      </c>
      <c r="F62" s="32" t="s">
        <v>14</v>
      </c>
      <c r="G62" s="32" t="s">
        <v>6503</v>
      </c>
      <c r="H62" s="22"/>
      <c r="I62" s="11">
        <f>Table1[[#This Row],[Qty]]*Table1[[#This Row],[Price]]</f>
        <v>0</v>
      </c>
    </row>
    <row r="63" spans="1:12" ht="13.5" customHeight="1" x14ac:dyDescent="0.25">
      <c r="A63" s="28">
        <v>812256023104</v>
      </c>
      <c r="B63" s="29" t="s">
        <v>2524</v>
      </c>
      <c r="C63" s="30" t="s">
        <v>75</v>
      </c>
      <c r="D63" s="31" t="s">
        <v>2525</v>
      </c>
      <c r="E63" s="51">
        <v>8.26</v>
      </c>
      <c r="F63" s="32" t="s">
        <v>14</v>
      </c>
      <c r="G63" s="32" t="s">
        <v>6504</v>
      </c>
      <c r="H63" s="14"/>
      <c r="I63" s="11">
        <f>Table1[[#This Row],[Qty]]*Table1[[#This Row],[Price]]</f>
        <v>0</v>
      </c>
    </row>
    <row r="64" spans="1:12" ht="13.5" customHeight="1" x14ac:dyDescent="0.25">
      <c r="A64" s="28">
        <v>812256027591</v>
      </c>
      <c r="B64" s="29" t="s">
        <v>2607</v>
      </c>
      <c r="C64" s="30" t="s">
        <v>75</v>
      </c>
      <c r="D64" s="31" t="s">
        <v>2608</v>
      </c>
      <c r="E64" s="51">
        <v>8.48</v>
      </c>
      <c r="F64" s="32" t="s">
        <v>14</v>
      </c>
      <c r="G64" s="32" t="s">
        <v>6536</v>
      </c>
      <c r="H64" s="12"/>
      <c r="I64" s="11">
        <f>Table1[[#This Row],[Qty]]*Table1[[#This Row],[Price]]</f>
        <v>0</v>
      </c>
    </row>
    <row r="65" spans="1:9" ht="13.5" customHeight="1" x14ac:dyDescent="0.25">
      <c r="A65" s="28">
        <v>810101507151</v>
      </c>
      <c r="B65" s="29" t="s">
        <v>2697</v>
      </c>
      <c r="C65" s="30" t="s">
        <v>75</v>
      </c>
      <c r="D65" s="31" t="s">
        <v>2698</v>
      </c>
      <c r="E65" s="51">
        <v>44.84</v>
      </c>
      <c r="F65" s="32" t="s">
        <v>14</v>
      </c>
      <c r="G65" s="32" t="s">
        <v>6577</v>
      </c>
      <c r="H65" s="12"/>
      <c r="I65" s="11">
        <f>Table1[[#This Row],[Qty]]*Table1[[#This Row],[Price]]</f>
        <v>0</v>
      </c>
    </row>
    <row r="66" spans="1:9" ht="13.5" customHeight="1" x14ac:dyDescent="0.25">
      <c r="A66" s="28">
        <v>812256021674</v>
      </c>
      <c r="B66" s="29" t="s">
        <v>3305</v>
      </c>
      <c r="C66" s="30" t="s">
        <v>75</v>
      </c>
      <c r="D66" s="31" t="s">
        <v>3306</v>
      </c>
      <c r="E66" s="51">
        <v>7.87</v>
      </c>
      <c r="F66" s="32" t="s">
        <v>14</v>
      </c>
      <c r="G66" s="32" t="s">
        <v>6783</v>
      </c>
      <c r="H66" s="12"/>
      <c r="I66" s="11">
        <f>Table1[[#This Row],[Qty]]*Table1[[#This Row],[Price]]</f>
        <v>0</v>
      </c>
    </row>
    <row r="67" spans="1:9" ht="13.5" customHeight="1" x14ac:dyDescent="0.25">
      <c r="A67" s="28">
        <v>810101501715</v>
      </c>
      <c r="B67" s="29" t="s">
        <v>3519</v>
      </c>
      <c r="C67" s="30" t="s">
        <v>75</v>
      </c>
      <c r="D67" s="31" t="s">
        <v>3520</v>
      </c>
      <c r="E67" s="51">
        <v>8.51</v>
      </c>
      <c r="F67" s="32" t="s">
        <v>14</v>
      </c>
      <c r="G67" s="32" t="s">
        <v>6880</v>
      </c>
      <c r="H67" s="22"/>
      <c r="I67" s="11">
        <f>Table1[[#This Row],[Qty]]*Table1[[#This Row],[Price]]</f>
        <v>0</v>
      </c>
    </row>
    <row r="68" spans="1:9" ht="13.5" customHeight="1" x14ac:dyDescent="0.25">
      <c r="A68" s="28">
        <v>6085010094151</v>
      </c>
      <c r="B68" s="29" t="s">
        <v>328</v>
      </c>
      <c r="C68" s="30" t="s">
        <v>19</v>
      </c>
      <c r="D68" s="31" t="s">
        <v>329</v>
      </c>
      <c r="E68" s="51">
        <v>19.5</v>
      </c>
      <c r="F68" s="32" t="s">
        <v>14</v>
      </c>
      <c r="G68" s="32" t="s">
        <v>5774</v>
      </c>
      <c r="H68" s="12"/>
      <c r="I68" s="11">
        <f>Table1[[#This Row],[Qty]]*Table1[[#This Row],[Price]]</f>
        <v>0</v>
      </c>
    </row>
    <row r="69" spans="1:9" ht="13.5" customHeight="1" x14ac:dyDescent="0.25">
      <c r="A69" s="28">
        <v>6294015181944</v>
      </c>
      <c r="B69" s="29" t="s">
        <v>330</v>
      </c>
      <c r="C69" s="30" t="s">
        <v>19</v>
      </c>
      <c r="D69" s="31" t="s">
        <v>331</v>
      </c>
      <c r="E69" s="51">
        <v>37.5</v>
      </c>
      <c r="F69" s="32" t="s">
        <v>14</v>
      </c>
      <c r="G69" s="32" t="s">
        <v>5775</v>
      </c>
      <c r="H69" s="12"/>
      <c r="I69" s="11">
        <f>Table1[[#This Row],[Qty]]*Table1[[#This Row],[Price]]</f>
        <v>0</v>
      </c>
    </row>
    <row r="70" spans="1:9" ht="13.5" customHeight="1" x14ac:dyDescent="0.25">
      <c r="A70" s="28">
        <v>6294015164169</v>
      </c>
      <c r="B70" s="29" t="s">
        <v>375</v>
      </c>
      <c r="C70" s="30" t="s">
        <v>19</v>
      </c>
      <c r="D70" s="31" t="s">
        <v>376</v>
      </c>
      <c r="E70" s="51">
        <v>25</v>
      </c>
      <c r="F70" s="32" t="s">
        <v>14</v>
      </c>
      <c r="G70" s="32" t="s">
        <v>5800</v>
      </c>
      <c r="H70" s="12"/>
      <c r="I70" s="11">
        <f>Table1[[#This Row],[Qty]]*Table1[[#This Row],[Price]]</f>
        <v>0</v>
      </c>
    </row>
    <row r="71" spans="1:9" ht="13.5" customHeight="1" x14ac:dyDescent="0.25">
      <c r="A71" s="28">
        <v>6294015132120</v>
      </c>
      <c r="B71" s="29" t="s">
        <v>391</v>
      </c>
      <c r="C71" s="30" t="s">
        <v>19</v>
      </c>
      <c r="D71" s="31" t="s">
        <v>392</v>
      </c>
      <c r="E71" s="51">
        <v>23.51</v>
      </c>
      <c r="F71" s="32" t="s">
        <v>14</v>
      </c>
      <c r="G71" s="32" t="s">
        <v>5808</v>
      </c>
      <c r="H71" s="12"/>
      <c r="I71" s="11">
        <f>Table1[[#This Row],[Qty]]*Table1[[#This Row],[Price]]</f>
        <v>0</v>
      </c>
    </row>
    <row r="72" spans="1:9" ht="13.5" customHeight="1" x14ac:dyDescent="0.25">
      <c r="A72" s="28">
        <v>6295199800942</v>
      </c>
      <c r="B72" s="29" t="s">
        <v>478</v>
      </c>
      <c r="C72" s="30" t="s">
        <v>19</v>
      </c>
      <c r="D72" s="31" t="s">
        <v>479</v>
      </c>
      <c r="E72" s="51">
        <v>22.96</v>
      </c>
      <c r="F72" s="32" t="s">
        <v>14</v>
      </c>
      <c r="G72" s="32" t="s">
        <v>5849</v>
      </c>
      <c r="H72" s="12"/>
      <c r="I72" s="11">
        <f>Table1[[#This Row],[Qty]]*Table1[[#This Row],[Price]]</f>
        <v>0</v>
      </c>
    </row>
    <row r="73" spans="1:9" ht="13.5" customHeight="1" x14ac:dyDescent="0.25">
      <c r="A73" s="28">
        <v>6294015149388</v>
      </c>
      <c r="B73" s="29" t="s">
        <v>673</v>
      </c>
      <c r="C73" s="30" t="s">
        <v>19</v>
      </c>
      <c r="D73" s="31" t="s">
        <v>674</v>
      </c>
      <c r="E73" s="51">
        <v>16</v>
      </c>
      <c r="F73" s="32" t="s">
        <v>14</v>
      </c>
      <c r="G73" s="32" t="s">
        <v>5936</v>
      </c>
      <c r="H73" s="12"/>
      <c r="I73" s="11">
        <f>Table1[[#This Row],[Qty]]*Table1[[#This Row],[Price]]</f>
        <v>0</v>
      </c>
    </row>
    <row r="74" spans="1:9" ht="13.5" customHeight="1" x14ac:dyDescent="0.25">
      <c r="A74" s="28">
        <v>6294015196467</v>
      </c>
      <c r="B74" s="29" t="s">
        <v>993</v>
      </c>
      <c r="C74" s="30" t="s">
        <v>19</v>
      </c>
      <c r="D74" s="31" t="s">
        <v>994</v>
      </c>
      <c r="E74" s="51">
        <v>24.96</v>
      </c>
      <c r="F74" s="32" t="s">
        <v>14</v>
      </c>
      <c r="G74" s="32" t="s">
        <v>6081</v>
      </c>
      <c r="H74" s="12"/>
      <c r="I74" s="11">
        <f>Table1[[#This Row],[Qty]]*Table1[[#This Row],[Price]]</f>
        <v>0</v>
      </c>
    </row>
    <row r="75" spans="1:9" ht="13.5" customHeight="1" x14ac:dyDescent="0.25">
      <c r="A75" s="28">
        <v>6294015163513</v>
      </c>
      <c r="B75" s="29" t="s">
        <v>1058</v>
      </c>
      <c r="C75" s="30" t="s">
        <v>19</v>
      </c>
      <c r="D75" s="31" t="s">
        <v>1059</v>
      </c>
      <c r="E75" s="51">
        <v>25.19</v>
      </c>
      <c r="F75" s="32" t="s">
        <v>14</v>
      </c>
      <c r="G75" s="32" t="s">
        <v>6109</v>
      </c>
      <c r="H75" s="22"/>
      <c r="I75" s="11">
        <f>Table1[[#This Row],[Qty]]*Table1[[#This Row],[Price]]</f>
        <v>0</v>
      </c>
    </row>
    <row r="76" spans="1:9" ht="13.5" customHeight="1" x14ac:dyDescent="0.25">
      <c r="A76" s="28">
        <v>6294015102642</v>
      </c>
      <c r="B76" s="29" t="s">
        <v>1072</v>
      </c>
      <c r="C76" s="30" t="s">
        <v>19</v>
      </c>
      <c r="D76" s="31" t="s">
        <v>1073</v>
      </c>
      <c r="E76" s="51">
        <v>17.100000000000001</v>
      </c>
      <c r="F76" s="32" t="s">
        <v>14</v>
      </c>
      <c r="G76" s="32" t="s">
        <v>6116</v>
      </c>
      <c r="H76" s="22"/>
      <c r="I76" s="11">
        <f>Table1[[#This Row],[Qty]]*Table1[[#This Row],[Price]]</f>
        <v>0</v>
      </c>
    </row>
    <row r="77" spans="1:9" ht="13.5" customHeight="1" x14ac:dyDescent="0.25">
      <c r="A77" s="28">
        <v>6295199801116</v>
      </c>
      <c r="B77" s="29" t="s">
        <v>1088</v>
      </c>
      <c r="C77" s="30" t="s">
        <v>19</v>
      </c>
      <c r="D77" s="31" t="s">
        <v>1089</v>
      </c>
      <c r="E77" s="51">
        <v>23.84</v>
      </c>
      <c r="F77" s="32" t="s">
        <v>14</v>
      </c>
      <c r="G77" s="32" t="s">
        <v>6123</v>
      </c>
      <c r="H77" s="12"/>
      <c r="I77" s="11">
        <f>Table1[[#This Row],[Qty]]*Table1[[#This Row],[Price]]</f>
        <v>0</v>
      </c>
    </row>
    <row r="78" spans="1:9" ht="13.5" customHeight="1" x14ac:dyDescent="0.25">
      <c r="A78" s="28">
        <v>6294015160727</v>
      </c>
      <c r="B78" s="29" t="s">
        <v>1098</v>
      </c>
      <c r="C78" s="30" t="s">
        <v>19</v>
      </c>
      <c r="D78" s="31" t="s">
        <v>1099</v>
      </c>
      <c r="E78" s="51">
        <v>15.9</v>
      </c>
      <c r="F78" s="32" t="s">
        <v>14</v>
      </c>
      <c r="G78" s="32" t="s">
        <v>6128</v>
      </c>
      <c r="H78" s="12"/>
      <c r="I78" s="11">
        <f>Table1[[#This Row],[Qty]]*Table1[[#This Row],[Price]]</f>
        <v>0</v>
      </c>
    </row>
    <row r="79" spans="1:9" ht="13.5" customHeight="1" x14ac:dyDescent="0.25">
      <c r="A79" s="28">
        <v>6294015180251</v>
      </c>
      <c r="B79" s="29" t="s">
        <v>1473</v>
      </c>
      <c r="C79" s="30" t="s">
        <v>19</v>
      </c>
      <c r="D79" s="31" t="s">
        <v>1474</v>
      </c>
      <c r="E79" s="51">
        <v>36</v>
      </c>
      <c r="F79" s="32" t="s">
        <v>14</v>
      </c>
      <c r="G79" s="32" t="s">
        <v>6222</v>
      </c>
      <c r="H79" s="22"/>
      <c r="I79" s="11">
        <f>Table1[[#This Row],[Qty]]*Table1[[#This Row],[Price]]</f>
        <v>0</v>
      </c>
    </row>
    <row r="80" spans="1:9" ht="13.5" customHeight="1" x14ac:dyDescent="0.25">
      <c r="A80" s="28">
        <v>6294015188660</v>
      </c>
      <c r="B80" s="29" t="s">
        <v>1604</v>
      </c>
      <c r="C80" s="30" t="s">
        <v>19</v>
      </c>
      <c r="D80" s="31" t="s">
        <v>1605</v>
      </c>
      <c r="E80" s="51">
        <v>23.87</v>
      </c>
      <c r="F80" s="32" t="s">
        <v>14</v>
      </c>
      <c r="G80" s="32" t="s">
        <v>6255</v>
      </c>
      <c r="H80" s="12"/>
      <c r="I80" s="11">
        <f>Table1[[#This Row],[Qty]]*Table1[[#This Row],[Price]]</f>
        <v>0</v>
      </c>
    </row>
    <row r="81" spans="1:9" ht="13.5" customHeight="1" x14ac:dyDescent="0.25">
      <c r="A81" s="28">
        <v>6295199805022</v>
      </c>
      <c r="B81" s="29" t="s">
        <v>1606</v>
      </c>
      <c r="C81" s="30" t="s">
        <v>19</v>
      </c>
      <c r="D81" s="31" t="s">
        <v>1607</v>
      </c>
      <c r="E81" s="51">
        <v>26.65</v>
      </c>
      <c r="F81" s="32" t="s">
        <v>14</v>
      </c>
      <c r="G81" s="32" t="s">
        <v>6256</v>
      </c>
      <c r="H81" s="12"/>
      <c r="I81" s="11">
        <f>Table1[[#This Row],[Qty]]*Table1[[#This Row],[Price]]</f>
        <v>0</v>
      </c>
    </row>
    <row r="82" spans="1:9" ht="13.5" customHeight="1" x14ac:dyDescent="0.25">
      <c r="A82" s="28">
        <v>6294015197136</v>
      </c>
      <c r="B82" s="29" t="s">
        <v>1698</v>
      </c>
      <c r="C82" s="30" t="s">
        <v>19</v>
      </c>
      <c r="D82" s="31" t="s">
        <v>1699</v>
      </c>
      <c r="E82" s="51">
        <v>23.07</v>
      </c>
      <c r="F82" s="32" t="s">
        <v>14</v>
      </c>
      <c r="G82" s="32" t="s">
        <v>6275</v>
      </c>
      <c r="H82" s="12"/>
      <c r="I82" s="11">
        <f>Table1[[#This Row],[Qty]]*Table1[[#This Row],[Price]]</f>
        <v>0</v>
      </c>
    </row>
    <row r="83" spans="1:9" ht="13.5" customHeight="1" x14ac:dyDescent="0.25">
      <c r="A83" s="28">
        <v>6294015163896</v>
      </c>
      <c r="B83" s="29" t="s">
        <v>1856</v>
      </c>
      <c r="C83" s="30" t="s">
        <v>19</v>
      </c>
      <c r="D83" s="31" t="s">
        <v>1857</v>
      </c>
      <c r="E83" s="51">
        <v>14.44</v>
      </c>
      <c r="F83" s="32" t="s">
        <v>14</v>
      </c>
      <c r="G83" s="32" t="s">
        <v>6315</v>
      </c>
      <c r="H83" s="22"/>
      <c r="I83" s="11">
        <f>Table1[[#This Row],[Qty]]*Table1[[#This Row],[Price]]</f>
        <v>0</v>
      </c>
    </row>
    <row r="84" spans="1:9" ht="13.5" customHeight="1" x14ac:dyDescent="0.25">
      <c r="A84" s="28">
        <v>6295199809532</v>
      </c>
      <c r="B84" s="29" t="s">
        <v>2390</v>
      </c>
      <c r="C84" s="30" t="s">
        <v>19</v>
      </c>
      <c r="D84" s="31" t="s">
        <v>2391</v>
      </c>
      <c r="E84" s="51">
        <v>20.58</v>
      </c>
      <c r="F84" s="32" t="s">
        <v>14</v>
      </c>
      <c r="G84" s="32" t="s">
        <v>6442</v>
      </c>
      <c r="H84" s="22"/>
      <c r="I84" s="11">
        <f>Table1[[#This Row],[Qty]]*Table1[[#This Row],[Price]]</f>
        <v>0</v>
      </c>
    </row>
    <row r="85" spans="1:9" ht="13.5" customHeight="1" x14ac:dyDescent="0.25">
      <c r="A85" s="28">
        <v>6294015188622</v>
      </c>
      <c r="B85" s="29" t="s">
        <v>2396</v>
      </c>
      <c r="C85" s="33" t="s">
        <v>19</v>
      </c>
      <c r="D85" s="31" t="s">
        <v>2397</v>
      </c>
      <c r="E85" s="51">
        <v>14.52</v>
      </c>
      <c r="F85" s="32" t="s">
        <v>14</v>
      </c>
      <c r="G85" s="32" t="s">
        <v>6445</v>
      </c>
      <c r="H85" s="22"/>
      <c r="I85" s="11">
        <f>Table1[[#This Row],[Qty]]*Table1[[#This Row],[Price]]</f>
        <v>0</v>
      </c>
    </row>
    <row r="86" spans="1:9" ht="13.5" customHeight="1" x14ac:dyDescent="0.25">
      <c r="A86" s="28">
        <v>6294015180367</v>
      </c>
      <c r="B86" s="29" t="s">
        <v>2428</v>
      </c>
      <c r="C86" s="30" t="s">
        <v>19</v>
      </c>
      <c r="D86" s="31" t="s">
        <v>2429</v>
      </c>
      <c r="E86" s="51">
        <v>45.58</v>
      </c>
      <c r="F86" s="32" t="s">
        <v>14</v>
      </c>
      <c r="G86" s="32" t="s">
        <v>6456</v>
      </c>
      <c r="H86" s="22"/>
      <c r="I86" s="11">
        <f>Table1[[#This Row],[Qty]]*Table1[[#This Row],[Price]]</f>
        <v>0</v>
      </c>
    </row>
    <row r="87" spans="1:9" ht="13.5" customHeight="1" x14ac:dyDescent="0.25">
      <c r="A87" s="28">
        <v>6294015196627</v>
      </c>
      <c r="B87" s="29" t="s">
        <v>2432</v>
      </c>
      <c r="C87" s="30" t="s">
        <v>19</v>
      </c>
      <c r="D87" s="31" t="s">
        <v>2433</v>
      </c>
      <c r="E87" s="51">
        <v>21.31</v>
      </c>
      <c r="F87" s="32" t="s">
        <v>14</v>
      </c>
      <c r="G87" s="32" t="s">
        <v>6458</v>
      </c>
      <c r="H87" s="22"/>
      <c r="I87" s="11">
        <f>Table1[[#This Row],[Qty]]*Table1[[#This Row],[Price]]</f>
        <v>0</v>
      </c>
    </row>
    <row r="88" spans="1:9" ht="13.5" customHeight="1" x14ac:dyDescent="0.25">
      <c r="A88" s="28">
        <v>6295199811771</v>
      </c>
      <c r="B88" s="29" t="s">
        <v>2434</v>
      </c>
      <c r="C88" s="30" t="s">
        <v>19</v>
      </c>
      <c r="D88" s="31" t="s">
        <v>2435</v>
      </c>
      <c r="E88" s="51">
        <v>25.96</v>
      </c>
      <c r="F88" s="32" t="s">
        <v>14</v>
      </c>
      <c r="G88" s="32" t="s">
        <v>6459</v>
      </c>
      <c r="H88" s="22"/>
      <c r="I88" s="11">
        <f>Table1[[#This Row],[Qty]]*Table1[[#This Row],[Price]]</f>
        <v>0</v>
      </c>
    </row>
    <row r="89" spans="1:9" ht="13.5" customHeight="1" x14ac:dyDescent="0.25">
      <c r="A89" s="28">
        <v>6295199816967</v>
      </c>
      <c r="B89" s="29" t="s">
        <v>2538</v>
      </c>
      <c r="C89" s="30" t="s">
        <v>19</v>
      </c>
      <c r="D89" s="31" t="s">
        <v>2539</v>
      </c>
      <c r="E89" s="51">
        <v>32.04</v>
      </c>
      <c r="F89" s="32" t="s">
        <v>14</v>
      </c>
      <c r="G89" s="32" t="s">
        <v>6510</v>
      </c>
      <c r="H89" s="22"/>
      <c r="I89" s="11">
        <f>Table1[[#This Row],[Qty]]*Table1[[#This Row],[Price]]</f>
        <v>0</v>
      </c>
    </row>
    <row r="90" spans="1:9" ht="13.5" customHeight="1" x14ac:dyDescent="0.25">
      <c r="A90" s="48">
        <v>6295199806814</v>
      </c>
      <c r="B90" s="41" t="s">
        <v>2617</v>
      </c>
      <c r="C90" s="6" t="s">
        <v>19</v>
      </c>
      <c r="D90" t="s">
        <v>2618</v>
      </c>
      <c r="E90" s="47">
        <v>22.05</v>
      </c>
      <c r="F90" s="6" t="s">
        <v>14</v>
      </c>
      <c r="G90" s="6" t="s">
        <v>6541</v>
      </c>
      <c r="H90" s="22"/>
      <c r="I90" s="11">
        <f>Table1[[#This Row],[Qty]]*Table1[[#This Row],[Price]]</f>
        <v>0</v>
      </c>
    </row>
    <row r="91" spans="1:9" ht="13.5" customHeight="1" x14ac:dyDescent="0.25">
      <c r="A91" s="28">
        <v>6295199804155</v>
      </c>
      <c r="B91" s="29" t="s">
        <v>2661</v>
      </c>
      <c r="C91" s="30" t="s">
        <v>19</v>
      </c>
      <c r="D91" s="31" t="s">
        <v>2662</v>
      </c>
      <c r="E91" s="51">
        <v>27.5</v>
      </c>
      <c r="F91" s="32" t="s">
        <v>14</v>
      </c>
      <c r="G91" s="32" t="s">
        <v>6560</v>
      </c>
      <c r="H91" s="22"/>
      <c r="I91" s="11">
        <f>Table1[[#This Row],[Qty]]*Table1[[#This Row],[Price]]</f>
        <v>0</v>
      </c>
    </row>
    <row r="92" spans="1:9" ht="13.5" customHeight="1" x14ac:dyDescent="0.25">
      <c r="A92" s="28">
        <v>6295199806319</v>
      </c>
      <c r="B92" s="29" t="s">
        <v>2663</v>
      </c>
      <c r="C92" s="30" t="s">
        <v>19</v>
      </c>
      <c r="D92" s="31" t="s">
        <v>2664</v>
      </c>
      <c r="E92" s="51">
        <v>27.5</v>
      </c>
      <c r="F92" s="32" t="s">
        <v>14</v>
      </c>
      <c r="G92" s="32" t="s">
        <v>6561</v>
      </c>
      <c r="H92" s="22"/>
      <c r="I92" s="11">
        <f>Table1[[#This Row],[Qty]]*Table1[[#This Row],[Price]]</f>
        <v>0</v>
      </c>
    </row>
    <row r="93" spans="1:9" ht="13.5" customHeight="1" x14ac:dyDescent="0.25">
      <c r="A93" s="28">
        <v>6294015156119</v>
      </c>
      <c r="B93" s="29" t="s">
        <v>2665</v>
      </c>
      <c r="C93" s="30" t="s">
        <v>19</v>
      </c>
      <c r="D93" s="31" t="s">
        <v>2666</v>
      </c>
      <c r="E93" s="51">
        <v>26.58</v>
      </c>
      <c r="F93" s="32" t="s">
        <v>14</v>
      </c>
      <c r="G93" s="32" t="s">
        <v>6562</v>
      </c>
      <c r="H93" s="12"/>
      <c r="I93" s="11">
        <f>Table1[[#This Row],[Qty]]*Table1[[#This Row],[Price]]</f>
        <v>0</v>
      </c>
    </row>
    <row r="94" spans="1:9" ht="13.5" customHeight="1" x14ac:dyDescent="0.25">
      <c r="A94" s="48">
        <v>6295199805251</v>
      </c>
      <c r="B94" s="41" t="s">
        <v>2667</v>
      </c>
      <c r="C94" s="6" t="s">
        <v>19</v>
      </c>
      <c r="D94" t="s">
        <v>2668</v>
      </c>
      <c r="E94" s="47">
        <v>14.55</v>
      </c>
      <c r="F94" s="6" t="s">
        <v>14</v>
      </c>
      <c r="G94" s="6" t="s">
        <v>7459</v>
      </c>
      <c r="H94" s="22"/>
      <c r="I94" s="11">
        <f>Table1[[#This Row],[Qty]]*Table1[[#This Row],[Price]]</f>
        <v>0</v>
      </c>
    </row>
    <row r="95" spans="1:9" ht="13.5" customHeight="1" x14ac:dyDescent="0.25">
      <c r="A95" s="28">
        <v>6295199812075</v>
      </c>
      <c r="B95" s="29" t="s">
        <v>2669</v>
      </c>
      <c r="C95" s="30" t="s">
        <v>19</v>
      </c>
      <c r="D95" s="31" t="s">
        <v>2670</v>
      </c>
      <c r="E95" s="51">
        <v>27.2</v>
      </c>
      <c r="F95" s="32" t="s">
        <v>14</v>
      </c>
      <c r="G95" s="32" t="s">
        <v>6563</v>
      </c>
      <c r="H95" s="12"/>
      <c r="I95" s="11">
        <f>Table1[[#This Row],[Qty]]*Table1[[#This Row],[Price]]</f>
        <v>0</v>
      </c>
    </row>
    <row r="96" spans="1:9" ht="13.5" customHeight="1" x14ac:dyDescent="0.25">
      <c r="A96" s="28">
        <v>6294015188639</v>
      </c>
      <c r="B96" s="29" t="s">
        <v>2693</v>
      </c>
      <c r="C96" s="30" t="s">
        <v>19</v>
      </c>
      <c r="D96" s="31" t="s">
        <v>2694</v>
      </c>
      <c r="E96" s="51">
        <v>14.38</v>
      </c>
      <c r="F96" s="32" t="s">
        <v>14</v>
      </c>
      <c r="G96" s="32" t="s">
        <v>6575</v>
      </c>
      <c r="H96" s="22"/>
      <c r="I96" s="11">
        <f>Table1[[#This Row],[Qty]]*Table1[[#This Row],[Price]]</f>
        <v>0</v>
      </c>
    </row>
    <row r="97" spans="1:9" ht="13.5" customHeight="1" x14ac:dyDescent="0.25">
      <c r="A97" s="28">
        <v>6295199815045</v>
      </c>
      <c r="B97" s="29" t="s">
        <v>2711</v>
      </c>
      <c r="C97" s="30" t="s">
        <v>19</v>
      </c>
      <c r="D97" s="31" t="s">
        <v>2712</v>
      </c>
      <c r="E97" s="51">
        <v>21.1</v>
      </c>
      <c r="F97" s="32" t="s">
        <v>14</v>
      </c>
      <c r="G97" s="32" t="s">
        <v>6583</v>
      </c>
      <c r="H97" s="12"/>
      <c r="I97" s="11">
        <f>Table1[[#This Row],[Qty]]*Table1[[#This Row],[Price]]</f>
        <v>0</v>
      </c>
    </row>
    <row r="98" spans="1:9" ht="13.5" customHeight="1" x14ac:dyDescent="0.25">
      <c r="A98" s="28">
        <v>6294015175240</v>
      </c>
      <c r="B98" s="29" t="s">
        <v>3114</v>
      </c>
      <c r="C98" s="30" t="s">
        <v>19</v>
      </c>
      <c r="D98" s="31" t="s">
        <v>3115</v>
      </c>
      <c r="E98" s="51">
        <v>42.82</v>
      </c>
      <c r="F98" s="32" t="s">
        <v>14</v>
      </c>
      <c r="G98" s="32" t="s">
        <v>6701</v>
      </c>
      <c r="H98" s="12"/>
      <c r="I98" s="11">
        <f>Table1[[#This Row],[Qty]]*Table1[[#This Row],[Price]]</f>
        <v>0</v>
      </c>
    </row>
    <row r="99" spans="1:9" ht="13.5" customHeight="1" x14ac:dyDescent="0.25">
      <c r="A99" s="28">
        <v>6295199815106</v>
      </c>
      <c r="B99" s="29" t="s">
        <v>3202</v>
      </c>
      <c r="C99" s="30" t="s">
        <v>19</v>
      </c>
      <c r="D99" s="31" t="s">
        <v>3203</v>
      </c>
      <c r="E99" s="51">
        <v>32.5</v>
      </c>
      <c r="F99" s="32" t="s">
        <v>14</v>
      </c>
      <c r="G99" s="32" t="s">
        <v>6738</v>
      </c>
      <c r="H99" s="22"/>
      <c r="I99" s="11">
        <f>Table1[[#This Row],[Qty]]*Table1[[#This Row],[Price]]</f>
        <v>0</v>
      </c>
    </row>
    <row r="100" spans="1:9" ht="13.5" customHeight="1" x14ac:dyDescent="0.25">
      <c r="A100" s="28">
        <v>6295199815168</v>
      </c>
      <c r="B100" s="29" t="s">
        <v>3206</v>
      </c>
      <c r="C100" s="30" t="s">
        <v>19</v>
      </c>
      <c r="D100" s="31" t="s">
        <v>3207</v>
      </c>
      <c r="E100" s="51">
        <v>31</v>
      </c>
      <c r="F100" s="32" t="s">
        <v>14</v>
      </c>
      <c r="G100" s="32" t="s">
        <v>6740</v>
      </c>
      <c r="H100" s="22"/>
      <c r="I100" s="11">
        <f>Table1[[#This Row],[Qty]]*Table1[[#This Row],[Price]]</f>
        <v>0</v>
      </c>
    </row>
    <row r="101" spans="1:9" ht="13.5" customHeight="1" x14ac:dyDescent="0.25">
      <c r="A101" s="28">
        <v>6295199815090</v>
      </c>
      <c r="B101" s="29" t="s">
        <v>3248</v>
      </c>
      <c r="C101" s="30" t="s">
        <v>19</v>
      </c>
      <c r="D101" s="31" t="s">
        <v>3249</v>
      </c>
      <c r="E101" s="51">
        <v>32.020000000000003</v>
      </c>
      <c r="F101" s="32" t="s">
        <v>14</v>
      </c>
      <c r="G101" s="32" t="s">
        <v>6758</v>
      </c>
      <c r="H101" s="12"/>
      <c r="I101" s="11">
        <f>Table1[[#This Row],[Qty]]*Table1[[#This Row],[Price]]</f>
        <v>0</v>
      </c>
    </row>
    <row r="102" spans="1:9" ht="13.5" customHeight="1" x14ac:dyDescent="0.25">
      <c r="A102" s="28">
        <v>6295199814895</v>
      </c>
      <c r="B102" s="29" t="s">
        <v>3250</v>
      </c>
      <c r="C102" s="30" t="s">
        <v>19</v>
      </c>
      <c r="D102" s="31" t="s">
        <v>3251</v>
      </c>
      <c r="E102" s="51">
        <v>30.53</v>
      </c>
      <c r="F102" s="32" t="s">
        <v>14</v>
      </c>
      <c r="G102" s="32" t="s">
        <v>6759</v>
      </c>
      <c r="H102" s="12"/>
      <c r="I102" s="11">
        <f>Table1[[#This Row],[Qty]]*Table1[[#This Row],[Price]]</f>
        <v>0</v>
      </c>
    </row>
    <row r="103" spans="1:9" ht="13.5" customHeight="1" x14ac:dyDescent="0.25">
      <c r="A103" s="28">
        <v>6295199815434</v>
      </c>
      <c r="B103" s="29" t="s">
        <v>3291</v>
      </c>
      <c r="C103" s="30" t="s">
        <v>19</v>
      </c>
      <c r="D103" s="31" t="s">
        <v>3292</v>
      </c>
      <c r="E103" s="51">
        <v>34.43</v>
      </c>
      <c r="F103" s="32" t="s">
        <v>14</v>
      </c>
      <c r="G103" s="32" t="s">
        <v>6777</v>
      </c>
      <c r="H103" s="22"/>
      <c r="I103" s="11">
        <f>Table1[[#This Row],[Qty]]*Table1[[#This Row],[Price]]</f>
        <v>0</v>
      </c>
    </row>
    <row r="104" spans="1:9" ht="13.5" customHeight="1" x14ac:dyDescent="0.25">
      <c r="A104" s="28">
        <v>6295199818862</v>
      </c>
      <c r="B104" s="29" t="s">
        <v>3293</v>
      </c>
      <c r="C104" s="30" t="s">
        <v>19</v>
      </c>
      <c r="D104" s="31" t="s">
        <v>3294</v>
      </c>
      <c r="E104" s="51">
        <v>30.5</v>
      </c>
      <c r="F104" s="32" t="s">
        <v>14</v>
      </c>
      <c r="G104" s="32" t="s">
        <v>6778</v>
      </c>
      <c r="H104" s="12"/>
      <c r="I104" s="11">
        <f>Table1[[#This Row],[Qty]]*Table1[[#This Row],[Price]]</f>
        <v>0</v>
      </c>
    </row>
    <row r="105" spans="1:9" ht="13.5" customHeight="1" x14ac:dyDescent="0.25">
      <c r="A105" s="28">
        <v>6295199808122</v>
      </c>
      <c r="B105" s="29" t="s">
        <v>3363</v>
      </c>
      <c r="C105" s="30" t="s">
        <v>19</v>
      </c>
      <c r="D105" s="31" t="s">
        <v>3364</v>
      </c>
      <c r="E105" s="51">
        <v>32.99</v>
      </c>
      <c r="F105" s="32" t="s">
        <v>14</v>
      </c>
      <c r="G105" s="32" t="s">
        <v>6811</v>
      </c>
      <c r="H105" s="12"/>
      <c r="I105" s="11">
        <f>Table1[[#This Row],[Qty]]*Table1[[#This Row],[Price]]</f>
        <v>0</v>
      </c>
    </row>
    <row r="106" spans="1:9" ht="13.5" customHeight="1" x14ac:dyDescent="0.25">
      <c r="A106" s="28">
        <v>6295199815182</v>
      </c>
      <c r="B106" s="29" t="s">
        <v>3365</v>
      </c>
      <c r="C106" s="33" t="s">
        <v>19</v>
      </c>
      <c r="D106" s="31" t="s">
        <v>3366</v>
      </c>
      <c r="E106" s="51">
        <v>32.119999999999997</v>
      </c>
      <c r="F106" s="32" t="s">
        <v>14</v>
      </c>
      <c r="G106" s="32" t="s">
        <v>6812</v>
      </c>
      <c r="H106" s="22"/>
      <c r="I106" s="11">
        <f>Table1[[#This Row],[Qty]]*Table1[[#This Row],[Price]]</f>
        <v>0</v>
      </c>
    </row>
    <row r="107" spans="1:9" ht="13.5" customHeight="1" x14ac:dyDescent="0.25">
      <c r="A107" s="48">
        <v>6295199807217</v>
      </c>
      <c r="B107" s="41" t="s">
        <v>3371</v>
      </c>
      <c r="C107" s="6" t="s">
        <v>19</v>
      </c>
      <c r="D107" t="s">
        <v>3372</v>
      </c>
      <c r="E107" s="47">
        <v>20.27</v>
      </c>
      <c r="F107" s="6" t="s">
        <v>14</v>
      </c>
      <c r="G107" s="6" t="s">
        <v>6815</v>
      </c>
      <c r="H107" s="22"/>
      <c r="I107" s="11">
        <f>Table1[[#This Row],[Qty]]*Table1[[#This Row],[Price]]</f>
        <v>0</v>
      </c>
    </row>
    <row r="108" spans="1:9" ht="13.5" customHeight="1" x14ac:dyDescent="0.25">
      <c r="A108" s="28">
        <v>6294015183382</v>
      </c>
      <c r="B108" s="29" t="s">
        <v>3381</v>
      </c>
      <c r="C108" s="30" t="s">
        <v>19</v>
      </c>
      <c r="D108" s="31" t="s">
        <v>3382</v>
      </c>
      <c r="E108" s="51">
        <v>17.5</v>
      </c>
      <c r="F108" s="32" t="s">
        <v>14</v>
      </c>
      <c r="G108" s="32" t="s">
        <v>6819</v>
      </c>
      <c r="H108" s="12"/>
      <c r="I108" s="11">
        <f>Table1[[#This Row],[Qty]]*Table1[[#This Row],[Price]]</f>
        <v>0</v>
      </c>
    </row>
    <row r="109" spans="1:9" ht="13.5" customHeight="1" x14ac:dyDescent="0.25">
      <c r="A109" s="28">
        <v>6294015155693</v>
      </c>
      <c r="B109" s="29" t="s">
        <v>3390</v>
      </c>
      <c r="C109" s="30" t="s">
        <v>19</v>
      </c>
      <c r="D109" s="31" t="s">
        <v>3391</v>
      </c>
      <c r="E109" s="51">
        <v>12.22</v>
      </c>
      <c r="F109" s="32" t="s">
        <v>14</v>
      </c>
      <c r="G109" s="32" t="s">
        <v>6822</v>
      </c>
      <c r="H109" s="22"/>
      <c r="I109" s="11">
        <f>Table1[[#This Row],[Qty]]*Table1[[#This Row],[Price]]</f>
        <v>0</v>
      </c>
    </row>
    <row r="110" spans="1:9" ht="13.5" customHeight="1" x14ac:dyDescent="0.25">
      <c r="A110" s="28">
        <v>6294015168167</v>
      </c>
      <c r="B110" s="29" t="s">
        <v>3399</v>
      </c>
      <c r="C110" s="30" t="s">
        <v>19</v>
      </c>
      <c r="D110" s="31" t="s">
        <v>3400</v>
      </c>
      <c r="E110" s="51">
        <v>20.54</v>
      </c>
      <c r="F110" s="32" t="s">
        <v>14</v>
      </c>
      <c r="G110" s="32" t="s">
        <v>6826</v>
      </c>
      <c r="H110" s="22"/>
      <c r="I110" s="11">
        <f>Table1[[#This Row],[Qty]]*Table1[[#This Row],[Price]]</f>
        <v>0</v>
      </c>
    </row>
    <row r="111" spans="1:9" ht="13.5" customHeight="1" x14ac:dyDescent="0.25">
      <c r="A111" s="28">
        <v>6294015116373</v>
      </c>
      <c r="B111" s="29" t="s">
        <v>3598</v>
      </c>
      <c r="C111" s="30" t="s">
        <v>19</v>
      </c>
      <c r="D111" s="31" t="s">
        <v>3599</v>
      </c>
      <c r="E111" s="51">
        <v>37.32</v>
      </c>
      <c r="F111" s="32" t="s">
        <v>14</v>
      </c>
      <c r="G111" s="32" t="s">
        <v>6925</v>
      </c>
      <c r="H111" s="12"/>
      <c r="I111" s="11">
        <f>Table1[[#This Row],[Qty]]*Table1[[#This Row],[Price]]</f>
        <v>0</v>
      </c>
    </row>
    <row r="112" spans="1:9" ht="13.5" customHeight="1" x14ac:dyDescent="0.25">
      <c r="A112" s="28">
        <v>6294015196405</v>
      </c>
      <c r="B112" s="29" t="s">
        <v>3602</v>
      </c>
      <c r="C112" s="30" t="s">
        <v>19</v>
      </c>
      <c r="D112" s="31" t="s">
        <v>3603</v>
      </c>
      <c r="E112" s="51">
        <v>37.5</v>
      </c>
      <c r="F112" s="32" t="s">
        <v>14</v>
      </c>
      <c r="G112" s="32" t="s">
        <v>6927</v>
      </c>
      <c r="H112" s="22"/>
      <c r="I112" s="11">
        <f>Table1[[#This Row],[Qty]]*Table1[[#This Row],[Price]]</f>
        <v>0</v>
      </c>
    </row>
    <row r="113" spans="1:9" ht="13.5" customHeight="1" x14ac:dyDescent="0.25">
      <c r="A113" s="28">
        <v>6294015128215</v>
      </c>
      <c r="B113" s="29" t="s">
        <v>5552</v>
      </c>
      <c r="C113" s="30" t="s">
        <v>19</v>
      </c>
      <c r="D113" s="31" t="s">
        <v>5553</v>
      </c>
      <c r="E113" s="51">
        <v>42.5</v>
      </c>
      <c r="F113" s="32" t="s">
        <v>14</v>
      </c>
      <c r="G113" s="32" t="s">
        <v>7471</v>
      </c>
      <c r="H113" s="14"/>
      <c r="I113" s="11">
        <f>Table1[[#This Row],[Qty]]*Table1[[#This Row],[Price]]</f>
        <v>0</v>
      </c>
    </row>
    <row r="114" spans="1:9" ht="13.5" customHeight="1" x14ac:dyDescent="0.25">
      <c r="A114" s="48">
        <v>6085010041933</v>
      </c>
      <c r="B114" s="41" t="s">
        <v>5554</v>
      </c>
      <c r="C114" s="6" t="s">
        <v>19</v>
      </c>
      <c r="D114" t="s">
        <v>5555</v>
      </c>
      <c r="E114" s="47">
        <v>42.5</v>
      </c>
      <c r="F114" s="6" t="s">
        <v>14</v>
      </c>
      <c r="G114" s="6" t="s">
        <v>7472</v>
      </c>
      <c r="H114" s="22"/>
      <c r="I114" s="11">
        <f>Table1[[#This Row],[Qty]]*Table1[[#This Row],[Price]]</f>
        <v>0</v>
      </c>
    </row>
    <row r="115" spans="1:9" ht="13.5" customHeight="1" x14ac:dyDescent="0.25">
      <c r="A115" s="28">
        <v>6291107456355</v>
      </c>
      <c r="B115" s="29" t="s">
        <v>693</v>
      </c>
      <c r="C115" s="33" t="s">
        <v>694</v>
      </c>
      <c r="D115" s="31" t="s">
        <v>695</v>
      </c>
      <c r="E115" s="51">
        <v>12.2</v>
      </c>
      <c r="F115" s="32" t="s">
        <v>14</v>
      </c>
      <c r="G115" s="32" t="s">
        <v>5946</v>
      </c>
      <c r="H115" s="22"/>
      <c r="I115" s="11">
        <f>Table1[[#This Row],[Qty]]*Table1[[#This Row],[Price]]</f>
        <v>0</v>
      </c>
    </row>
    <row r="116" spans="1:9" ht="13.5" customHeight="1" x14ac:dyDescent="0.25">
      <c r="A116" s="28">
        <v>3351500020409</v>
      </c>
      <c r="B116" s="29" t="s">
        <v>923</v>
      </c>
      <c r="C116" s="30" t="s">
        <v>924</v>
      </c>
      <c r="D116" s="31" t="s">
        <v>925</v>
      </c>
      <c r="E116" s="51">
        <v>28.43</v>
      </c>
      <c r="F116" s="32" t="s">
        <v>14</v>
      </c>
      <c r="G116" s="32" t="s">
        <v>6049</v>
      </c>
      <c r="H116" s="12"/>
      <c r="I116" s="11">
        <f>Table1[[#This Row],[Qty]]*Table1[[#This Row],[Price]]</f>
        <v>0</v>
      </c>
    </row>
    <row r="117" spans="1:9" ht="13.5" customHeight="1" x14ac:dyDescent="0.25">
      <c r="A117" s="28">
        <v>3614273521307</v>
      </c>
      <c r="B117" s="29" t="s">
        <v>1020</v>
      </c>
      <c r="C117" s="30" t="s">
        <v>924</v>
      </c>
      <c r="D117" s="31" t="s">
        <v>1021</v>
      </c>
      <c r="E117" s="51">
        <v>51.86</v>
      </c>
      <c r="F117" s="32" t="s">
        <v>14</v>
      </c>
      <c r="G117" s="32" t="s">
        <v>6093</v>
      </c>
      <c r="H117" s="22"/>
      <c r="I117" s="11">
        <f>Table1[[#This Row],[Qty]]*Table1[[#This Row],[Price]]</f>
        <v>0</v>
      </c>
    </row>
    <row r="118" spans="1:9" ht="13.5" customHeight="1" x14ac:dyDescent="0.25">
      <c r="A118" s="28">
        <v>3614274258073</v>
      </c>
      <c r="B118" s="29" t="s">
        <v>1245</v>
      </c>
      <c r="C118" s="30" t="s">
        <v>924</v>
      </c>
      <c r="D118" s="31" t="s">
        <v>1246</v>
      </c>
      <c r="E118" s="51">
        <v>60.03</v>
      </c>
      <c r="F118" s="32" t="s">
        <v>14</v>
      </c>
      <c r="G118" s="32" t="s">
        <v>6175</v>
      </c>
      <c r="H118" s="12"/>
      <c r="I118" s="11">
        <f>Table1[[#This Row],[Qty]]*Table1[[#This Row],[Price]]</f>
        <v>0</v>
      </c>
    </row>
    <row r="119" spans="1:9" ht="13.5" customHeight="1" x14ac:dyDescent="0.25">
      <c r="A119" s="28">
        <v>3351500009848</v>
      </c>
      <c r="B119" s="29" t="s">
        <v>2504</v>
      </c>
      <c r="C119" s="30" t="s">
        <v>924</v>
      </c>
      <c r="D119" s="31" t="s">
        <v>2505</v>
      </c>
      <c r="E119" s="51">
        <v>49.86</v>
      </c>
      <c r="F119" s="32" t="s">
        <v>14</v>
      </c>
      <c r="G119" s="32" t="s">
        <v>6494</v>
      </c>
      <c r="H119" s="22"/>
      <c r="I119" s="11">
        <f>Table1[[#This Row],[Qty]]*Table1[[#This Row],[Price]]</f>
        <v>0</v>
      </c>
    </row>
    <row r="120" spans="1:9" ht="13.5" customHeight="1" x14ac:dyDescent="0.25">
      <c r="A120" s="28">
        <v>3614273903172</v>
      </c>
      <c r="B120" s="29" t="s">
        <v>3281</v>
      </c>
      <c r="C120" s="30" t="s">
        <v>924</v>
      </c>
      <c r="D120" s="31" t="s">
        <v>3282</v>
      </c>
      <c r="E120" s="51">
        <v>41.04</v>
      </c>
      <c r="F120" s="32" t="s">
        <v>14</v>
      </c>
      <c r="G120" s="32" t="s">
        <v>6772</v>
      </c>
      <c r="H120" s="12"/>
      <c r="I120" s="11">
        <f>Table1[[#This Row],[Qty]]*Table1[[#This Row],[Price]]</f>
        <v>0</v>
      </c>
    </row>
    <row r="121" spans="1:9" ht="13.5" customHeight="1" x14ac:dyDescent="0.25">
      <c r="A121" s="28">
        <v>850050062035</v>
      </c>
      <c r="B121" s="29" t="s">
        <v>410</v>
      </c>
      <c r="C121" s="30" t="s">
        <v>406</v>
      </c>
      <c r="D121" s="31" t="s">
        <v>411</v>
      </c>
      <c r="E121" s="51">
        <v>37.700000000000003</v>
      </c>
      <c r="F121" s="32" t="s">
        <v>14</v>
      </c>
      <c r="G121" s="32" t="s">
        <v>5817</v>
      </c>
      <c r="H121" s="22"/>
      <c r="I121" s="11">
        <f>Table1[[#This Row],[Qty]]*Table1[[#This Row],[Price]]</f>
        <v>0</v>
      </c>
    </row>
    <row r="122" spans="1:9" ht="13.5" customHeight="1" x14ac:dyDescent="0.25">
      <c r="A122" s="28">
        <v>850050062509</v>
      </c>
      <c r="B122" s="29" t="s">
        <v>412</v>
      </c>
      <c r="C122" s="33" t="s">
        <v>406</v>
      </c>
      <c r="D122" s="31" t="s">
        <v>413</v>
      </c>
      <c r="E122" s="51">
        <v>20.69</v>
      </c>
      <c r="F122" s="32" t="s">
        <v>14</v>
      </c>
      <c r="G122" s="32" t="s">
        <v>5818</v>
      </c>
      <c r="H122" s="22"/>
      <c r="I122" s="11">
        <f>Table1[[#This Row],[Qty]]*Table1[[#This Row],[Price]]</f>
        <v>0</v>
      </c>
    </row>
    <row r="123" spans="1:9" ht="13.5" customHeight="1" x14ac:dyDescent="0.25">
      <c r="A123" s="28">
        <v>850050062769</v>
      </c>
      <c r="B123" s="29" t="s">
        <v>2379</v>
      </c>
      <c r="C123" s="30" t="s">
        <v>406</v>
      </c>
      <c r="D123" s="31" t="s">
        <v>2380</v>
      </c>
      <c r="E123" s="51">
        <v>20.8</v>
      </c>
      <c r="F123" s="32" t="s">
        <v>14</v>
      </c>
      <c r="G123" s="32" t="s">
        <v>6436</v>
      </c>
      <c r="H123" s="22"/>
      <c r="I123" s="11">
        <f>Table1[[#This Row],[Qty]]*Table1[[#This Row],[Price]]</f>
        <v>0</v>
      </c>
    </row>
    <row r="124" spans="1:9" ht="13.5" customHeight="1" x14ac:dyDescent="0.25">
      <c r="A124" s="28">
        <v>850050062783</v>
      </c>
      <c r="B124" s="29" t="s">
        <v>2462</v>
      </c>
      <c r="C124" s="30" t="s">
        <v>406</v>
      </c>
      <c r="D124" s="31" t="s">
        <v>2463</v>
      </c>
      <c r="E124" s="51">
        <v>20.76</v>
      </c>
      <c r="F124" s="32" t="s">
        <v>14</v>
      </c>
      <c r="G124" s="32" t="s">
        <v>6473</v>
      </c>
      <c r="H124" s="22"/>
      <c r="I124" s="11">
        <f>Table1[[#This Row],[Qty]]*Table1[[#This Row],[Price]]</f>
        <v>0</v>
      </c>
    </row>
    <row r="125" spans="1:9" ht="13.5" customHeight="1" x14ac:dyDescent="0.25">
      <c r="A125" s="28">
        <v>810200670206</v>
      </c>
      <c r="B125" s="29" t="s">
        <v>2875</v>
      </c>
      <c r="C125" s="30" t="s">
        <v>406</v>
      </c>
      <c r="D125" s="31" t="s">
        <v>2876</v>
      </c>
      <c r="E125" s="51">
        <v>20.5</v>
      </c>
      <c r="F125" s="32" t="s">
        <v>14</v>
      </c>
      <c r="G125" s="32" t="s">
        <v>6638</v>
      </c>
      <c r="H125" s="22"/>
      <c r="I125" s="11">
        <f>Table1[[#This Row],[Qty]]*Table1[[#This Row],[Price]]</f>
        <v>0</v>
      </c>
    </row>
    <row r="126" spans="1:9" ht="13.5" customHeight="1" x14ac:dyDescent="0.25">
      <c r="A126" s="28">
        <v>850050062844</v>
      </c>
      <c r="B126" s="29" t="s">
        <v>3132</v>
      </c>
      <c r="C126" s="33" t="s">
        <v>406</v>
      </c>
      <c r="D126" s="31" t="s">
        <v>3133</v>
      </c>
      <c r="E126" s="51">
        <v>22.13</v>
      </c>
      <c r="F126" s="32" t="s">
        <v>14</v>
      </c>
      <c r="G126" s="32" t="s">
        <v>6710</v>
      </c>
      <c r="H126" s="22"/>
      <c r="I126" s="11">
        <f>Table1[[#This Row],[Qty]]*Table1[[#This Row],[Price]]</f>
        <v>0</v>
      </c>
    </row>
    <row r="127" spans="1:9" ht="13.5" customHeight="1" x14ac:dyDescent="0.25">
      <c r="A127" s="28">
        <v>810200670213</v>
      </c>
      <c r="B127" s="29" t="s">
        <v>3134</v>
      </c>
      <c r="C127" s="33" t="s">
        <v>406</v>
      </c>
      <c r="D127" s="31" t="s">
        <v>3135</v>
      </c>
      <c r="E127" s="51">
        <v>20.51</v>
      </c>
      <c r="F127" s="32" t="s">
        <v>14</v>
      </c>
      <c r="G127" s="32" t="s">
        <v>6711</v>
      </c>
      <c r="H127" s="22"/>
      <c r="I127" s="11">
        <f>Table1[[#This Row],[Qty]]*Table1[[#This Row],[Price]]</f>
        <v>0</v>
      </c>
    </row>
    <row r="128" spans="1:9" ht="13.5" customHeight="1" x14ac:dyDescent="0.25">
      <c r="A128" s="28">
        <v>810200670053</v>
      </c>
      <c r="B128" s="29" t="s">
        <v>3313</v>
      </c>
      <c r="C128" s="33" t="s">
        <v>406</v>
      </c>
      <c r="D128" s="31" t="s">
        <v>3314</v>
      </c>
      <c r="E128" s="51">
        <v>22.68</v>
      </c>
      <c r="F128" s="32" t="s">
        <v>14</v>
      </c>
      <c r="G128" s="32" t="s">
        <v>6786</v>
      </c>
      <c r="H128" s="22"/>
      <c r="I128" s="11">
        <f>Table1[[#This Row],[Qty]]*Table1[[#This Row],[Price]]</f>
        <v>0</v>
      </c>
    </row>
    <row r="129" spans="1:9" ht="13.5" customHeight="1" x14ac:dyDescent="0.25">
      <c r="A129" s="28">
        <v>810200670282</v>
      </c>
      <c r="B129" s="29" t="s">
        <v>3405</v>
      </c>
      <c r="C129" s="33" t="s">
        <v>406</v>
      </c>
      <c r="D129" s="31" t="s">
        <v>3406</v>
      </c>
      <c r="E129" s="51">
        <v>22</v>
      </c>
      <c r="F129" s="32" t="s">
        <v>14</v>
      </c>
      <c r="G129" s="32" t="s">
        <v>6829</v>
      </c>
      <c r="H129" s="22"/>
      <c r="I129" s="11">
        <f>Table1[[#This Row],[Qty]]*Table1[[#This Row],[Price]]</f>
        <v>0</v>
      </c>
    </row>
    <row r="130" spans="1:9" ht="13.5" customHeight="1" x14ac:dyDescent="0.25">
      <c r="A130" s="28">
        <v>810200670404</v>
      </c>
      <c r="B130" s="29" t="s">
        <v>3407</v>
      </c>
      <c r="C130" s="30" t="s">
        <v>406</v>
      </c>
      <c r="D130" s="31" t="s">
        <v>3408</v>
      </c>
      <c r="E130" s="51">
        <v>21.99</v>
      </c>
      <c r="F130" s="32" t="s">
        <v>14</v>
      </c>
      <c r="G130" s="32" t="s">
        <v>6830</v>
      </c>
      <c r="H130" s="12"/>
      <c r="I130" s="11">
        <f>Table1[[#This Row],[Qty]]*Table1[[#This Row],[Price]]</f>
        <v>0</v>
      </c>
    </row>
    <row r="131" spans="1:9" ht="13.5" customHeight="1" x14ac:dyDescent="0.25">
      <c r="A131" s="28">
        <v>810200670039</v>
      </c>
      <c r="B131" s="29" t="s">
        <v>3411</v>
      </c>
      <c r="C131" s="30" t="s">
        <v>406</v>
      </c>
      <c r="D131" s="31" t="s">
        <v>3412</v>
      </c>
      <c r="E131" s="51">
        <v>22.5</v>
      </c>
      <c r="F131" s="32" t="s">
        <v>14</v>
      </c>
      <c r="G131" s="32" t="s">
        <v>6832</v>
      </c>
      <c r="H131" s="12"/>
      <c r="I131" s="11">
        <f>Table1[[#This Row],[Qty]]*Table1[[#This Row],[Price]]</f>
        <v>0</v>
      </c>
    </row>
    <row r="132" spans="1:9" ht="13.5" customHeight="1" x14ac:dyDescent="0.25">
      <c r="A132" s="28">
        <v>850050062776</v>
      </c>
      <c r="B132" s="29" t="s">
        <v>3427</v>
      </c>
      <c r="C132" s="30" t="s">
        <v>406</v>
      </c>
      <c r="D132" s="31" t="s">
        <v>3428</v>
      </c>
      <c r="E132" s="51">
        <v>20.77</v>
      </c>
      <c r="F132" s="32" t="s">
        <v>14</v>
      </c>
      <c r="G132" s="32" t="s">
        <v>6839</v>
      </c>
      <c r="H132" s="12"/>
      <c r="I132" s="11">
        <f>Table1[[#This Row],[Qty]]*Table1[[#This Row],[Price]]</f>
        <v>0</v>
      </c>
    </row>
    <row r="133" spans="1:9" ht="13.5" customHeight="1" x14ac:dyDescent="0.25">
      <c r="A133" s="28">
        <v>850050062639</v>
      </c>
      <c r="B133" s="29" t="s">
        <v>3460</v>
      </c>
      <c r="C133" s="30" t="s">
        <v>406</v>
      </c>
      <c r="D133" s="31" t="s">
        <v>3461</v>
      </c>
      <c r="E133" s="51">
        <v>13.95</v>
      </c>
      <c r="F133" s="32" t="s">
        <v>14</v>
      </c>
      <c r="G133" s="32" t="s">
        <v>6852</v>
      </c>
      <c r="H133" s="12"/>
      <c r="I133" s="11">
        <f>Table1[[#This Row],[Qty]]*Table1[[#This Row],[Price]]</f>
        <v>0</v>
      </c>
    </row>
    <row r="134" spans="1:9" ht="13.5" customHeight="1" x14ac:dyDescent="0.25">
      <c r="A134" s="28">
        <v>19213947491</v>
      </c>
      <c r="B134" s="29" t="s">
        <v>3462</v>
      </c>
      <c r="C134" s="30" t="s">
        <v>406</v>
      </c>
      <c r="D134" s="31" t="s">
        <v>3463</v>
      </c>
      <c r="E134" s="51">
        <v>16.010000000000002</v>
      </c>
      <c r="F134" s="32" t="s">
        <v>14</v>
      </c>
      <c r="G134" s="32" t="s">
        <v>6853</v>
      </c>
      <c r="H134" s="12"/>
      <c r="I134" s="11">
        <f>Table1[[#This Row],[Qty]]*Table1[[#This Row],[Price]]</f>
        <v>0</v>
      </c>
    </row>
    <row r="135" spans="1:9" ht="13.5" customHeight="1" x14ac:dyDescent="0.25">
      <c r="A135" s="28">
        <v>850050062653</v>
      </c>
      <c r="B135" s="29" t="s">
        <v>3464</v>
      </c>
      <c r="C135" s="30" t="s">
        <v>406</v>
      </c>
      <c r="D135" s="31" t="s">
        <v>3465</v>
      </c>
      <c r="E135" s="51">
        <v>70.489999999999995</v>
      </c>
      <c r="F135" s="32" t="s">
        <v>14</v>
      </c>
      <c r="G135" s="32" t="s">
        <v>6854</v>
      </c>
      <c r="H135" s="12"/>
      <c r="I135" s="11">
        <f>Table1[[#This Row],[Qty]]*Table1[[#This Row],[Price]]</f>
        <v>0</v>
      </c>
    </row>
    <row r="136" spans="1:9" ht="13.5" customHeight="1" x14ac:dyDescent="0.25">
      <c r="A136" s="28">
        <v>850050062691</v>
      </c>
      <c r="B136" s="29" t="s">
        <v>3466</v>
      </c>
      <c r="C136" s="30" t="s">
        <v>406</v>
      </c>
      <c r="D136" s="31" t="s">
        <v>3467</v>
      </c>
      <c r="E136" s="51">
        <v>69.38</v>
      </c>
      <c r="F136" s="32" t="s">
        <v>14</v>
      </c>
      <c r="G136" s="32" t="s">
        <v>6855</v>
      </c>
      <c r="H136" s="12"/>
      <c r="I136" s="11">
        <f>Table1[[#This Row],[Qty]]*Table1[[#This Row],[Price]]</f>
        <v>0</v>
      </c>
    </row>
    <row r="137" spans="1:9" ht="13.5" customHeight="1" x14ac:dyDescent="0.25">
      <c r="A137" s="28">
        <v>850050062424</v>
      </c>
      <c r="B137" s="29" t="s">
        <v>3470</v>
      </c>
      <c r="C137" s="30" t="s">
        <v>406</v>
      </c>
      <c r="D137" s="31" t="s">
        <v>3471</v>
      </c>
      <c r="E137" s="51">
        <v>36.94</v>
      </c>
      <c r="F137" s="32" t="s">
        <v>14</v>
      </c>
      <c r="G137" s="32" t="s">
        <v>6857</v>
      </c>
      <c r="H137" s="22"/>
      <c r="I137" s="11">
        <f>Table1[[#This Row],[Qty]]*Table1[[#This Row],[Price]]</f>
        <v>0</v>
      </c>
    </row>
    <row r="138" spans="1:9" ht="13.5" customHeight="1" x14ac:dyDescent="0.25">
      <c r="A138" s="28">
        <v>850050062684</v>
      </c>
      <c r="B138" s="29" t="s">
        <v>3472</v>
      </c>
      <c r="C138" s="30" t="s">
        <v>406</v>
      </c>
      <c r="D138" s="31" t="s">
        <v>3473</v>
      </c>
      <c r="E138" s="51">
        <v>36.94</v>
      </c>
      <c r="F138" s="32" t="s">
        <v>14</v>
      </c>
      <c r="G138" s="32" t="s">
        <v>6858</v>
      </c>
      <c r="H138" s="12"/>
      <c r="I138" s="11">
        <f>Table1[[#This Row],[Qty]]*Table1[[#This Row],[Price]]</f>
        <v>0</v>
      </c>
    </row>
    <row r="139" spans="1:9" ht="13.5" customHeight="1" x14ac:dyDescent="0.25">
      <c r="A139" s="28">
        <v>850050062547</v>
      </c>
      <c r="B139" s="29" t="s">
        <v>3474</v>
      </c>
      <c r="C139" s="30" t="s">
        <v>406</v>
      </c>
      <c r="D139" s="31" t="s">
        <v>3475</v>
      </c>
      <c r="E139" s="51">
        <v>55.06</v>
      </c>
      <c r="F139" s="32" t="s">
        <v>14</v>
      </c>
      <c r="G139" s="32" t="s">
        <v>6859</v>
      </c>
      <c r="H139" s="12"/>
      <c r="I139" s="11">
        <f>Table1[[#This Row],[Qty]]*Table1[[#This Row],[Price]]</f>
        <v>0</v>
      </c>
    </row>
    <row r="140" spans="1:9" ht="13.5" customHeight="1" x14ac:dyDescent="0.25">
      <c r="A140" s="28">
        <v>810200670336</v>
      </c>
      <c r="B140" s="29" t="s">
        <v>3498</v>
      </c>
      <c r="C140" s="30" t="s">
        <v>406</v>
      </c>
      <c r="D140" s="31" t="s">
        <v>3499</v>
      </c>
      <c r="E140" s="51">
        <v>21.5</v>
      </c>
      <c r="F140" s="32" t="s">
        <v>14</v>
      </c>
      <c r="G140" s="32" t="s">
        <v>6871</v>
      </c>
      <c r="H140" s="12"/>
      <c r="I140" s="11">
        <f>Table1[[#This Row],[Qty]]*Table1[[#This Row],[Price]]</f>
        <v>0</v>
      </c>
    </row>
    <row r="141" spans="1:9" ht="13.5" customHeight="1" x14ac:dyDescent="0.25">
      <c r="A141" s="28">
        <v>810200670367</v>
      </c>
      <c r="B141" s="29" t="s">
        <v>3676</v>
      </c>
      <c r="C141" s="30" t="s">
        <v>406</v>
      </c>
      <c r="D141" s="31" t="s">
        <v>3677</v>
      </c>
      <c r="E141" s="51">
        <v>27.95</v>
      </c>
      <c r="F141" s="32" t="s">
        <v>14</v>
      </c>
      <c r="G141" s="32" t="s">
        <v>6958</v>
      </c>
      <c r="H141" s="12"/>
      <c r="I141" s="11">
        <f>Table1[[#This Row],[Qty]]*Table1[[#This Row],[Price]]</f>
        <v>0</v>
      </c>
    </row>
    <row r="142" spans="1:9" ht="13.5" customHeight="1" x14ac:dyDescent="0.25">
      <c r="A142" s="28">
        <v>810200670381</v>
      </c>
      <c r="B142" s="29" t="s">
        <v>3678</v>
      </c>
      <c r="C142" s="30" t="s">
        <v>406</v>
      </c>
      <c r="D142" s="31" t="s">
        <v>3679</v>
      </c>
      <c r="E142" s="51">
        <v>27.95</v>
      </c>
      <c r="F142" s="32" t="s">
        <v>14</v>
      </c>
      <c r="G142" s="32" t="s">
        <v>6959</v>
      </c>
      <c r="H142" s="12"/>
      <c r="I142" s="11">
        <f>Table1[[#This Row],[Qty]]*Table1[[#This Row],[Price]]</f>
        <v>0</v>
      </c>
    </row>
    <row r="143" spans="1:9" ht="13.5" customHeight="1" x14ac:dyDescent="0.25">
      <c r="A143" s="28">
        <v>810200670374</v>
      </c>
      <c r="B143" s="29" t="s">
        <v>3680</v>
      </c>
      <c r="C143" s="30" t="s">
        <v>406</v>
      </c>
      <c r="D143" s="31" t="s">
        <v>3681</v>
      </c>
      <c r="E143" s="51">
        <v>27.95</v>
      </c>
      <c r="F143" s="32" t="s">
        <v>14</v>
      </c>
      <c r="G143" s="32" t="s">
        <v>6960</v>
      </c>
      <c r="H143" s="22"/>
      <c r="I143" s="11">
        <f>Table1[[#This Row],[Qty]]*Table1[[#This Row],[Price]]</f>
        <v>0</v>
      </c>
    </row>
    <row r="144" spans="1:9" ht="13.5" customHeight="1" x14ac:dyDescent="0.25">
      <c r="A144" s="28">
        <v>810200670398</v>
      </c>
      <c r="B144" s="29" t="s">
        <v>3682</v>
      </c>
      <c r="C144" s="30" t="s">
        <v>406</v>
      </c>
      <c r="D144" s="31" t="s">
        <v>3683</v>
      </c>
      <c r="E144" s="51">
        <v>27.95</v>
      </c>
      <c r="F144" s="32" t="s">
        <v>14</v>
      </c>
      <c r="G144" s="32" t="s">
        <v>6961</v>
      </c>
      <c r="H144" s="12"/>
      <c r="I144" s="11">
        <f>Table1[[#This Row],[Qty]]*Table1[[#This Row],[Price]]</f>
        <v>0</v>
      </c>
    </row>
    <row r="145" spans="1:9" ht="13.5" customHeight="1" x14ac:dyDescent="0.25">
      <c r="A145" s="28">
        <v>810200670060</v>
      </c>
      <c r="B145" s="29" t="s">
        <v>3688</v>
      </c>
      <c r="C145" s="33" t="s">
        <v>406</v>
      </c>
      <c r="D145" s="31" t="s">
        <v>3689</v>
      </c>
      <c r="E145" s="51">
        <v>22.4</v>
      </c>
      <c r="F145" s="32" t="s">
        <v>14</v>
      </c>
      <c r="G145" s="32" t="s">
        <v>6962</v>
      </c>
      <c r="H145" s="22"/>
      <c r="I145" s="11">
        <f>Table1[[#This Row],[Qty]]*Table1[[#This Row],[Price]]</f>
        <v>0</v>
      </c>
    </row>
    <row r="146" spans="1:9" ht="13.5" customHeight="1" x14ac:dyDescent="0.25">
      <c r="A146" s="28">
        <v>850050062790</v>
      </c>
      <c r="B146" s="29" t="s">
        <v>5499</v>
      </c>
      <c r="C146" s="30" t="s">
        <v>406</v>
      </c>
      <c r="D146" s="31" t="s">
        <v>5500</v>
      </c>
      <c r="E146" s="51">
        <v>19.36</v>
      </c>
      <c r="F146" s="32" t="s">
        <v>14</v>
      </c>
      <c r="G146" s="32" t="s">
        <v>6969</v>
      </c>
      <c r="H146" s="22"/>
      <c r="I146" s="11">
        <f>Table1[[#This Row],[Qty]]*Table1[[#This Row],[Price]]</f>
        <v>0</v>
      </c>
    </row>
    <row r="147" spans="1:9" ht="13.5" customHeight="1" x14ac:dyDescent="0.25">
      <c r="A147" s="28">
        <v>850050062721</v>
      </c>
      <c r="B147" s="29" t="s">
        <v>5501</v>
      </c>
      <c r="C147" s="30" t="s">
        <v>406</v>
      </c>
      <c r="D147" s="31" t="s">
        <v>5318</v>
      </c>
      <c r="E147" s="51">
        <v>19.05</v>
      </c>
      <c r="F147" s="32" t="s">
        <v>14</v>
      </c>
      <c r="G147" s="32" t="s">
        <v>6970</v>
      </c>
      <c r="H147" s="12"/>
      <c r="I147" s="11">
        <f>Table1[[#This Row],[Qty]]*Table1[[#This Row],[Price]]</f>
        <v>0</v>
      </c>
    </row>
    <row r="148" spans="1:9" ht="13.5" customHeight="1" x14ac:dyDescent="0.25">
      <c r="A148" s="28">
        <v>850050062394</v>
      </c>
      <c r="B148" s="29" t="s">
        <v>5516</v>
      </c>
      <c r="C148" s="30" t="s">
        <v>406</v>
      </c>
      <c r="D148" s="31" t="s">
        <v>5517</v>
      </c>
      <c r="E148" s="51">
        <v>45.05</v>
      </c>
      <c r="F148" s="32" t="s">
        <v>14</v>
      </c>
      <c r="G148" s="32" t="s">
        <v>6976</v>
      </c>
      <c r="H148" s="12"/>
      <c r="I148" s="11">
        <f>Table1[[#This Row],[Qty]]*Table1[[#This Row],[Price]]</f>
        <v>0</v>
      </c>
    </row>
    <row r="149" spans="1:9" ht="13.5" customHeight="1" x14ac:dyDescent="0.25">
      <c r="A149" s="28">
        <v>850050062387</v>
      </c>
      <c r="B149" s="29" t="s">
        <v>5518</v>
      </c>
      <c r="C149" s="30" t="s">
        <v>406</v>
      </c>
      <c r="D149" s="31" t="s">
        <v>5519</v>
      </c>
      <c r="E149" s="51">
        <v>45.05</v>
      </c>
      <c r="F149" s="32" t="s">
        <v>14</v>
      </c>
      <c r="G149" s="32" t="s">
        <v>6977</v>
      </c>
      <c r="H149" s="14"/>
      <c r="I149" s="11">
        <f>Table1[[#This Row],[Qty]]*Table1[[#This Row],[Price]]</f>
        <v>0</v>
      </c>
    </row>
    <row r="150" spans="1:9" ht="13.5" customHeight="1" x14ac:dyDescent="0.25">
      <c r="A150" s="28">
        <v>810200670152</v>
      </c>
      <c r="B150" s="29" t="s">
        <v>5520</v>
      </c>
      <c r="C150" s="30" t="s">
        <v>406</v>
      </c>
      <c r="D150" s="31" t="s">
        <v>5525</v>
      </c>
      <c r="E150" s="51">
        <v>54.01</v>
      </c>
      <c r="F150" s="32" t="s">
        <v>14</v>
      </c>
      <c r="G150" s="32" t="s">
        <v>6978</v>
      </c>
      <c r="H150" s="22"/>
      <c r="I150" s="11">
        <f>Table1[[#This Row],[Qty]]*Table1[[#This Row],[Price]]</f>
        <v>0</v>
      </c>
    </row>
    <row r="151" spans="1:9" ht="13.5" customHeight="1" x14ac:dyDescent="0.25">
      <c r="A151" s="28">
        <v>810200670411</v>
      </c>
      <c r="B151" s="29" t="s">
        <v>5591</v>
      </c>
      <c r="C151" s="30" t="s">
        <v>406</v>
      </c>
      <c r="D151" s="31" t="s">
        <v>5592</v>
      </c>
      <c r="E151" s="51">
        <v>22</v>
      </c>
      <c r="F151" s="32" t="s">
        <v>14</v>
      </c>
      <c r="G151" s="32" t="s">
        <v>6990</v>
      </c>
      <c r="H151" s="12"/>
      <c r="I151" s="11">
        <f>Table1[[#This Row],[Qty]]*Table1[[#This Row],[Price]]</f>
        <v>0</v>
      </c>
    </row>
    <row r="152" spans="1:9" ht="13.5" customHeight="1" x14ac:dyDescent="0.25">
      <c r="A152" s="28">
        <v>19213947118</v>
      </c>
      <c r="B152" s="29" t="s">
        <v>1047</v>
      </c>
      <c r="C152" s="30" t="s">
        <v>1048</v>
      </c>
      <c r="D152" s="31" t="s">
        <v>1049</v>
      </c>
      <c r="E152" s="51">
        <v>16.38</v>
      </c>
      <c r="F152" s="32" t="s">
        <v>14</v>
      </c>
      <c r="G152" s="32" t="s">
        <v>6104</v>
      </c>
      <c r="H152" s="22"/>
      <c r="I152" s="11">
        <f>Table1[[#This Row],[Qty]]*Table1[[#This Row],[Price]]</f>
        <v>0</v>
      </c>
    </row>
    <row r="153" spans="1:9" ht="13.5" customHeight="1" x14ac:dyDescent="0.25">
      <c r="A153" s="28">
        <v>19213947132</v>
      </c>
      <c r="B153" s="29" t="s">
        <v>1941</v>
      </c>
      <c r="C153" s="30" t="s">
        <v>1048</v>
      </c>
      <c r="D153" s="31" t="s">
        <v>1942</v>
      </c>
      <c r="E153" s="51">
        <v>15.42</v>
      </c>
      <c r="F153" s="32" t="s">
        <v>14</v>
      </c>
      <c r="G153" s="32" t="s">
        <v>6341</v>
      </c>
      <c r="H153" s="12"/>
      <c r="I153" s="11">
        <f>Table1[[#This Row],[Qty]]*Table1[[#This Row],[Price]]</f>
        <v>0</v>
      </c>
    </row>
    <row r="154" spans="1:9" ht="13.5" customHeight="1" x14ac:dyDescent="0.25">
      <c r="A154" s="28">
        <v>608940582206</v>
      </c>
      <c r="B154" s="29" t="s">
        <v>995</v>
      </c>
      <c r="C154" s="30" t="s">
        <v>996</v>
      </c>
      <c r="D154" s="31" t="s">
        <v>997</v>
      </c>
      <c r="E154" s="51">
        <v>49.12</v>
      </c>
      <c r="F154" s="32" t="s">
        <v>14</v>
      </c>
      <c r="G154" s="32" t="s">
        <v>6082</v>
      </c>
      <c r="H154" s="22"/>
      <c r="I154" s="11">
        <f>Table1[[#This Row],[Qty]]*Table1[[#This Row],[Price]]</f>
        <v>0</v>
      </c>
    </row>
    <row r="155" spans="1:9" ht="13.5" customHeight="1" x14ac:dyDescent="0.25">
      <c r="A155" s="28">
        <v>608940583753</v>
      </c>
      <c r="B155" s="29" t="s">
        <v>3403</v>
      </c>
      <c r="C155" s="30" t="s">
        <v>996</v>
      </c>
      <c r="D155" s="31" t="s">
        <v>3404</v>
      </c>
      <c r="E155" s="51">
        <v>31.5</v>
      </c>
      <c r="F155" s="32" t="s">
        <v>14</v>
      </c>
      <c r="G155" s="32" t="s">
        <v>6828</v>
      </c>
      <c r="H155" s="22"/>
      <c r="I155" s="11">
        <f>Table1[[#This Row],[Qty]]*Table1[[#This Row],[Price]]</f>
        <v>0</v>
      </c>
    </row>
    <row r="156" spans="1:9" ht="13.5" customHeight="1" x14ac:dyDescent="0.25">
      <c r="A156" s="28">
        <v>719346552875</v>
      </c>
      <c r="B156" s="29" t="s">
        <v>541</v>
      </c>
      <c r="C156" s="30" t="s">
        <v>158</v>
      </c>
      <c r="D156" s="31" t="s">
        <v>542</v>
      </c>
      <c r="E156" s="51">
        <v>13.7</v>
      </c>
      <c r="F156" s="32" t="s">
        <v>14</v>
      </c>
      <c r="G156" s="32" t="s">
        <v>5878</v>
      </c>
      <c r="H156" s="22"/>
      <c r="I156" s="11">
        <f>Table1[[#This Row],[Qty]]*Table1[[#This Row],[Price]]</f>
        <v>0</v>
      </c>
    </row>
    <row r="157" spans="1:9" ht="13.5" customHeight="1" x14ac:dyDescent="0.25">
      <c r="A157" s="28">
        <v>719346094665</v>
      </c>
      <c r="B157" s="29" t="s">
        <v>580</v>
      </c>
      <c r="C157" s="30" t="s">
        <v>158</v>
      </c>
      <c r="D157" s="31" t="s">
        <v>581</v>
      </c>
      <c r="E157" s="51">
        <v>17.73</v>
      </c>
      <c r="F157" s="32" t="s">
        <v>14</v>
      </c>
      <c r="G157" s="32" t="s">
        <v>5894</v>
      </c>
      <c r="H157" s="22"/>
      <c r="I157" s="11">
        <f>Table1[[#This Row],[Qty]]*Table1[[#This Row],[Price]]</f>
        <v>0</v>
      </c>
    </row>
    <row r="158" spans="1:9" ht="13.5" customHeight="1" x14ac:dyDescent="0.25">
      <c r="A158" s="28">
        <v>719346065405</v>
      </c>
      <c r="B158" s="29" t="s">
        <v>620</v>
      </c>
      <c r="C158" s="30" t="s">
        <v>158</v>
      </c>
      <c r="D158" s="31" t="s">
        <v>621</v>
      </c>
      <c r="E158" s="51">
        <v>16.3</v>
      </c>
      <c r="F158" s="32" t="s">
        <v>14</v>
      </c>
      <c r="G158" s="32" t="s">
        <v>5912</v>
      </c>
      <c r="H158" s="12"/>
      <c r="I158" s="11">
        <f>Table1[[#This Row],[Qty]]*Table1[[#This Row],[Price]]</f>
        <v>0</v>
      </c>
    </row>
    <row r="159" spans="1:9" ht="13.5" customHeight="1" x14ac:dyDescent="0.25">
      <c r="A159" s="28">
        <v>3614227693876</v>
      </c>
      <c r="B159" s="29" t="s">
        <v>3492</v>
      </c>
      <c r="C159" s="30" t="s">
        <v>1667</v>
      </c>
      <c r="D159" s="31" t="s">
        <v>3493</v>
      </c>
      <c r="E159" s="51">
        <v>65.2</v>
      </c>
      <c r="F159" s="32" t="s">
        <v>14</v>
      </c>
      <c r="G159" s="32" t="s">
        <v>6868</v>
      </c>
      <c r="H159" s="12"/>
      <c r="I159" s="11">
        <f>Table1[[#This Row],[Qty]]*Table1[[#This Row],[Price]]</f>
        <v>0</v>
      </c>
    </row>
    <row r="160" spans="1:9" ht="13.5" customHeight="1" x14ac:dyDescent="0.25">
      <c r="A160" s="28">
        <v>3614229829044</v>
      </c>
      <c r="B160" s="29" t="s">
        <v>5588</v>
      </c>
      <c r="C160" s="30" t="s">
        <v>1667</v>
      </c>
      <c r="D160" s="31" t="s">
        <v>5589</v>
      </c>
      <c r="E160" s="51">
        <v>56.18</v>
      </c>
      <c r="F160" s="32" t="s">
        <v>14</v>
      </c>
      <c r="G160" s="32" t="s">
        <v>7481</v>
      </c>
      <c r="H160" s="12"/>
      <c r="I160" s="11">
        <f>Table1[[#This Row],[Qty]]*Table1[[#This Row],[Price]]</f>
        <v>0</v>
      </c>
    </row>
    <row r="161" spans="1:9" ht="13.5" customHeight="1" x14ac:dyDescent="0.25">
      <c r="A161" s="28">
        <v>783320423369</v>
      </c>
      <c r="B161" s="29" t="s">
        <v>3488</v>
      </c>
      <c r="C161" s="30" t="s">
        <v>202</v>
      </c>
      <c r="D161" s="31" t="s">
        <v>3489</v>
      </c>
      <c r="E161" s="51">
        <v>80.56</v>
      </c>
      <c r="F161" s="32" t="s">
        <v>14</v>
      </c>
      <c r="G161" s="32" t="s">
        <v>6866</v>
      </c>
      <c r="H161" s="22"/>
      <c r="I161" s="11">
        <f>Table1[[#This Row],[Qty]]*Table1[[#This Row],[Price]]</f>
        <v>0</v>
      </c>
    </row>
    <row r="162" spans="1:9" ht="13.5" customHeight="1" x14ac:dyDescent="0.25">
      <c r="A162" s="28">
        <v>3360373063680</v>
      </c>
      <c r="B162" s="29" t="s">
        <v>1708</v>
      </c>
      <c r="C162" s="30" t="s">
        <v>1478</v>
      </c>
      <c r="D162" s="31" t="s">
        <v>1709</v>
      </c>
      <c r="E162" s="51">
        <v>25.65</v>
      </c>
      <c r="F162" s="32" t="s">
        <v>14</v>
      </c>
      <c r="G162" s="32" t="s">
        <v>6279</v>
      </c>
      <c r="H162" s="22"/>
      <c r="I162" s="11">
        <f>Table1[[#This Row],[Qty]]*Table1[[#This Row],[Price]]</f>
        <v>0</v>
      </c>
    </row>
    <row r="163" spans="1:9" ht="13.5" customHeight="1" x14ac:dyDescent="0.25">
      <c r="A163" s="28">
        <v>3360374533205</v>
      </c>
      <c r="B163" s="29" t="s">
        <v>2466</v>
      </c>
      <c r="C163" s="30" t="s">
        <v>1478</v>
      </c>
      <c r="D163" s="31" t="s">
        <v>2467</v>
      </c>
      <c r="E163" s="51">
        <v>25.44</v>
      </c>
      <c r="F163" s="32" t="s">
        <v>14</v>
      </c>
      <c r="G163" s="32" t="s">
        <v>6475</v>
      </c>
      <c r="H163" s="12"/>
      <c r="I163" s="11">
        <f>Table1[[#This Row],[Qty]]*Table1[[#This Row],[Price]]</f>
        <v>0</v>
      </c>
    </row>
    <row r="164" spans="1:9" ht="13.5" customHeight="1" x14ac:dyDescent="0.25">
      <c r="A164" s="28">
        <v>88300601400</v>
      </c>
      <c r="B164" s="29" t="s">
        <v>574</v>
      </c>
      <c r="C164" s="30" t="s">
        <v>43</v>
      </c>
      <c r="D164" s="31" t="s">
        <v>575</v>
      </c>
      <c r="E164" s="51">
        <v>26.68</v>
      </c>
      <c r="F164" s="32" t="s">
        <v>14</v>
      </c>
      <c r="G164" s="32" t="s">
        <v>5891</v>
      </c>
      <c r="H164" s="22"/>
      <c r="I164" s="11">
        <f>Table1[[#This Row],[Qty]]*Table1[[#This Row],[Price]]</f>
        <v>0</v>
      </c>
    </row>
    <row r="165" spans="1:9" ht="13.5" customHeight="1" x14ac:dyDescent="0.25">
      <c r="A165" s="28">
        <v>3616303463359</v>
      </c>
      <c r="B165" s="29" t="s">
        <v>731</v>
      </c>
      <c r="C165" s="30" t="s">
        <v>43</v>
      </c>
      <c r="D165" s="31" t="s">
        <v>732</v>
      </c>
      <c r="E165" s="51">
        <v>17.149999999999999</v>
      </c>
      <c r="F165" s="32" t="s">
        <v>14</v>
      </c>
      <c r="G165" s="32" t="s">
        <v>5963</v>
      </c>
      <c r="H165" s="12"/>
      <c r="I165" s="11">
        <f>Table1[[#This Row],[Qty]]*Table1[[#This Row],[Price]]</f>
        <v>0</v>
      </c>
    </row>
    <row r="166" spans="1:9" ht="13.5" customHeight="1" x14ac:dyDescent="0.25">
      <c r="A166" s="28">
        <v>3607342402065</v>
      </c>
      <c r="B166" s="29" t="s">
        <v>815</v>
      </c>
      <c r="C166" s="30" t="s">
        <v>43</v>
      </c>
      <c r="D166" s="31" t="s">
        <v>816</v>
      </c>
      <c r="E166" s="51">
        <v>15.04</v>
      </c>
      <c r="F166" s="32" t="s">
        <v>14</v>
      </c>
      <c r="G166" s="32" t="s">
        <v>6001</v>
      </c>
      <c r="H166" s="22"/>
      <c r="I166" s="11">
        <f>Table1[[#This Row],[Qty]]*Table1[[#This Row],[Price]]</f>
        <v>0</v>
      </c>
    </row>
    <row r="167" spans="1:9" ht="13.5" customHeight="1" x14ac:dyDescent="0.25">
      <c r="A167" s="28">
        <v>88300196890</v>
      </c>
      <c r="B167" s="29" t="s">
        <v>894</v>
      </c>
      <c r="C167" s="30" t="s">
        <v>43</v>
      </c>
      <c r="D167" s="31" t="s">
        <v>895</v>
      </c>
      <c r="E167" s="51">
        <v>13.91</v>
      </c>
      <c r="F167" s="32" t="s">
        <v>14</v>
      </c>
      <c r="G167" s="32" t="s">
        <v>6035</v>
      </c>
      <c r="H167" s="12"/>
      <c r="I167" s="11">
        <f>Table1[[#This Row],[Qty]]*Table1[[#This Row],[Price]]</f>
        <v>0</v>
      </c>
    </row>
    <row r="168" spans="1:9" ht="13.5" customHeight="1" x14ac:dyDescent="0.25">
      <c r="A168" s="28">
        <v>88300196814</v>
      </c>
      <c r="B168" s="29" t="s">
        <v>907</v>
      </c>
      <c r="C168" s="30" t="s">
        <v>43</v>
      </c>
      <c r="D168" s="31" t="s">
        <v>908</v>
      </c>
      <c r="E168" s="51">
        <v>14.27</v>
      </c>
      <c r="F168" s="32" t="s">
        <v>14</v>
      </c>
      <c r="G168" s="32" t="s">
        <v>6041</v>
      </c>
      <c r="H168" s="12"/>
      <c r="I168" s="11">
        <f>Table1[[#This Row],[Qty]]*Table1[[#This Row],[Price]]</f>
        <v>0</v>
      </c>
    </row>
    <row r="169" spans="1:9" ht="13.5" customHeight="1" x14ac:dyDescent="0.25">
      <c r="A169" s="28">
        <v>3607342401341</v>
      </c>
      <c r="B169" s="29" t="s">
        <v>911</v>
      </c>
      <c r="C169" s="33" t="s">
        <v>43</v>
      </c>
      <c r="D169" s="31" t="s">
        <v>912</v>
      </c>
      <c r="E169" s="51">
        <v>14.7</v>
      </c>
      <c r="F169" s="32" t="s">
        <v>14</v>
      </c>
      <c r="G169" s="32" t="s">
        <v>6043</v>
      </c>
      <c r="H169" s="22"/>
      <c r="I169" s="11">
        <f>Table1[[#This Row],[Qty]]*Table1[[#This Row],[Price]]</f>
        <v>0</v>
      </c>
    </row>
    <row r="170" spans="1:9" ht="13.5" customHeight="1" x14ac:dyDescent="0.25">
      <c r="A170" s="28">
        <v>88300162505</v>
      </c>
      <c r="B170" s="29" t="s">
        <v>917</v>
      </c>
      <c r="C170" s="30" t="s">
        <v>43</v>
      </c>
      <c r="D170" s="31" t="s">
        <v>918</v>
      </c>
      <c r="E170" s="51">
        <v>33.99</v>
      </c>
      <c r="F170" s="32" t="s">
        <v>14</v>
      </c>
      <c r="G170" s="32" t="s">
        <v>6046</v>
      </c>
      <c r="H170" s="22"/>
      <c r="I170" s="11">
        <f>Table1[[#This Row],[Qty]]*Table1[[#This Row],[Price]]</f>
        <v>0</v>
      </c>
    </row>
    <row r="171" spans="1:9" ht="13.5" customHeight="1" x14ac:dyDescent="0.25">
      <c r="A171" s="28">
        <v>88300196876</v>
      </c>
      <c r="B171" s="29" t="s">
        <v>930</v>
      </c>
      <c r="C171" s="30" t="s">
        <v>43</v>
      </c>
      <c r="D171" s="31" t="s">
        <v>931</v>
      </c>
      <c r="E171" s="51">
        <v>18.2</v>
      </c>
      <c r="F171" s="32" t="s">
        <v>14</v>
      </c>
      <c r="G171" s="32" t="s">
        <v>6052</v>
      </c>
      <c r="H171" s="12"/>
      <c r="I171" s="11">
        <f>Table1[[#This Row],[Qty]]*Table1[[#This Row],[Price]]</f>
        <v>0</v>
      </c>
    </row>
    <row r="172" spans="1:9" ht="13.5" customHeight="1" x14ac:dyDescent="0.25">
      <c r="A172" s="28">
        <v>88300107438</v>
      </c>
      <c r="B172" s="29" t="s">
        <v>944</v>
      </c>
      <c r="C172" s="30" t="s">
        <v>43</v>
      </c>
      <c r="D172" s="31" t="s">
        <v>945</v>
      </c>
      <c r="E172" s="51">
        <v>22.61</v>
      </c>
      <c r="F172" s="32" t="s">
        <v>14</v>
      </c>
      <c r="G172" s="32" t="s">
        <v>6058</v>
      </c>
      <c r="H172" s="12"/>
      <c r="I172" s="11">
        <f>Table1[[#This Row],[Qty]]*Table1[[#This Row],[Price]]</f>
        <v>0</v>
      </c>
    </row>
    <row r="173" spans="1:9" ht="13.5" customHeight="1" x14ac:dyDescent="0.25">
      <c r="A173" s="28">
        <v>88300605514</v>
      </c>
      <c r="B173" s="29" t="s">
        <v>987</v>
      </c>
      <c r="C173" s="30" t="s">
        <v>43</v>
      </c>
      <c r="D173" s="31" t="s">
        <v>988</v>
      </c>
      <c r="E173" s="51">
        <v>25.64</v>
      </c>
      <c r="F173" s="32" t="s">
        <v>14</v>
      </c>
      <c r="G173" s="32" t="s">
        <v>6078</v>
      </c>
      <c r="H173" s="22"/>
      <c r="I173" s="11">
        <f>Table1[[#This Row],[Qty]]*Table1[[#This Row],[Price]]</f>
        <v>0</v>
      </c>
    </row>
    <row r="174" spans="1:9" ht="13.5" customHeight="1" x14ac:dyDescent="0.25">
      <c r="A174" s="28">
        <v>3614221537763</v>
      </c>
      <c r="B174" s="29" t="s">
        <v>1045</v>
      </c>
      <c r="C174" s="30" t="s">
        <v>43</v>
      </c>
      <c r="D174" s="31" t="s">
        <v>1046</v>
      </c>
      <c r="E174" s="51">
        <v>22.5</v>
      </c>
      <c r="F174" s="32" t="s">
        <v>14</v>
      </c>
      <c r="G174" s="32" t="s">
        <v>6103</v>
      </c>
      <c r="H174" s="14"/>
      <c r="I174" s="11">
        <f>Table1[[#This Row],[Qty]]*Table1[[#This Row],[Price]]</f>
        <v>0</v>
      </c>
    </row>
    <row r="175" spans="1:9" ht="13.5" customHeight="1" x14ac:dyDescent="0.25">
      <c r="A175" s="28">
        <v>88300107407</v>
      </c>
      <c r="B175" s="29" t="s">
        <v>1112</v>
      </c>
      <c r="C175" s="30" t="s">
        <v>43</v>
      </c>
      <c r="D175" s="31" t="s">
        <v>1113</v>
      </c>
      <c r="E175" s="51">
        <v>17.91</v>
      </c>
      <c r="F175" s="32" t="s">
        <v>14</v>
      </c>
      <c r="G175" s="32" t="s">
        <v>6131</v>
      </c>
      <c r="H175" s="22"/>
      <c r="I175" s="11">
        <f>Table1[[#This Row],[Qty]]*Table1[[#This Row],[Price]]</f>
        <v>0</v>
      </c>
    </row>
    <row r="176" spans="1:9" ht="13.5" customHeight="1" x14ac:dyDescent="0.25">
      <c r="A176" s="28">
        <v>88300100514</v>
      </c>
      <c r="B176" s="29" t="s">
        <v>1758</v>
      </c>
      <c r="C176" s="30" t="s">
        <v>43</v>
      </c>
      <c r="D176" s="31" t="s">
        <v>1759</v>
      </c>
      <c r="E176" s="51">
        <v>18.36</v>
      </c>
      <c r="F176" s="32" t="s">
        <v>14</v>
      </c>
      <c r="G176" s="32" t="s">
        <v>6297</v>
      </c>
      <c r="H176" s="14"/>
      <c r="I176" s="11">
        <f>Table1[[#This Row],[Qty]]*Table1[[#This Row],[Price]]</f>
        <v>0</v>
      </c>
    </row>
    <row r="177" spans="1:9" ht="13.5" customHeight="1" x14ac:dyDescent="0.25">
      <c r="A177" s="28">
        <v>88300603404</v>
      </c>
      <c r="B177" s="29" t="s">
        <v>1833</v>
      </c>
      <c r="C177" s="33" t="s">
        <v>43</v>
      </c>
      <c r="D177" s="31" t="s">
        <v>1834</v>
      </c>
      <c r="E177" s="51">
        <v>19.11</v>
      </c>
      <c r="F177" s="32" t="s">
        <v>14</v>
      </c>
      <c r="G177" s="32" t="s">
        <v>6312</v>
      </c>
      <c r="H177" s="22"/>
      <c r="I177" s="11">
        <f>Table1[[#This Row],[Qty]]*Table1[[#This Row],[Price]]</f>
        <v>0</v>
      </c>
    </row>
    <row r="178" spans="1:9" ht="13.5" customHeight="1" x14ac:dyDescent="0.25">
      <c r="A178" s="28">
        <v>88300104406</v>
      </c>
      <c r="B178" s="29" t="s">
        <v>2534</v>
      </c>
      <c r="C178" s="30" t="s">
        <v>43</v>
      </c>
      <c r="D178" s="31" t="s">
        <v>2535</v>
      </c>
      <c r="E178" s="51">
        <v>15.9</v>
      </c>
      <c r="F178" s="32" t="s">
        <v>14</v>
      </c>
      <c r="G178" s="32" t="s">
        <v>6508</v>
      </c>
      <c r="H178" s="22"/>
      <c r="I178" s="11">
        <f>Table1[[#This Row],[Qty]]*Table1[[#This Row],[Price]]</f>
        <v>0</v>
      </c>
    </row>
    <row r="179" spans="1:9" ht="13.5" customHeight="1" x14ac:dyDescent="0.25">
      <c r="A179" s="28">
        <v>88300608409</v>
      </c>
      <c r="B179" s="29" t="s">
        <v>3568</v>
      </c>
      <c r="C179" s="30" t="s">
        <v>43</v>
      </c>
      <c r="D179" s="31" t="s">
        <v>3569</v>
      </c>
      <c r="E179" s="51">
        <v>18.8</v>
      </c>
      <c r="F179" s="32" t="s">
        <v>14</v>
      </c>
      <c r="G179" s="32" t="s">
        <v>6911</v>
      </c>
      <c r="H179" s="12"/>
      <c r="I179" s="11">
        <f>Table1[[#This Row],[Qty]]*Table1[[#This Row],[Price]]</f>
        <v>0</v>
      </c>
    </row>
    <row r="180" spans="1:9" ht="13.5" customHeight="1" x14ac:dyDescent="0.25">
      <c r="A180" s="28">
        <v>3616304678523</v>
      </c>
      <c r="B180" s="29" t="s">
        <v>7489</v>
      </c>
      <c r="C180" s="30" t="s">
        <v>43</v>
      </c>
      <c r="D180" s="31" t="s">
        <v>7490</v>
      </c>
      <c r="E180" s="51">
        <v>25.5</v>
      </c>
      <c r="F180" s="32" t="s">
        <v>14</v>
      </c>
      <c r="G180" s="32" t="s">
        <v>7491</v>
      </c>
      <c r="H180" s="12"/>
      <c r="I180" s="11">
        <f>Table1[[#This Row],[Qty]]*Table1[[#This Row],[Price]]</f>
        <v>0</v>
      </c>
    </row>
    <row r="181" spans="1:9" ht="13.5" customHeight="1" x14ac:dyDescent="0.25">
      <c r="A181" s="28">
        <v>3616304966590</v>
      </c>
      <c r="B181" s="29" t="s">
        <v>7495</v>
      </c>
      <c r="C181" s="33" t="s">
        <v>43</v>
      </c>
      <c r="D181" s="31" t="s">
        <v>7496</v>
      </c>
      <c r="E181" s="51">
        <v>34.5</v>
      </c>
      <c r="F181" s="32" t="s">
        <v>14</v>
      </c>
      <c r="G181" s="32" t="s">
        <v>7497</v>
      </c>
      <c r="H181" s="22"/>
      <c r="I181" s="11">
        <f>Table1[[#This Row],[Qty]]*Table1[[#This Row],[Price]]</f>
        <v>0</v>
      </c>
    </row>
    <row r="182" spans="1:9" ht="13.5" customHeight="1" x14ac:dyDescent="0.25">
      <c r="A182" s="28">
        <v>3616301296737</v>
      </c>
      <c r="B182" s="29" t="s">
        <v>7498</v>
      </c>
      <c r="C182" s="30" t="s">
        <v>43</v>
      </c>
      <c r="D182" s="31" t="s">
        <v>7499</v>
      </c>
      <c r="E182" s="51">
        <v>30.5</v>
      </c>
      <c r="F182" s="32" t="s">
        <v>14</v>
      </c>
      <c r="G182" s="32" t="s">
        <v>7500</v>
      </c>
      <c r="H182" s="12"/>
      <c r="I182" s="11">
        <f>Table1[[#This Row],[Qty]]*Table1[[#This Row],[Price]]</f>
        <v>0</v>
      </c>
    </row>
    <row r="183" spans="1:9" ht="13.5" customHeight="1" x14ac:dyDescent="0.25">
      <c r="A183" s="28">
        <v>8411061043844</v>
      </c>
      <c r="B183" s="29" t="s">
        <v>635</v>
      </c>
      <c r="C183" s="30" t="s">
        <v>186</v>
      </c>
      <c r="D183" s="31" t="s">
        <v>636</v>
      </c>
      <c r="E183" s="51">
        <v>61.35</v>
      </c>
      <c r="F183" s="32" t="s">
        <v>14</v>
      </c>
      <c r="G183" s="32" t="s">
        <v>5919</v>
      </c>
      <c r="H183" s="12"/>
      <c r="I183" s="11">
        <f>Table1[[#This Row],[Qty]]*Table1[[#This Row],[Price]]</f>
        <v>0</v>
      </c>
    </row>
    <row r="184" spans="1:9" ht="13.5" customHeight="1" x14ac:dyDescent="0.25">
      <c r="A184" s="28">
        <v>8411061865408</v>
      </c>
      <c r="B184" s="29" t="s">
        <v>671</v>
      </c>
      <c r="C184" s="30" t="s">
        <v>186</v>
      </c>
      <c r="D184" s="31" t="s">
        <v>672</v>
      </c>
      <c r="E184" s="51">
        <v>62.54</v>
      </c>
      <c r="F184" s="32" t="s">
        <v>14</v>
      </c>
      <c r="G184" s="32" t="s">
        <v>5935</v>
      </c>
      <c r="H184" s="12"/>
      <c r="I184" s="11">
        <f>Table1[[#This Row],[Qty]]*Table1[[#This Row],[Price]]</f>
        <v>0</v>
      </c>
    </row>
    <row r="185" spans="1:9" ht="13.5" customHeight="1" x14ac:dyDescent="0.25">
      <c r="A185" s="28">
        <v>8411061991886</v>
      </c>
      <c r="B185" s="29" t="s">
        <v>677</v>
      </c>
      <c r="C185" s="30" t="s">
        <v>186</v>
      </c>
      <c r="D185" s="31" t="s">
        <v>678</v>
      </c>
      <c r="E185" s="51">
        <v>69.849999999999994</v>
      </c>
      <c r="F185" s="32" t="s">
        <v>14</v>
      </c>
      <c r="G185" s="32" t="s">
        <v>5938</v>
      </c>
      <c r="H185" s="12"/>
      <c r="I185" s="11">
        <f>Table1[[#This Row],[Qty]]*Table1[[#This Row],[Price]]</f>
        <v>0</v>
      </c>
    </row>
    <row r="186" spans="1:9" ht="13.5" customHeight="1" x14ac:dyDescent="0.25">
      <c r="A186" s="28">
        <v>8411061067895</v>
      </c>
      <c r="B186" s="29" t="s">
        <v>703</v>
      </c>
      <c r="C186" s="30" t="s">
        <v>186</v>
      </c>
      <c r="D186" s="31" t="s">
        <v>704</v>
      </c>
      <c r="E186" s="51">
        <v>61.59</v>
      </c>
      <c r="F186" s="32" t="s">
        <v>14</v>
      </c>
      <c r="G186" s="32" t="s">
        <v>5950</v>
      </c>
      <c r="H186" s="12"/>
      <c r="I186" s="11">
        <f>Table1[[#This Row],[Qty]]*Table1[[#This Row],[Price]]</f>
        <v>0</v>
      </c>
    </row>
    <row r="187" spans="1:9" ht="13.5" customHeight="1" x14ac:dyDescent="0.25">
      <c r="A187" s="28">
        <v>8411061057209</v>
      </c>
      <c r="B187" s="29" t="s">
        <v>849</v>
      </c>
      <c r="C187" s="30" t="s">
        <v>186</v>
      </c>
      <c r="D187" s="31" t="s">
        <v>850</v>
      </c>
      <c r="E187" s="51">
        <v>70.489999999999995</v>
      </c>
      <c r="F187" s="32" t="s">
        <v>14</v>
      </c>
      <c r="G187" s="32" t="s">
        <v>6015</v>
      </c>
      <c r="H187" s="12"/>
      <c r="I187" s="11">
        <f>Table1[[#This Row],[Qty]]*Table1[[#This Row],[Price]]</f>
        <v>0</v>
      </c>
    </row>
    <row r="188" spans="1:9" ht="13.5" customHeight="1" x14ac:dyDescent="0.25">
      <c r="A188" s="28">
        <v>8411061056752</v>
      </c>
      <c r="B188" s="29" t="s">
        <v>926</v>
      </c>
      <c r="C188" s="30" t="s">
        <v>186</v>
      </c>
      <c r="D188" s="31" t="s">
        <v>927</v>
      </c>
      <c r="E188" s="51">
        <v>94.96</v>
      </c>
      <c r="F188" s="32" t="s">
        <v>14</v>
      </c>
      <c r="G188" s="32" t="s">
        <v>6050</v>
      </c>
      <c r="H188" s="12"/>
      <c r="I188" s="11">
        <f>Table1[[#This Row],[Qty]]*Table1[[#This Row],[Price]]</f>
        <v>0</v>
      </c>
    </row>
    <row r="189" spans="1:9" ht="13.5" customHeight="1" x14ac:dyDescent="0.25">
      <c r="A189" s="28">
        <v>8411061923245</v>
      </c>
      <c r="B189" s="29" t="s">
        <v>948</v>
      </c>
      <c r="C189" s="30" t="s">
        <v>186</v>
      </c>
      <c r="D189" s="31" t="s">
        <v>949</v>
      </c>
      <c r="E189" s="51">
        <v>66.459999999999994</v>
      </c>
      <c r="F189" s="32" t="s">
        <v>14</v>
      </c>
      <c r="G189" s="32" t="s">
        <v>6060</v>
      </c>
      <c r="H189" s="22"/>
      <c r="I189" s="11">
        <f>Table1[[#This Row],[Qty]]*Table1[[#This Row],[Price]]</f>
        <v>0</v>
      </c>
    </row>
    <row r="190" spans="1:9" ht="13.5" customHeight="1" x14ac:dyDescent="0.25">
      <c r="A190" s="28">
        <v>8411061954966</v>
      </c>
      <c r="B190" s="29" t="s">
        <v>979</v>
      </c>
      <c r="C190" s="30" t="s">
        <v>186</v>
      </c>
      <c r="D190" s="31" t="s">
        <v>980</v>
      </c>
      <c r="E190" s="51">
        <v>35.4</v>
      </c>
      <c r="F190" s="32" t="s">
        <v>14</v>
      </c>
      <c r="G190" s="32" t="s">
        <v>6074</v>
      </c>
      <c r="H190" s="12"/>
      <c r="I190" s="11">
        <f>Table1[[#This Row],[Qty]]*Table1[[#This Row],[Price]]</f>
        <v>0</v>
      </c>
    </row>
    <row r="191" spans="1:9" ht="13.5" customHeight="1" x14ac:dyDescent="0.25">
      <c r="A191" s="28">
        <v>8411061838778</v>
      </c>
      <c r="B191" s="29" t="s">
        <v>1144</v>
      </c>
      <c r="C191" s="30" t="s">
        <v>186</v>
      </c>
      <c r="D191" s="31" t="s">
        <v>1145</v>
      </c>
      <c r="E191" s="51">
        <v>79.03</v>
      </c>
      <c r="F191" s="32" t="s">
        <v>14</v>
      </c>
      <c r="G191" s="32" t="s">
        <v>6146</v>
      </c>
      <c r="H191" s="22"/>
      <c r="I191" s="11">
        <f>Table1[[#This Row],[Qty]]*Table1[[#This Row],[Price]]</f>
        <v>0</v>
      </c>
    </row>
    <row r="192" spans="1:9" ht="13.5" customHeight="1" x14ac:dyDescent="0.25">
      <c r="A192" s="28">
        <v>8411061083659</v>
      </c>
      <c r="B192" s="29" t="s">
        <v>1204</v>
      </c>
      <c r="C192" s="30" t="s">
        <v>186</v>
      </c>
      <c r="D192" s="31" t="s">
        <v>1205</v>
      </c>
      <c r="E192" s="51">
        <v>92.36</v>
      </c>
      <c r="F192" s="32" t="s">
        <v>14</v>
      </c>
      <c r="G192" s="32" t="s">
        <v>6166</v>
      </c>
      <c r="H192" s="22"/>
      <c r="I192" s="11">
        <f>Table1[[#This Row],[Qty]]*Table1[[#This Row],[Price]]</f>
        <v>0</v>
      </c>
    </row>
    <row r="193" spans="1:9" ht="13.5" customHeight="1" x14ac:dyDescent="0.25">
      <c r="A193" s="28">
        <v>8411061026342</v>
      </c>
      <c r="B193" s="29" t="s">
        <v>1206</v>
      </c>
      <c r="C193" s="30" t="s">
        <v>186</v>
      </c>
      <c r="D193" s="31" t="s">
        <v>1207</v>
      </c>
      <c r="E193" s="51">
        <v>85.05</v>
      </c>
      <c r="F193" s="32" t="s">
        <v>14</v>
      </c>
      <c r="G193" s="32" t="s">
        <v>6167</v>
      </c>
      <c r="H193" s="22"/>
      <c r="I193" s="11">
        <f>Table1[[#This Row],[Qty]]*Table1[[#This Row],[Price]]</f>
        <v>0</v>
      </c>
    </row>
    <row r="194" spans="1:9" ht="13.5" customHeight="1" x14ac:dyDescent="0.25">
      <c r="A194" s="28">
        <v>8411061067925</v>
      </c>
      <c r="B194" s="29" t="s">
        <v>1341</v>
      </c>
      <c r="C194" s="33" t="s">
        <v>186</v>
      </c>
      <c r="D194" s="31" t="s">
        <v>1342</v>
      </c>
      <c r="E194" s="51">
        <v>50.86</v>
      </c>
      <c r="F194" s="32" t="s">
        <v>14</v>
      </c>
      <c r="G194" s="32" t="s">
        <v>6194</v>
      </c>
      <c r="H194" s="22"/>
      <c r="I194" s="11">
        <f>Table1[[#This Row],[Qty]]*Table1[[#This Row],[Price]]</f>
        <v>0</v>
      </c>
    </row>
    <row r="195" spans="1:9" ht="13.5" customHeight="1" x14ac:dyDescent="0.25">
      <c r="A195" s="28">
        <v>8411061043868</v>
      </c>
      <c r="B195" s="29" t="s">
        <v>1383</v>
      </c>
      <c r="C195" s="30" t="s">
        <v>186</v>
      </c>
      <c r="D195" s="31" t="s">
        <v>1384</v>
      </c>
      <c r="E195" s="51">
        <v>50.42</v>
      </c>
      <c r="F195" s="32" t="s">
        <v>14</v>
      </c>
      <c r="G195" s="32" t="s">
        <v>6202</v>
      </c>
      <c r="H195" s="12"/>
      <c r="I195" s="11">
        <f>Table1[[#This Row],[Qty]]*Table1[[#This Row],[Price]]</f>
        <v>0</v>
      </c>
    </row>
    <row r="196" spans="1:9" ht="13.5" customHeight="1" x14ac:dyDescent="0.25">
      <c r="A196" s="28">
        <v>8411061934234</v>
      </c>
      <c r="B196" s="29" t="s">
        <v>1415</v>
      </c>
      <c r="C196" s="30" t="s">
        <v>186</v>
      </c>
      <c r="D196" s="31" t="s">
        <v>1416</v>
      </c>
      <c r="E196" s="51">
        <v>46.78</v>
      </c>
      <c r="F196" s="32" t="s">
        <v>14</v>
      </c>
      <c r="G196" s="32" t="s">
        <v>6205</v>
      </c>
      <c r="H196" s="22"/>
      <c r="I196" s="11">
        <f>Table1[[#This Row],[Qty]]*Table1[[#This Row],[Price]]</f>
        <v>0</v>
      </c>
    </row>
    <row r="197" spans="1:9" ht="13.5" customHeight="1" x14ac:dyDescent="0.25">
      <c r="A197" s="28">
        <v>8411061746196</v>
      </c>
      <c r="B197" s="29" t="s">
        <v>1534</v>
      </c>
      <c r="C197" s="30" t="s">
        <v>186</v>
      </c>
      <c r="D197" s="31" t="s">
        <v>1535</v>
      </c>
      <c r="E197" s="51">
        <v>31.29</v>
      </c>
      <c r="F197" s="32" t="s">
        <v>14</v>
      </c>
      <c r="G197" s="32" t="s">
        <v>6238</v>
      </c>
      <c r="H197" s="12"/>
      <c r="I197" s="11">
        <f>Table1[[#This Row],[Qty]]*Table1[[#This Row],[Price]]</f>
        <v>0</v>
      </c>
    </row>
    <row r="198" spans="1:9" ht="13.5" customHeight="1" x14ac:dyDescent="0.25">
      <c r="A198" s="28">
        <v>8411061711767</v>
      </c>
      <c r="B198" s="29" t="s">
        <v>2500</v>
      </c>
      <c r="C198" s="30" t="s">
        <v>186</v>
      </c>
      <c r="D198" s="31" t="s">
        <v>2501</v>
      </c>
      <c r="E198" s="51">
        <v>50.57</v>
      </c>
      <c r="F198" s="32" t="s">
        <v>14</v>
      </c>
      <c r="G198" s="32" t="s">
        <v>6492</v>
      </c>
      <c r="H198" s="22"/>
      <c r="I198" s="11">
        <f>Table1[[#This Row],[Qty]]*Table1[[#This Row],[Price]]</f>
        <v>0</v>
      </c>
    </row>
    <row r="199" spans="1:9" ht="13.5" customHeight="1" x14ac:dyDescent="0.25">
      <c r="A199" s="28">
        <v>8411061994696</v>
      </c>
      <c r="B199" s="29" t="s">
        <v>2526</v>
      </c>
      <c r="C199" s="30" t="s">
        <v>186</v>
      </c>
      <c r="D199" s="31" t="s">
        <v>2527</v>
      </c>
      <c r="E199" s="51">
        <v>62.71</v>
      </c>
      <c r="F199" s="32" t="s">
        <v>14</v>
      </c>
      <c r="G199" s="32" t="s">
        <v>6505</v>
      </c>
      <c r="H199" s="12"/>
      <c r="I199" s="11">
        <f>Table1[[#This Row],[Qty]]*Table1[[#This Row],[Price]]</f>
        <v>0</v>
      </c>
    </row>
    <row r="200" spans="1:9" ht="13.5" customHeight="1" x14ac:dyDescent="0.25">
      <c r="A200" s="28">
        <v>8411061077160</v>
      </c>
      <c r="B200" s="29" t="s">
        <v>2601</v>
      </c>
      <c r="C200" s="33" t="s">
        <v>186</v>
      </c>
      <c r="D200" s="31" t="s">
        <v>2602</v>
      </c>
      <c r="E200" s="51">
        <v>104.59</v>
      </c>
      <c r="F200" s="32" t="s">
        <v>14</v>
      </c>
      <c r="G200" s="32" t="s">
        <v>6534</v>
      </c>
      <c r="H200" s="22"/>
      <c r="I200" s="11">
        <f>Table1[[#This Row],[Qty]]*Table1[[#This Row],[Price]]</f>
        <v>0</v>
      </c>
    </row>
    <row r="201" spans="1:9" ht="13.5" customHeight="1" x14ac:dyDescent="0.25">
      <c r="A201" s="28">
        <v>8411061077153</v>
      </c>
      <c r="B201" s="29" t="s">
        <v>2637</v>
      </c>
      <c r="C201" s="30" t="s">
        <v>186</v>
      </c>
      <c r="D201" s="31" t="s">
        <v>2638</v>
      </c>
      <c r="E201" s="51">
        <v>93</v>
      </c>
      <c r="F201" s="32" t="s">
        <v>14</v>
      </c>
      <c r="G201" s="32" t="s">
        <v>6550</v>
      </c>
      <c r="H201" s="12"/>
      <c r="I201" s="11">
        <f>Table1[[#This Row],[Qty]]*Table1[[#This Row],[Price]]</f>
        <v>0</v>
      </c>
    </row>
    <row r="202" spans="1:9" ht="13.5" customHeight="1" x14ac:dyDescent="0.25">
      <c r="A202" s="28">
        <v>8411061111321</v>
      </c>
      <c r="B202" s="29" t="s">
        <v>3128</v>
      </c>
      <c r="C202" s="30" t="s">
        <v>186</v>
      </c>
      <c r="D202" s="31" t="s">
        <v>3129</v>
      </c>
      <c r="E202" s="51">
        <v>119.5</v>
      </c>
      <c r="F202" s="32" t="s">
        <v>14</v>
      </c>
      <c r="G202" s="32" t="s">
        <v>6708</v>
      </c>
      <c r="H202" s="22"/>
      <c r="I202" s="11">
        <f>Table1[[#This Row],[Qty]]*Table1[[#This Row],[Price]]</f>
        <v>0</v>
      </c>
    </row>
    <row r="203" spans="1:9" ht="13.5" customHeight="1" x14ac:dyDescent="0.25">
      <c r="A203" s="28">
        <v>8411061083482</v>
      </c>
      <c r="B203" s="29" t="s">
        <v>3228</v>
      </c>
      <c r="C203" s="33" t="s">
        <v>186</v>
      </c>
      <c r="D203" s="31" t="s">
        <v>3229</v>
      </c>
      <c r="E203" s="51">
        <v>71.92</v>
      </c>
      <c r="F203" s="32" t="s">
        <v>14</v>
      </c>
      <c r="G203" s="32" t="s">
        <v>6750</v>
      </c>
      <c r="H203" s="22"/>
      <c r="I203" s="11">
        <f>Table1[[#This Row],[Qty]]*Table1[[#This Row],[Price]]</f>
        <v>0</v>
      </c>
    </row>
    <row r="204" spans="1:9" ht="13.5" customHeight="1" x14ac:dyDescent="0.25">
      <c r="A204" s="28">
        <v>8411061108888</v>
      </c>
      <c r="B204" s="29" t="s">
        <v>3232</v>
      </c>
      <c r="C204" s="30" t="s">
        <v>186</v>
      </c>
      <c r="D204" s="31" t="s">
        <v>3233</v>
      </c>
      <c r="E204" s="51">
        <v>72.040000000000006</v>
      </c>
      <c r="F204" s="32" t="s">
        <v>14</v>
      </c>
      <c r="G204" s="32" t="s">
        <v>6752</v>
      </c>
      <c r="H204" s="13"/>
      <c r="I204" s="11">
        <f>Table1[[#This Row],[Qty]]*Table1[[#This Row],[Price]]</f>
        <v>0</v>
      </c>
    </row>
    <row r="205" spans="1:9" ht="13.5" customHeight="1" x14ac:dyDescent="0.25">
      <c r="A205" s="28">
        <v>8411061092750</v>
      </c>
      <c r="B205" s="29" t="s">
        <v>3236</v>
      </c>
      <c r="C205" s="30" t="s">
        <v>186</v>
      </c>
      <c r="D205" s="31" t="s">
        <v>3237</v>
      </c>
      <c r="E205" s="51">
        <v>98.06</v>
      </c>
      <c r="F205" s="32" t="s">
        <v>14</v>
      </c>
      <c r="G205" s="32" t="s">
        <v>6753</v>
      </c>
      <c r="H205" s="12"/>
      <c r="I205" s="11">
        <f>Table1[[#This Row],[Qty]]*Table1[[#This Row],[Price]]</f>
        <v>0</v>
      </c>
    </row>
    <row r="206" spans="1:9" ht="13.5" customHeight="1" x14ac:dyDescent="0.25">
      <c r="A206" s="28">
        <v>8411061124840</v>
      </c>
      <c r="B206" s="29" t="s">
        <v>3267</v>
      </c>
      <c r="C206" s="33" t="s">
        <v>186</v>
      </c>
      <c r="D206" s="31" t="s">
        <v>3268</v>
      </c>
      <c r="E206" s="51">
        <v>85.48</v>
      </c>
      <c r="F206" s="32" t="s">
        <v>14</v>
      </c>
      <c r="G206" s="32" t="s">
        <v>6765</v>
      </c>
      <c r="H206" s="22"/>
      <c r="I206" s="11">
        <f>Table1[[#This Row],[Qty]]*Table1[[#This Row],[Price]]</f>
        <v>0</v>
      </c>
    </row>
    <row r="207" spans="1:9" ht="13.5" customHeight="1" x14ac:dyDescent="0.25">
      <c r="A207" s="28">
        <v>8411061106228</v>
      </c>
      <c r="B207" s="29" t="s">
        <v>3324</v>
      </c>
      <c r="C207" s="30" t="s">
        <v>186</v>
      </c>
      <c r="D207" s="31" t="s">
        <v>3325</v>
      </c>
      <c r="E207" s="51">
        <v>84.68</v>
      </c>
      <c r="F207" s="32" t="s">
        <v>14</v>
      </c>
      <c r="G207" s="32" t="s">
        <v>6791</v>
      </c>
      <c r="H207" s="22"/>
      <c r="I207" s="11">
        <f>Table1[[#This Row],[Qty]]*Table1[[#This Row],[Price]]</f>
        <v>0</v>
      </c>
    </row>
    <row r="208" spans="1:9" ht="13.5" customHeight="1" x14ac:dyDescent="0.25">
      <c r="A208" s="48">
        <v>8411061045497</v>
      </c>
      <c r="B208" s="41" t="s">
        <v>3326</v>
      </c>
      <c r="C208" s="6" t="s">
        <v>186</v>
      </c>
      <c r="D208" t="s">
        <v>3327</v>
      </c>
      <c r="E208" s="52">
        <v>104.62</v>
      </c>
      <c r="F208" s="49" t="s">
        <v>14</v>
      </c>
      <c r="G208" s="49" t="s">
        <v>6792</v>
      </c>
      <c r="H208" s="22"/>
      <c r="I208" s="11">
        <f>Table1[[#This Row],[Qty]]*Table1[[#This Row],[Price]]</f>
        <v>0</v>
      </c>
    </row>
    <row r="209" spans="1:9" ht="13.5" customHeight="1" x14ac:dyDescent="0.25">
      <c r="A209" s="28">
        <v>8411061113851</v>
      </c>
      <c r="B209" s="29" t="s">
        <v>3328</v>
      </c>
      <c r="C209" s="30" t="s">
        <v>186</v>
      </c>
      <c r="D209" s="31" t="s">
        <v>3329</v>
      </c>
      <c r="E209" s="51">
        <v>99.37</v>
      </c>
      <c r="F209" s="32" t="s">
        <v>14</v>
      </c>
      <c r="G209" s="32" t="s">
        <v>6793</v>
      </c>
      <c r="H209" s="12"/>
      <c r="I209" s="11">
        <f>Table1[[#This Row],[Qty]]*Table1[[#This Row],[Price]]</f>
        <v>0</v>
      </c>
    </row>
    <row r="210" spans="1:9" ht="13.5" customHeight="1" x14ac:dyDescent="0.25">
      <c r="A210" s="28">
        <v>8411061113868</v>
      </c>
      <c r="B210" s="29" t="s">
        <v>3330</v>
      </c>
      <c r="C210" s="33" t="s">
        <v>186</v>
      </c>
      <c r="D210" s="31" t="s">
        <v>3331</v>
      </c>
      <c r="E210" s="51">
        <v>102.47</v>
      </c>
      <c r="F210" s="32" t="s">
        <v>14</v>
      </c>
      <c r="G210" s="32" t="s">
        <v>6794</v>
      </c>
      <c r="H210" s="22"/>
      <c r="I210" s="11">
        <f>Table1[[#This Row],[Qty]]*Table1[[#This Row],[Price]]</f>
        <v>0</v>
      </c>
    </row>
    <row r="211" spans="1:9" ht="13.5" customHeight="1" x14ac:dyDescent="0.25">
      <c r="A211" s="28">
        <v>8411061105016</v>
      </c>
      <c r="B211" s="29" t="s">
        <v>3339</v>
      </c>
      <c r="C211" s="33" t="s">
        <v>186</v>
      </c>
      <c r="D211" s="31" t="s">
        <v>3340</v>
      </c>
      <c r="E211" s="51">
        <v>70.92</v>
      </c>
      <c r="F211" s="32" t="s">
        <v>14</v>
      </c>
      <c r="G211" s="32" t="s">
        <v>6799</v>
      </c>
      <c r="H211" s="22"/>
      <c r="I211" s="11">
        <f>Table1[[#This Row],[Qty]]*Table1[[#This Row],[Price]]</f>
        <v>0</v>
      </c>
    </row>
    <row r="212" spans="1:9" ht="13.5" customHeight="1" x14ac:dyDescent="0.25">
      <c r="A212" s="28">
        <v>8411061099766</v>
      </c>
      <c r="B212" s="29" t="s">
        <v>3594</v>
      </c>
      <c r="C212" s="30" t="s">
        <v>186</v>
      </c>
      <c r="D212" s="31" t="s">
        <v>3595</v>
      </c>
      <c r="E212" s="51">
        <v>62.54</v>
      </c>
      <c r="F212" s="32" t="s">
        <v>14</v>
      </c>
      <c r="G212" s="32" t="s">
        <v>6923</v>
      </c>
      <c r="H212" s="12"/>
      <c r="I212" s="11">
        <f>Table1[[#This Row],[Qty]]*Table1[[#This Row],[Price]]</f>
        <v>0</v>
      </c>
    </row>
    <row r="213" spans="1:9" ht="13.5" customHeight="1" x14ac:dyDescent="0.25">
      <c r="A213" s="28">
        <v>8411061972656</v>
      </c>
      <c r="B213" s="29" t="s">
        <v>3640</v>
      </c>
      <c r="C213" s="30" t="s">
        <v>186</v>
      </c>
      <c r="D213" s="31" t="s">
        <v>3641</v>
      </c>
      <c r="E213" s="51">
        <v>54.6</v>
      </c>
      <c r="F213" s="32" t="s">
        <v>14</v>
      </c>
      <c r="G213" s="32" t="s">
        <v>6945</v>
      </c>
      <c r="H213" s="22"/>
      <c r="I213" s="11">
        <f>Table1[[#This Row],[Qty]]*Table1[[#This Row],[Price]]</f>
        <v>0</v>
      </c>
    </row>
    <row r="214" spans="1:9" ht="13.5" customHeight="1" x14ac:dyDescent="0.25">
      <c r="A214" s="28">
        <v>8411061137918</v>
      </c>
      <c r="B214" s="29" t="s">
        <v>5532</v>
      </c>
      <c r="C214" s="33" t="s">
        <v>186</v>
      </c>
      <c r="D214" s="31" t="s">
        <v>5533</v>
      </c>
      <c r="E214" s="51">
        <v>123.5</v>
      </c>
      <c r="F214" s="32" t="s">
        <v>14</v>
      </c>
      <c r="G214" s="32" t="s">
        <v>7468</v>
      </c>
      <c r="H214" s="22"/>
      <c r="I214" s="11">
        <f>Table1[[#This Row],[Qty]]*Table1[[#This Row],[Price]]</f>
        <v>0</v>
      </c>
    </row>
    <row r="215" spans="1:9" ht="13.5" customHeight="1" x14ac:dyDescent="0.25">
      <c r="A215" s="28">
        <v>8411061106389</v>
      </c>
      <c r="B215" s="29" t="s">
        <v>7525</v>
      </c>
      <c r="C215" s="30" t="s">
        <v>186</v>
      </c>
      <c r="D215" s="31" t="s">
        <v>7526</v>
      </c>
      <c r="E215" s="51">
        <v>79.5</v>
      </c>
      <c r="F215" s="32" t="s">
        <v>14</v>
      </c>
      <c r="G215" s="32" t="s">
        <v>7527</v>
      </c>
      <c r="H215" s="12"/>
      <c r="I215" s="11">
        <f>Table1[[#This Row],[Qty]]*Table1[[#This Row],[Price]]</f>
        <v>0</v>
      </c>
    </row>
    <row r="216" spans="1:9" ht="13.5" customHeight="1" x14ac:dyDescent="0.25">
      <c r="A216" s="28">
        <v>8411061111604</v>
      </c>
      <c r="B216" s="29" t="s">
        <v>7528</v>
      </c>
      <c r="C216" s="33" t="s">
        <v>186</v>
      </c>
      <c r="D216" s="31" t="s">
        <v>7529</v>
      </c>
      <c r="E216" s="51">
        <v>65.19</v>
      </c>
      <c r="F216" s="32" t="s">
        <v>14</v>
      </c>
      <c r="G216" s="32" t="s">
        <v>7530</v>
      </c>
      <c r="H216" s="22"/>
      <c r="I216" s="11">
        <f>Table1[[#This Row],[Qty]]*Table1[[#This Row],[Price]]</f>
        <v>0</v>
      </c>
    </row>
    <row r="217" spans="1:9" ht="13.5" customHeight="1" x14ac:dyDescent="0.25">
      <c r="A217" s="28">
        <v>8411061106372</v>
      </c>
      <c r="B217" s="29" t="s">
        <v>7531</v>
      </c>
      <c r="C217" s="30" t="s">
        <v>186</v>
      </c>
      <c r="D217" s="31" t="s">
        <v>7532</v>
      </c>
      <c r="E217" s="51">
        <v>90</v>
      </c>
      <c r="F217" s="32" t="s">
        <v>14</v>
      </c>
      <c r="G217" s="32" t="s">
        <v>7533</v>
      </c>
      <c r="H217" s="12"/>
      <c r="I217" s="11">
        <f>Table1[[#This Row],[Qty]]*Table1[[#This Row],[Price]]</f>
        <v>0</v>
      </c>
    </row>
    <row r="218" spans="1:9" ht="13.5" customHeight="1" x14ac:dyDescent="0.25">
      <c r="A218" s="28">
        <v>3348901250146</v>
      </c>
      <c r="B218" s="29" t="s">
        <v>675</v>
      </c>
      <c r="C218" s="30" t="s">
        <v>151</v>
      </c>
      <c r="D218" s="31" t="s">
        <v>676</v>
      </c>
      <c r="E218" s="51">
        <v>116.27</v>
      </c>
      <c r="F218" s="32" t="s">
        <v>14</v>
      </c>
      <c r="G218" s="32" t="s">
        <v>5937</v>
      </c>
      <c r="H218" s="12"/>
      <c r="I218" s="11">
        <f>Table1[[#This Row],[Qty]]*Table1[[#This Row],[Price]]</f>
        <v>0</v>
      </c>
    </row>
    <row r="219" spans="1:9" ht="13.5" customHeight="1" x14ac:dyDescent="0.25">
      <c r="A219" s="28">
        <v>3348901368247</v>
      </c>
      <c r="B219" s="29" t="s">
        <v>1084</v>
      </c>
      <c r="C219" s="30" t="s">
        <v>151</v>
      </c>
      <c r="D219" s="31" t="s">
        <v>1085</v>
      </c>
      <c r="E219" s="51">
        <v>118.87</v>
      </c>
      <c r="F219" s="32" t="s">
        <v>14</v>
      </c>
      <c r="G219" s="32" t="s">
        <v>6121</v>
      </c>
      <c r="H219" s="12"/>
      <c r="I219" s="11">
        <f>Table1[[#This Row],[Qty]]*Table1[[#This Row],[Price]]</f>
        <v>0</v>
      </c>
    </row>
    <row r="220" spans="1:9" ht="13.5" customHeight="1" x14ac:dyDescent="0.25">
      <c r="A220" s="28">
        <v>3348901567572</v>
      </c>
      <c r="B220" s="29" t="s">
        <v>1126</v>
      </c>
      <c r="C220" s="30" t="s">
        <v>151</v>
      </c>
      <c r="D220" s="31" t="s">
        <v>1127</v>
      </c>
      <c r="E220" s="51">
        <v>139.71</v>
      </c>
      <c r="F220" s="32" t="s">
        <v>14</v>
      </c>
      <c r="G220" s="32" t="s">
        <v>6137</v>
      </c>
      <c r="H220" s="22"/>
      <c r="I220" s="11">
        <f>Table1[[#This Row],[Qty]]*Table1[[#This Row],[Price]]</f>
        <v>0</v>
      </c>
    </row>
    <row r="221" spans="1:9" ht="13.5" customHeight="1" x14ac:dyDescent="0.25">
      <c r="A221" s="28">
        <v>3348901296632</v>
      </c>
      <c r="B221" s="29" t="s">
        <v>1202</v>
      </c>
      <c r="C221" s="30" t="s">
        <v>151</v>
      </c>
      <c r="D221" s="31" t="s">
        <v>1203</v>
      </c>
      <c r="E221" s="51">
        <v>109</v>
      </c>
      <c r="F221" s="32" t="s">
        <v>14</v>
      </c>
      <c r="G221" s="32" t="s">
        <v>6165</v>
      </c>
      <c r="H221" s="12"/>
      <c r="I221" s="11">
        <f>Table1[[#This Row],[Qty]]*Table1[[#This Row],[Price]]</f>
        <v>0</v>
      </c>
    </row>
    <row r="222" spans="1:9" ht="13.5" customHeight="1" x14ac:dyDescent="0.25">
      <c r="A222" s="28">
        <v>3348900417878</v>
      </c>
      <c r="B222" s="29" t="s">
        <v>3345</v>
      </c>
      <c r="C222" s="30" t="s">
        <v>151</v>
      </c>
      <c r="D222" s="31" t="s">
        <v>3346</v>
      </c>
      <c r="E222" s="51">
        <v>125</v>
      </c>
      <c r="F222" s="32" t="s">
        <v>14</v>
      </c>
      <c r="G222" s="32" t="s">
        <v>6802</v>
      </c>
      <c r="H222" s="22"/>
      <c r="I222" s="11">
        <f>Table1[[#This Row],[Qty]]*Table1[[#This Row],[Price]]</f>
        <v>0</v>
      </c>
    </row>
    <row r="223" spans="1:9" ht="13.5" customHeight="1" x14ac:dyDescent="0.25">
      <c r="A223" s="28">
        <v>20714156893</v>
      </c>
      <c r="B223" s="29" t="s">
        <v>548</v>
      </c>
      <c r="C223" s="30" t="s">
        <v>549</v>
      </c>
      <c r="D223" s="31" t="s">
        <v>550</v>
      </c>
      <c r="E223" s="51">
        <v>25.27</v>
      </c>
      <c r="F223" s="32" t="s">
        <v>14</v>
      </c>
      <c r="G223" s="32" t="s">
        <v>5881</v>
      </c>
      <c r="H223" s="12"/>
      <c r="I223" s="11">
        <f>Table1[[#This Row],[Qty]]*Table1[[#This Row],[Price]]</f>
        <v>0</v>
      </c>
    </row>
    <row r="224" spans="1:9" ht="13.5" customHeight="1" x14ac:dyDescent="0.25">
      <c r="A224" s="28">
        <v>20714881429</v>
      </c>
      <c r="B224" s="29" t="s">
        <v>1016</v>
      </c>
      <c r="C224" s="30" t="s">
        <v>549</v>
      </c>
      <c r="D224" s="31" t="s">
        <v>1017</v>
      </c>
      <c r="E224" s="51">
        <v>23.96</v>
      </c>
      <c r="F224" s="32" t="s">
        <v>14</v>
      </c>
      <c r="G224" s="32" t="s">
        <v>6091</v>
      </c>
      <c r="H224" s="12"/>
      <c r="I224" s="11">
        <f>Table1[[#This Row],[Qty]]*Table1[[#This Row],[Price]]</f>
        <v>0</v>
      </c>
    </row>
    <row r="225" spans="1:9" ht="13.5" customHeight="1" x14ac:dyDescent="0.25">
      <c r="A225" s="28">
        <v>20714080310</v>
      </c>
      <c r="B225" s="29" t="s">
        <v>1735</v>
      </c>
      <c r="C225" s="30" t="s">
        <v>549</v>
      </c>
      <c r="D225" s="31" t="s">
        <v>1736</v>
      </c>
      <c r="E225" s="51">
        <v>25.33</v>
      </c>
      <c r="F225" s="32" t="s">
        <v>14</v>
      </c>
      <c r="G225" s="32" t="s">
        <v>6287</v>
      </c>
      <c r="H225" s="22"/>
      <c r="I225" s="11">
        <f>Table1[[#This Row],[Qty]]*Table1[[#This Row],[Price]]</f>
        <v>0</v>
      </c>
    </row>
    <row r="226" spans="1:9" ht="13.5" customHeight="1" x14ac:dyDescent="0.25">
      <c r="A226" s="28">
        <v>5060524511333</v>
      </c>
      <c r="B226" s="29" t="s">
        <v>877</v>
      </c>
      <c r="C226" s="30" t="s">
        <v>878</v>
      </c>
      <c r="D226" s="31" t="s">
        <v>879</v>
      </c>
      <c r="E226" s="51">
        <v>20.93</v>
      </c>
      <c r="F226" s="32" t="s">
        <v>14</v>
      </c>
      <c r="G226" s="32" t="s">
        <v>6028</v>
      </c>
      <c r="H226" s="12"/>
      <c r="I226" s="11">
        <f>Table1[[#This Row],[Qty]]*Table1[[#This Row],[Price]]</f>
        <v>0</v>
      </c>
    </row>
    <row r="227" spans="1:9" ht="13.5" customHeight="1" x14ac:dyDescent="0.25">
      <c r="A227" s="48">
        <v>5060524510909</v>
      </c>
      <c r="B227" s="41" t="s">
        <v>934</v>
      </c>
      <c r="C227" s="6" t="s">
        <v>878</v>
      </c>
      <c r="D227" t="s">
        <v>935</v>
      </c>
      <c r="E227" s="47">
        <v>20.21</v>
      </c>
      <c r="F227" s="6" t="s">
        <v>14</v>
      </c>
      <c r="G227" s="6" t="s">
        <v>6054</v>
      </c>
      <c r="H227" s="22"/>
      <c r="I227" s="11">
        <f>Table1[[#This Row],[Qty]]*Table1[[#This Row],[Price]]</f>
        <v>0</v>
      </c>
    </row>
    <row r="228" spans="1:9" ht="13.5" customHeight="1" x14ac:dyDescent="0.25">
      <c r="A228" s="28">
        <v>5060524510008</v>
      </c>
      <c r="B228" s="29" t="s">
        <v>1831</v>
      </c>
      <c r="C228" s="33" t="s">
        <v>878</v>
      </c>
      <c r="D228" s="31" t="s">
        <v>1832</v>
      </c>
      <c r="E228" s="51">
        <v>20.21</v>
      </c>
      <c r="F228" s="32" t="s">
        <v>14</v>
      </c>
      <c r="G228" s="32" t="s">
        <v>6311</v>
      </c>
      <c r="H228" s="22"/>
      <c r="I228" s="11">
        <f>Table1[[#This Row],[Qty]]*Table1[[#This Row],[Price]]</f>
        <v>0</v>
      </c>
    </row>
    <row r="229" spans="1:9" ht="13.5" customHeight="1" x14ac:dyDescent="0.25">
      <c r="A229" s="28">
        <v>3414202000572</v>
      </c>
      <c r="B229" s="29" t="s">
        <v>721</v>
      </c>
      <c r="C229" s="30" t="s">
        <v>130</v>
      </c>
      <c r="D229" s="31" t="s">
        <v>722</v>
      </c>
      <c r="E229" s="51">
        <v>18.260000000000002</v>
      </c>
      <c r="F229" s="32" t="s">
        <v>14</v>
      </c>
      <c r="G229" s="32" t="s">
        <v>5958</v>
      </c>
      <c r="H229" s="22"/>
      <c r="I229" s="11">
        <f>Table1[[#This Row],[Qty]]*Table1[[#This Row],[Price]]</f>
        <v>0</v>
      </c>
    </row>
    <row r="230" spans="1:9" ht="13.5" customHeight="1" x14ac:dyDescent="0.25">
      <c r="A230" s="28">
        <v>3414202011752</v>
      </c>
      <c r="B230" s="29" t="s">
        <v>811</v>
      </c>
      <c r="C230" s="30" t="s">
        <v>130</v>
      </c>
      <c r="D230" s="31" t="s">
        <v>812</v>
      </c>
      <c r="E230" s="51">
        <v>17.41</v>
      </c>
      <c r="F230" s="32" t="s">
        <v>14</v>
      </c>
      <c r="G230" s="32" t="s">
        <v>5999</v>
      </c>
      <c r="H230" s="22"/>
      <c r="I230" s="11">
        <f>Table1[[#This Row],[Qty]]*Table1[[#This Row],[Price]]</f>
        <v>0</v>
      </c>
    </row>
    <row r="231" spans="1:9" ht="13.5" customHeight="1" x14ac:dyDescent="0.25">
      <c r="A231" s="28">
        <v>8057971183739</v>
      </c>
      <c r="B231" s="29" t="s">
        <v>602</v>
      </c>
      <c r="C231" s="30" t="s">
        <v>135</v>
      </c>
      <c r="D231" s="31" t="s">
        <v>603</v>
      </c>
      <c r="E231" s="51">
        <v>38.94</v>
      </c>
      <c r="F231" s="32" t="s">
        <v>14</v>
      </c>
      <c r="G231" s="32" t="s">
        <v>5905</v>
      </c>
      <c r="H231" s="22"/>
      <c r="I231" s="11">
        <f>Table1[[#This Row],[Qty]]*Table1[[#This Row],[Price]]</f>
        <v>0</v>
      </c>
    </row>
    <row r="232" spans="1:9" ht="13.5" customHeight="1" x14ac:dyDescent="0.25">
      <c r="A232" s="28">
        <v>8057971188291</v>
      </c>
      <c r="B232" s="29" t="s">
        <v>803</v>
      </c>
      <c r="C232" s="30" t="s">
        <v>135</v>
      </c>
      <c r="D232" s="31" t="s">
        <v>804</v>
      </c>
      <c r="E232" s="51">
        <v>49.18</v>
      </c>
      <c r="F232" s="32" t="s">
        <v>14</v>
      </c>
      <c r="G232" s="32" t="s">
        <v>5996</v>
      </c>
      <c r="H232" s="12"/>
      <c r="I232" s="11">
        <f>Table1[[#This Row],[Qty]]*Table1[[#This Row],[Price]]</f>
        <v>0</v>
      </c>
    </row>
    <row r="233" spans="1:9" ht="13.5" customHeight="1" x14ac:dyDescent="0.25">
      <c r="A233" s="28">
        <v>8057971188116</v>
      </c>
      <c r="B233" s="29" t="s">
        <v>1026</v>
      </c>
      <c r="C233" s="30" t="s">
        <v>135</v>
      </c>
      <c r="D233" s="31" t="s">
        <v>1027</v>
      </c>
      <c r="E233" s="51">
        <v>36.83</v>
      </c>
      <c r="F233" s="32" t="s">
        <v>14</v>
      </c>
      <c r="G233" s="32" t="s">
        <v>6096</v>
      </c>
      <c r="H233" s="12"/>
      <c r="I233" s="11">
        <f>Table1[[#This Row],[Qty]]*Table1[[#This Row],[Price]]</f>
        <v>0</v>
      </c>
    </row>
    <row r="234" spans="1:9" ht="13.5" customHeight="1" x14ac:dyDescent="0.25">
      <c r="A234" s="28">
        <v>8057971180356</v>
      </c>
      <c r="B234" s="29" t="s">
        <v>1417</v>
      </c>
      <c r="C234" s="30" t="s">
        <v>135</v>
      </c>
      <c r="D234" s="31" t="s">
        <v>1418</v>
      </c>
      <c r="E234" s="51">
        <v>49.98</v>
      </c>
      <c r="F234" s="32" t="s">
        <v>14</v>
      </c>
      <c r="G234" s="32" t="s">
        <v>6206</v>
      </c>
      <c r="H234" s="12"/>
      <c r="I234" s="11">
        <f>Table1[[#This Row],[Qty]]*Table1[[#This Row],[Price]]</f>
        <v>0</v>
      </c>
    </row>
    <row r="235" spans="1:9" ht="13.5" customHeight="1" x14ac:dyDescent="0.25">
      <c r="A235" s="28">
        <v>3423473020233</v>
      </c>
      <c r="B235" s="29" t="s">
        <v>1457</v>
      </c>
      <c r="C235" s="30" t="s">
        <v>135</v>
      </c>
      <c r="D235" s="31" t="s">
        <v>1458</v>
      </c>
      <c r="E235" s="51">
        <v>39.65</v>
      </c>
      <c r="F235" s="32" t="s">
        <v>14</v>
      </c>
      <c r="G235" s="32" t="s">
        <v>6217</v>
      </c>
      <c r="H235" s="14"/>
      <c r="I235" s="11">
        <f>Table1[[#This Row],[Qty]]*Table1[[#This Row],[Price]]</f>
        <v>0</v>
      </c>
    </row>
    <row r="236" spans="1:9" ht="13.5" customHeight="1" x14ac:dyDescent="0.25">
      <c r="A236" s="28">
        <v>3423473020820</v>
      </c>
      <c r="B236" s="29" t="s">
        <v>2344</v>
      </c>
      <c r="C236" s="30" t="s">
        <v>135</v>
      </c>
      <c r="D236" s="31" t="s">
        <v>2345</v>
      </c>
      <c r="E236" s="51">
        <v>39.28</v>
      </c>
      <c r="F236" s="32" t="s">
        <v>14</v>
      </c>
      <c r="G236" s="32" t="s">
        <v>6420</v>
      </c>
      <c r="H236" s="12"/>
      <c r="I236" s="11">
        <f>Table1[[#This Row],[Qty]]*Table1[[#This Row],[Price]]</f>
        <v>0</v>
      </c>
    </row>
    <row r="237" spans="1:9" ht="13.5" customHeight="1" x14ac:dyDescent="0.25">
      <c r="A237" s="28">
        <v>8057971180882</v>
      </c>
      <c r="B237" s="29" t="s">
        <v>2408</v>
      </c>
      <c r="C237" s="30" t="s">
        <v>135</v>
      </c>
      <c r="D237" s="31" t="s">
        <v>2409</v>
      </c>
      <c r="E237" s="51">
        <v>29.43</v>
      </c>
      <c r="F237" s="32" t="s">
        <v>14</v>
      </c>
      <c r="G237" s="32" t="s">
        <v>6449</v>
      </c>
      <c r="H237" s="22"/>
      <c r="I237" s="11">
        <f>Table1[[#This Row],[Qty]]*Table1[[#This Row],[Price]]</f>
        <v>0</v>
      </c>
    </row>
    <row r="238" spans="1:9" ht="13.5" customHeight="1" x14ac:dyDescent="0.25">
      <c r="A238" s="28">
        <v>3423222015565</v>
      </c>
      <c r="B238" s="29" t="s">
        <v>2633</v>
      </c>
      <c r="C238" s="30" t="s">
        <v>135</v>
      </c>
      <c r="D238" s="31" t="s">
        <v>2634</v>
      </c>
      <c r="E238" s="51">
        <v>27.83</v>
      </c>
      <c r="F238" s="32" t="s">
        <v>14</v>
      </c>
      <c r="G238" s="32" t="s">
        <v>6548</v>
      </c>
      <c r="H238" s="12"/>
      <c r="I238" s="11">
        <f>Table1[[#This Row],[Qty]]*Table1[[#This Row],[Price]]</f>
        <v>0</v>
      </c>
    </row>
    <row r="239" spans="1:9" ht="13.5" customHeight="1" x14ac:dyDescent="0.25">
      <c r="A239" s="28">
        <v>8054754403497</v>
      </c>
      <c r="B239" s="29" t="s">
        <v>3154</v>
      </c>
      <c r="C239" s="30" t="s">
        <v>135</v>
      </c>
      <c r="D239" s="31" t="s">
        <v>3155</v>
      </c>
      <c r="E239" s="51">
        <v>39.69</v>
      </c>
      <c r="F239" s="32" t="s">
        <v>14</v>
      </c>
      <c r="G239" s="32" t="s">
        <v>6716</v>
      </c>
      <c r="H239" s="12"/>
      <c r="I239" s="11">
        <f>Table1[[#This Row],[Qty]]*Table1[[#This Row],[Price]]</f>
        <v>0</v>
      </c>
    </row>
    <row r="240" spans="1:9" ht="13.5" customHeight="1" x14ac:dyDescent="0.25">
      <c r="A240" s="28">
        <v>8056669922261</v>
      </c>
      <c r="B240" s="29" t="s">
        <v>3156</v>
      </c>
      <c r="C240" s="30" t="s">
        <v>135</v>
      </c>
      <c r="D240" s="31" t="s">
        <v>3157</v>
      </c>
      <c r="E240" s="51">
        <v>46.38</v>
      </c>
      <c r="F240" s="32" t="s">
        <v>14</v>
      </c>
      <c r="G240" s="32" t="s">
        <v>6717</v>
      </c>
      <c r="H240" s="22"/>
      <c r="I240" s="11">
        <f>Table1[[#This Row],[Qty]]*Table1[[#This Row],[Price]]</f>
        <v>0</v>
      </c>
    </row>
    <row r="241" spans="1:9" ht="13.5" customHeight="1" x14ac:dyDescent="0.25">
      <c r="A241" s="28">
        <v>8054754400670</v>
      </c>
      <c r="B241" s="29" t="s">
        <v>3164</v>
      </c>
      <c r="C241" s="30" t="s">
        <v>135</v>
      </c>
      <c r="D241" s="31" t="s">
        <v>3165</v>
      </c>
      <c r="E241" s="51">
        <v>51.94</v>
      </c>
      <c r="F241" s="32" t="s">
        <v>14</v>
      </c>
      <c r="G241" s="32" t="s">
        <v>6721</v>
      </c>
      <c r="H241" s="22"/>
      <c r="I241" s="11">
        <f>Table1[[#This Row],[Qty]]*Table1[[#This Row],[Price]]</f>
        <v>0</v>
      </c>
    </row>
    <row r="242" spans="1:9" ht="13.5" customHeight="1" x14ac:dyDescent="0.25">
      <c r="A242" s="28">
        <v>8054754403381</v>
      </c>
      <c r="B242" s="29" t="s">
        <v>3655</v>
      </c>
      <c r="C242" s="30" t="s">
        <v>135</v>
      </c>
      <c r="D242" s="31" t="s">
        <v>3656</v>
      </c>
      <c r="E242" s="51">
        <v>44.52</v>
      </c>
      <c r="F242" s="32" t="s">
        <v>14</v>
      </c>
      <c r="G242" s="32" t="s">
        <v>6951</v>
      </c>
      <c r="H242" s="22"/>
      <c r="I242" s="11">
        <f>Table1[[#This Row],[Qty]]*Table1[[#This Row],[Price]]</f>
        <v>0</v>
      </c>
    </row>
    <row r="243" spans="1:9" ht="13.5" customHeight="1" x14ac:dyDescent="0.25">
      <c r="A243" s="28">
        <v>8054754403374</v>
      </c>
      <c r="B243" s="29" t="s">
        <v>5605</v>
      </c>
      <c r="C243" s="30" t="s">
        <v>135</v>
      </c>
      <c r="D243" s="31" t="s">
        <v>5606</v>
      </c>
      <c r="E243" s="51">
        <v>48.76</v>
      </c>
      <c r="F243" s="32" t="s">
        <v>14</v>
      </c>
      <c r="G243" s="32" t="s">
        <v>6997</v>
      </c>
      <c r="H243" s="12"/>
      <c r="I243" s="11">
        <f>Table1[[#This Row],[Qty]]*Table1[[#This Row],[Price]]</f>
        <v>0</v>
      </c>
    </row>
    <row r="244" spans="1:9" ht="13.5" customHeight="1" x14ac:dyDescent="0.25">
      <c r="A244" s="28">
        <v>85715004178</v>
      </c>
      <c r="B244" s="29" t="s">
        <v>859</v>
      </c>
      <c r="C244" s="30" t="s">
        <v>88</v>
      </c>
      <c r="D244" s="31" t="s">
        <v>860</v>
      </c>
      <c r="E244" s="51">
        <v>35.93</v>
      </c>
      <c r="F244" s="32" t="s">
        <v>14</v>
      </c>
      <c r="G244" s="32" t="s">
        <v>6019</v>
      </c>
      <c r="H244" s="22"/>
      <c r="I244" s="11">
        <f>Table1[[#This Row],[Qty]]*Table1[[#This Row],[Price]]</f>
        <v>0</v>
      </c>
    </row>
    <row r="245" spans="1:9" ht="13.5" customHeight="1" x14ac:dyDescent="0.25">
      <c r="A245" s="28">
        <v>85715950208</v>
      </c>
      <c r="B245" s="29" t="s">
        <v>901</v>
      </c>
      <c r="C245" s="30" t="s">
        <v>88</v>
      </c>
      <c r="D245" s="31" t="s">
        <v>902</v>
      </c>
      <c r="E245" s="51">
        <v>18.8</v>
      </c>
      <c r="F245" s="32" t="s">
        <v>14</v>
      </c>
      <c r="G245" s="32" t="s">
        <v>6038</v>
      </c>
      <c r="H245" s="14"/>
      <c r="I245" s="11">
        <f>Table1[[#This Row],[Qty]]*Table1[[#This Row],[Price]]</f>
        <v>0</v>
      </c>
    </row>
    <row r="246" spans="1:9" ht="13.5" customHeight="1" x14ac:dyDescent="0.25">
      <c r="A246" s="28">
        <v>22548237564</v>
      </c>
      <c r="B246" s="29" t="s">
        <v>2709</v>
      </c>
      <c r="C246" s="30" t="s">
        <v>88</v>
      </c>
      <c r="D246" s="31" t="s">
        <v>2710</v>
      </c>
      <c r="E246" s="51">
        <v>17.440000000000001</v>
      </c>
      <c r="F246" s="32" t="s">
        <v>14</v>
      </c>
      <c r="G246" s="32" t="s">
        <v>6582</v>
      </c>
      <c r="H246" s="22"/>
      <c r="I246" s="11">
        <f>Table1[[#This Row],[Qty]]*Table1[[#This Row],[Price]]</f>
        <v>0</v>
      </c>
    </row>
    <row r="247" spans="1:9" ht="13.5" customHeight="1" x14ac:dyDescent="0.25">
      <c r="A247" s="28">
        <v>85715950444</v>
      </c>
      <c r="B247" s="29" t="s">
        <v>3624</v>
      </c>
      <c r="C247" s="30" t="s">
        <v>88</v>
      </c>
      <c r="D247" s="31" t="s">
        <v>3625</v>
      </c>
      <c r="E247" s="51">
        <v>16.5</v>
      </c>
      <c r="F247" s="32" t="s">
        <v>14</v>
      </c>
      <c r="G247" s="32" t="s">
        <v>6937</v>
      </c>
      <c r="H247" s="14"/>
      <c r="I247" s="11">
        <f>Table1[[#This Row],[Qty]]*Table1[[#This Row],[Price]]</f>
        <v>0</v>
      </c>
    </row>
    <row r="248" spans="1:9" ht="13.5" customHeight="1" x14ac:dyDescent="0.25">
      <c r="A248" s="28">
        <v>3760060761880</v>
      </c>
      <c r="B248" s="29" t="s">
        <v>444</v>
      </c>
      <c r="C248" s="30" t="s">
        <v>445</v>
      </c>
      <c r="D248" s="31" t="s">
        <v>446</v>
      </c>
      <c r="E248" s="51">
        <v>23.01</v>
      </c>
      <c r="F248" s="32" t="s">
        <v>14</v>
      </c>
      <c r="G248" s="32" t="s">
        <v>5834</v>
      </c>
      <c r="H248" s="14"/>
      <c r="I248" s="11">
        <f>Table1[[#This Row],[Qty]]*Table1[[#This Row],[Price]]</f>
        <v>0</v>
      </c>
    </row>
    <row r="249" spans="1:9" ht="13.5" customHeight="1" x14ac:dyDescent="0.25">
      <c r="A249" s="48">
        <v>3760060764171</v>
      </c>
      <c r="B249" s="41" t="s">
        <v>863</v>
      </c>
      <c r="C249" s="6" t="s">
        <v>445</v>
      </c>
      <c r="D249" t="s">
        <v>864</v>
      </c>
      <c r="E249" s="47">
        <v>22.02</v>
      </c>
      <c r="F249" s="6" t="s">
        <v>14</v>
      </c>
      <c r="G249" s="6" t="s">
        <v>6021</v>
      </c>
      <c r="H249" s="22"/>
      <c r="I249" s="11">
        <f>Table1[[#This Row],[Qty]]*Table1[[#This Row],[Price]]</f>
        <v>0</v>
      </c>
    </row>
    <row r="250" spans="1:9" ht="13.5" customHeight="1" x14ac:dyDescent="0.25">
      <c r="A250" s="28">
        <v>3760060764164</v>
      </c>
      <c r="B250" s="29" t="s">
        <v>899</v>
      </c>
      <c r="C250" s="30" t="s">
        <v>445</v>
      </c>
      <c r="D250" s="31" t="s">
        <v>900</v>
      </c>
      <c r="E250" s="51">
        <v>20.8</v>
      </c>
      <c r="F250" s="32" t="s">
        <v>14</v>
      </c>
      <c r="G250" s="32" t="s">
        <v>6037</v>
      </c>
      <c r="H250" s="22"/>
      <c r="I250" s="11">
        <f>Table1[[#This Row],[Qty]]*Table1[[#This Row],[Price]]</f>
        <v>0</v>
      </c>
    </row>
    <row r="251" spans="1:9" ht="13.5" customHeight="1" x14ac:dyDescent="0.25">
      <c r="A251" s="28">
        <v>3760060769565</v>
      </c>
      <c r="B251" s="29" t="s">
        <v>2727</v>
      </c>
      <c r="C251" s="33" t="s">
        <v>445</v>
      </c>
      <c r="D251" s="31" t="s">
        <v>2728</v>
      </c>
      <c r="E251" s="51">
        <v>30.78</v>
      </c>
      <c r="F251" s="32" t="s">
        <v>14</v>
      </c>
      <c r="G251" s="32" t="s">
        <v>6590</v>
      </c>
      <c r="H251" s="22"/>
      <c r="I251" s="11">
        <f>Table1[[#This Row],[Qty]]*Table1[[#This Row],[Price]]</f>
        <v>0</v>
      </c>
    </row>
    <row r="252" spans="1:9" ht="13.5" customHeight="1" x14ac:dyDescent="0.25">
      <c r="A252" s="28">
        <v>7640233340196</v>
      </c>
      <c r="B252" s="29" t="s">
        <v>3385</v>
      </c>
      <c r="C252" s="30" t="s">
        <v>3386</v>
      </c>
      <c r="D252" s="31" t="s">
        <v>3387</v>
      </c>
      <c r="E252" s="51">
        <v>41.5</v>
      </c>
      <c r="F252" s="32" t="s">
        <v>14</v>
      </c>
      <c r="G252" s="32" t="s">
        <v>6820</v>
      </c>
      <c r="H252" s="12"/>
      <c r="I252" s="11">
        <f>Table1[[#This Row],[Qty]]*Table1[[#This Row],[Price]]</f>
        <v>0</v>
      </c>
    </row>
    <row r="253" spans="1:9" ht="13.5" customHeight="1" x14ac:dyDescent="0.25">
      <c r="A253" s="28">
        <v>199874687933</v>
      </c>
      <c r="B253" s="29" t="s">
        <v>3444</v>
      </c>
      <c r="C253" s="30" t="s">
        <v>3445</v>
      </c>
      <c r="D253" s="31" t="s">
        <v>3446</v>
      </c>
      <c r="E253" s="51">
        <v>115.3</v>
      </c>
      <c r="F253" s="32" t="s">
        <v>14</v>
      </c>
      <c r="G253" s="32" t="s">
        <v>6846</v>
      </c>
      <c r="H253" s="12"/>
      <c r="I253" s="11">
        <f>Table1[[#This Row],[Qty]]*Table1[[#This Row],[Price]]</f>
        <v>0</v>
      </c>
    </row>
    <row r="254" spans="1:9" ht="13.5" customHeight="1" x14ac:dyDescent="0.25">
      <c r="A254" s="28">
        <v>85805390600</v>
      </c>
      <c r="B254" s="29" t="s">
        <v>1819</v>
      </c>
      <c r="C254" s="30" t="s">
        <v>1567</v>
      </c>
      <c r="D254" s="31" t="s">
        <v>1820</v>
      </c>
      <c r="E254" s="51">
        <v>17.88</v>
      </c>
      <c r="F254" s="32" t="s">
        <v>14</v>
      </c>
      <c r="G254" s="32" t="s">
        <v>6307</v>
      </c>
      <c r="H254" s="22"/>
      <c r="I254" s="11">
        <f>Table1[[#This Row],[Qty]]*Table1[[#This Row],[Price]]</f>
        <v>0</v>
      </c>
    </row>
    <row r="255" spans="1:9" ht="13.5" customHeight="1" x14ac:dyDescent="0.25">
      <c r="A255" s="28">
        <v>6291108524893</v>
      </c>
      <c r="B255" s="29" t="s">
        <v>940</v>
      </c>
      <c r="C255" s="30" t="s">
        <v>834</v>
      </c>
      <c r="D255" s="31" t="s">
        <v>941</v>
      </c>
      <c r="E255" s="51">
        <v>14.46</v>
      </c>
      <c r="F255" s="32" t="s">
        <v>14</v>
      </c>
      <c r="G255" s="32" t="s">
        <v>6056</v>
      </c>
      <c r="H255" s="12"/>
      <c r="I255" s="11">
        <f>Table1[[#This Row],[Qty]]*Table1[[#This Row],[Price]]</f>
        <v>0</v>
      </c>
    </row>
    <row r="256" spans="1:9" ht="13.5" customHeight="1" x14ac:dyDescent="0.25">
      <c r="A256" s="28">
        <v>6294021902434</v>
      </c>
      <c r="B256" s="29" t="s">
        <v>1939</v>
      </c>
      <c r="C256" s="30" t="s">
        <v>834</v>
      </c>
      <c r="D256" s="31" t="s">
        <v>1940</v>
      </c>
      <c r="E256" s="51">
        <v>14.18</v>
      </c>
      <c r="F256" s="32" t="s">
        <v>14</v>
      </c>
      <c r="G256" s="32" t="s">
        <v>6340</v>
      </c>
      <c r="H256" s="12"/>
      <c r="I256" s="11">
        <f>Table1[[#This Row],[Qty]]*Table1[[#This Row],[Price]]</f>
        <v>0</v>
      </c>
    </row>
    <row r="257" spans="1:9" ht="13.5" customHeight="1" x14ac:dyDescent="0.25">
      <c r="A257" s="28">
        <v>6291108529317</v>
      </c>
      <c r="B257" s="29" t="s">
        <v>2312</v>
      </c>
      <c r="C257" s="30" t="s">
        <v>834</v>
      </c>
      <c r="D257" s="31" t="s">
        <v>2313</v>
      </c>
      <c r="E257" s="51">
        <v>15.43</v>
      </c>
      <c r="F257" s="32" t="s">
        <v>14</v>
      </c>
      <c r="G257" s="32" t="s">
        <v>6409</v>
      </c>
      <c r="H257" s="12"/>
      <c r="I257" s="11">
        <f>Table1[[#This Row],[Qty]]*Table1[[#This Row],[Price]]</f>
        <v>0</v>
      </c>
    </row>
    <row r="258" spans="1:9" ht="13.5" customHeight="1" x14ac:dyDescent="0.25">
      <c r="A258" s="28">
        <v>6294021908153</v>
      </c>
      <c r="B258" s="29" t="s">
        <v>2649</v>
      </c>
      <c r="C258" s="30" t="s">
        <v>834</v>
      </c>
      <c r="D258" s="31" t="s">
        <v>2650</v>
      </c>
      <c r="E258" s="51">
        <v>14.8</v>
      </c>
      <c r="F258" s="32" t="s">
        <v>14</v>
      </c>
      <c r="G258" s="32" t="s">
        <v>6556</v>
      </c>
      <c r="H258" s="12"/>
      <c r="I258" s="11">
        <f>Table1[[#This Row],[Qty]]*Table1[[#This Row],[Price]]</f>
        <v>0</v>
      </c>
    </row>
    <row r="259" spans="1:9" ht="13.5" customHeight="1" x14ac:dyDescent="0.25">
      <c r="A259" s="28">
        <v>6294021902496</v>
      </c>
      <c r="B259" s="29" t="s">
        <v>3130</v>
      </c>
      <c r="C259" s="33" t="s">
        <v>834</v>
      </c>
      <c r="D259" s="31" t="s">
        <v>3131</v>
      </c>
      <c r="E259" s="51">
        <v>17.46</v>
      </c>
      <c r="F259" s="32" t="s">
        <v>14</v>
      </c>
      <c r="G259" s="32" t="s">
        <v>6709</v>
      </c>
      <c r="H259" s="22"/>
      <c r="I259" s="11">
        <f>Table1[[#This Row],[Qty]]*Table1[[#This Row],[Price]]</f>
        <v>0</v>
      </c>
    </row>
    <row r="260" spans="1:9" ht="13.5" customHeight="1" x14ac:dyDescent="0.25">
      <c r="A260" s="28">
        <v>6294021904841</v>
      </c>
      <c r="B260" s="29" t="s">
        <v>3367</v>
      </c>
      <c r="C260" s="30" t="s">
        <v>834</v>
      </c>
      <c r="D260" s="31" t="s">
        <v>3368</v>
      </c>
      <c r="E260" s="51">
        <v>15</v>
      </c>
      <c r="F260" s="32" t="s">
        <v>14</v>
      </c>
      <c r="G260" s="32" t="s">
        <v>6813</v>
      </c>
      <c r="H260" s="12"/>
      <c r="I260" s="11">
        <f>Table1[[#This Row],[Qty]]*Table1[[#This Row],[Price]]</f>
        <v>0</v>
      </c>
    </row>
    <row r="261" spans="1:9" ht="13.5" customHeight="1" x14ac:dyDescent="0.25">
      <c r="A261" s="48">
        <v>6294021904858</v>
      </c>
      <c r="B261" s="41" t="s">
        <v>3369</v>
      </c>
      <c r="C261" s="6" t="s">
        <v>834</v>
      </c>
      <c r="D261" t="s">
        <v>3370</v>
      </c>
      <c r="E261" s="47">
        <v>15</v>
      </c>
      <c r="F261" s="6" t="s">
        <v>14</v>
      </c>
      <c r="G261" s="6" t="s">
        <v>6814</v>
      </c>
      <c r="H261" s="22"/>
      <c r="I261" s="11">
        <f>Table1[[#This Row],[Qty]]*Table1[[#This Row],[Price]]</f>
        <v>0</v>
      </c>
    </row>
    <row r="262" spans="1:9" ht="13.5" customHeight="1" x14ac:dyDescent="0.25">
      <c r="A262" s="28">
        <v>6294021902427</v>
      </c>
      <c r="B262" s="29" t="s">
        <v>3484</v>
      </c>
      <c r="C262" s="30" t="s">
        <v>834</v>
      </c>
      <c r="D262" s="31" t="s">
        <v>3485</v>
      </c>
      <c r="E262" s="51">
        <v>14.02</v>
      </c>
      <c r="F262" s="32" t="s">
        <v>14</v>
      </c>
      <c r="G262" s="32" t="s">
        <v>6864</v>
      </c>
      <c r="H262" s="22"/>
      <c r="I262" s="11">
        <f>Table1[[#This Row],[Qty]]*Table1[[#This Row],[Price]]</f>
        <v>0</v>
      </c>
    </row>
    <row r="263" spans="1:9" ht="13.5" customHeight="1" x14ac:dyDescent="0.25">
      <c r="A263" s="28">
        <v>6294021908962</v>
      </c>
      <c r="B263" s="29" t="s">
        <v>3610</v>
      </c>
      <c r="C263" s="30" t="s">
        <v>834</v>
      </c>
      <c r="D263" s="31" t="s">
        <v>3611</v>
      </c>
      <c r="E263" s="51">
        <v>14.86</v>
      </c>
      <c r="F263" s="32" t="s">
        <v>14</v>
      </c>
      <c r="G263" s="32" t="s">
        <v>6930</v>
      </c>
      <c r="H263" s="22"/>
      <c r="I263" s="11">
        <f>Table1[[#This Row],[Qty]]*Table1[[#This Row],[Price]]</f>
        <v>0</v>
      </c>
    </row>
    <row r="264" spans="1:9" ht="13.5" customHeight="1" x14ac:dyDescent="0.25">
      <c r="A264" s="28">
        <v>6294021908986</v>
      </c>
      <c r="B264" s="29" t="s">
        <v>3612</v>
      </c>
      <c r="C264" s="30" t="s">
        <v>834</v>
      </c>
      <c r="D264" s="31" t="s">
        <v>3613</v>
      </c>
      <c r="E264" s="51">
        <v>14.86</v>
      </c>
      <c r="F264" s="32" t="s">
        <v>14</v>
      </c>
      <c r="G264" s="32" t="s">
        <v>6931</v>
      </c>
      <c r="H264" s="12"/>
      <c r="I264" s="11">
        <f>Table1[[#This Row],[Qty]]*Table1[[#This Row],[Price]]</f>
        <v>0</v>
      </c>
    </row>
    <row r="265" spans="1:9" ht="13.5" customHeight="1" x14ac:dyDescent="0.25">
      <c r="A265" s="28">
        <v>6294021908948</v>
      </c>
      <c r="B265" s="29" t="s">
        <v>3614</v>
      </c>
      <c r="C265" s="30" t="s">
        <v>834</v>
      </c>
      <c r="D265" s="31" t="s">
        <v>3615</v>
      </c>
      <c r="E265" s="51">
        <v>14.86</v>
      </c>
      <c r="F265" s="32" t="s">
        <v>14</v>
      </c>
      <c r="G265" s="32" t="s">
        <v>6932</v>
      </c>
      <c r="H265" s="22"/>
      <c r="I265" s="11">
        <f>Table1[[#This Row],[Qty]]*Table1[[#This Row],[Price]]</f>
        <v>0</v>
      </c>
    </row>
    <row r="266" spans="1:9" ht="13.5" customHeight="1" x14ac:dyDescent="0.25">
      <c r="A266" s="28">
        <v>6294021908955</v>
      </c>
      <c r="B266" s="29" t="s">
        <v>3616</v>
      </c>
      <c r="C266" s="30" t="s">
        <v>834</v>
      </c>
      <c r="D266" s="31" t="s">
        <v>3617</v>
      </c>
      <c r="E266" s="51">
        <v>16.760000000000002</v>
      </c>
      <c r="F266" s="32" t="s">
        <v>14</v>
      </c>
      <c r="G266" s="32" t="s">
        <v>6933</v>
      </c>
      <c r="H266" s="22"/>
      <c r="I266" s="11">
        <f>Table1[[#This Row],[Qty]]*Table1[[#This Row],[Price]]</f>
        <v>0</v>
      </c>
    </row>
    <row r="267" spans="1:9" ht="13.5" customHeight="1" x14ac:dyDescent="0.25">
      <c r="A267" s="28">
        <v>6294021908979</v>
      </c>
      <c r="B267" s="29" t="s">
        <v>3618</v>
      </c>
      <c r="C267" s="33" t="s">
        <v>834</v>
      </c>
      <c r="D267" s="31" t="s">
        <v>3619</v>
      </c>
      <c r="E267" s="51">
        <v>16.760000000000002</v>
      </c>
      <c r="F267" s="32" t="s">
        <v>14</v>
      </c>
      <c r="G267" s="32" t="s">
        <v>6934</v>
      </c>
      <c r="H267" s="22"/>
      <c r="I267" s="11">
        <f>Table1[[#This Row],[Qty]]*Table1[[#This Row],[Price]]</f>
        <v>0</v>
      </c>
    </row>
    <row r="268" spans="1:9" ht="13.5" customHeight="1" x14ac:dyDescent="0.25">
      <c r="A268" s="28">
        <v>6294021908993</v>
      </c>
      <c r="B268" s="29" t="s">
        <v>3620</v>
      </c>
      <c r="C268" s="30" t="s">
        <v>834</v>
      </c>
      <c r="D268" s="31" t="s">
        <v>3621</v>
      </c>
      <c r="E268" s="51">
        <v>16.760000000000002</v>
      </c>
      <c r="F268" s="32" t="s">
        <v>14</v>
      </c>
      <c r="G268" s="32" t="s">
        <v>6935</v>
      </c>
      <c r="H268" s="22"/>
      <c r="I268" s="11">
        <f>Table1[[#This Row],[Qty]]*Table1[[#This Row],[Price]]</f>
        <v>0</v>
      </c>
    </row>
    <row r="269" spans="1:9" ht="13.5" customHeight="1" x14ac:dyDescent="0.25">
      <c r="A269" s="28">
        <v>6290360370187</v>
      </c>
      <c r="B269" s="29" t="s">
        <v>543</v>
      </c>
      <c r="C269" s="30" t="s">
        <v>544</v>
      </c>
      <c r="D269" s="31" t="s">
        <v>545</v>
      </c>
      <c r="E269" s="51">
        <v>19</v>
      </c>
      <c r="F269" s="32" t="s">
        <v>14</v>
      </c>
      <c r="G269" s="32" t="s">
        <v>5879</v>
      </c>
      <c r="H269" s="22"/>
      <c r="I269" s="11">
        <f>Table1[[#This Row],[Qty]]*Table1[[#This Row],[Price]]</f>
        <v>0</v>
      </c>
    </row>
    <row r="270" spans="1:9" ht="13.5" customHeight="1" x14ac:dyDescent="0.25">
      <c r="A270" s="28">
        <v>6290360375694</v>
      </c>
      <c r="B270" s="29" t="s">
        <v>569</v>
      </c>
      <c r="C270" s="33" t="s">
        <v>544</v>
      </c>
      <c r="D270" s="31" t="s">
        <v>570</v>
      </c>
      <c r="E270" s="51">
        <v>28.15</v>
      </c>
      <c r="F270" s="32" t="s">
        <v>14</v>
      </c>
      <c r="G270" s="32" t="s">
        <v>5889</v>
      </c>
      <c r="H270" s="22"/>
      <c r="I270" s="11">
        <f>Table1[[#This Row],[Qty]]*Table1[[#This Row],[Price]]</f>
        <v>0</v>
      </c>
    </row>
    <row r="271" spans="1:9" ht="13.5" customHeight="1" x14ac:dyDescent="0.25">
      <c r="A271" s="28">
        <v>6291106488203</v>
      </c>
      <c r="B271" s="29" t="s">
        <v>1140</v>
      </c>
      <c r="C271" s="30" t="s">
        <v>544</v>
      </c>
      <c r="D271" s="31" t="s">
        <v>1141</v>
      </c>
      <c r="E271" s="51">
        <v>14.5</v>
      </c>
      <c r="F271" s="32" t="s">
        <v>14</v>
      </c>
      <c r="G271" s="32" t="s">
        <v>6144</v>
      </c>
      <c r="H271" s="12"/>
      <c r="I271" s="11">
        <f>Table1[[#This Row],[Qty]]*Table1[[#This Row],[Price]]</f>
        <v>0</v>
      </c>
    </row>
    <row r="272" spans="1:9" ht="13.5" customHeight="1" x14ac:dyDescent="0.25">
      <c r="A272" s="28">
        <v>6290360376608</v>
      </c>
      <c r="B272" s="29" t="s">
        <v>2346</v>
      </c>
      <c r="C272" s="30" t="s">
        <v>544</v>
      </c>
      <c r="D272" s="31" t="s">
        <v>2347</v>
      </c>
      <c r="E272" s="51">
        <v>26.5</v>
      </c>
      <c r="F272" s="32" t="s">
        <v>14</v>
      </c>
      <c r="G272" s="32" t="s">
        <v>6421</v>
      </c>
      <c r="H272" s="12"/>
      <c r="I272" s="11">
        <f>Table1[[#This Row],[Qty]]*Table1[[#This Row],[Price]]</f>
        <v>0</v>
      </c>
    </row>
    <row r="273" spans="1:9" ht="13.5" customHeight="1" x14ac:dyDescent="0.25">
      <c r="A273" s="28">
        <v>6298042000926</v>
      </c>
      <c r="B273" s="29" t="s">
        <v>2446</v>
      </c>
      <c r="C273" s="30" t="s">
        <v>544</v>
      </c>
      <c r="D273" s="31" t="s">
        <v>2447</v>
      </c>
      <c r="E273" s="51">
        <v>25.31</v>
      </c>
      <c r="F273" s="32" t="s">
        <v>14</v>
      </c>
      <c r="G273" s="32" t="s">
        <v>6465</v>
      </c>
      <c r="H273" s="12"/>
      <c r="I273" s="11">
        <f>Table1[[#This Row],[Qty]]*Table1[[#This Row],[Price]]</f>
        <v>0</v>
      </c>
    </row>
    <row r="274" spans="1:9" ht="13.5" customHeight="1" x14ac:dyDescent="0.25">
      <c r="A274" s="28">
        <v>6290360378053</v>
      </c>
      <c r="B274" s="29" t="s">
        <v>2448</v>
      </c>
      <c r="C274" s="30" t="s">
        <v>544</v>
      </c>
      <c r="D274" s="31" t="s">
        <v>2449</v>
      </c>
      <c r="E274" s="51">
        <v>27.75</v>
      </c>
      <c r="F274" s="32" t="s">
        <v>14</v>
      </c>
      <c r="G274" s="32" t="s">
        <v>6466</v>
      </c>
      <c r="H274" s="22"/>
      <c r="I274" s="11">
        <f>Table1[[#This Row],[Qty]]*Table1[[#This Row],[Price]]</f>
        <v>0</v>
      </c>
    </row>
    <row r="275" spans="1:9" ht="13.5" customHeight="1" x14ac:dyDescent="0.25">
      <c r="A275" s="28">
        <v>6290360378060</v>
      </c>
      <c r="B275" s="29" t="s">
        <v>3315</v>
      </c>
      <c r="C275" s="30" t="s">
        <v>544</v>
      </c>
      <c r="D275" s="31" t="s">
        <v>3316</v>
      </c>
      <c r="E275" s="51">
        <v>25.7</v>
      </c>
      <c r="F275" s="32" t="s">
        <v>14</v>
      </c>
      <c r="G275" s="32" t="s">
        <v>6787</v>
      </c>
      <c r="H275" s="22"/>
      <c r="I275" s="11">
        <f>Table1[[#This Row],[Qty]]*Table1[[#This Row],[Price]]</f>
        <v>0</v>
      </c>
    </row>
    <row r="276" spans="1:9" ht="13.5" customHeight="1" x14ac:dyDescent="0.25">
      <c r="A276" s="28">
        <v>6290360376707</v>
      </c>
      <c r="B276" s="29" t="s">
        <v>7015</v>
      </c>
      <c r="C276" s="30" t="s">
        <v>544</v>
      </c>
      <c r="D276" s="31" t="s">
        <v>7016</v>
      </c>
      <c r="E276" s="51">
        <v>21.5</v>
      </c>
      <c r="F276" s="32" t="s">
        <v>14</v>
      </c>
      <c r="G276" s="32" t="s">
        <v>7017</v>
      </c>
      <c r="H276" s="12"/>
      <c r="I276" s="11">
        <f>Table1[[#This Row],[Qty]]*Table1[[#This Row],[Price]]</f>
        <v>0</v>
      </c>
    </row>
    <row r="277" spans="1:9" ht="13.5" customHeight="1" x14ac:dyDescent="0.25">
      <c r="A277" s="28">
        <v>6290360379647</v>
      </c>
      <c r="B277" s="29" t="s">
        <v>3319</v>
      </c>
      <c r="C277" s="30" t="s">
        <v>3320</v>
      </c>
      <c r="D277" s="31" t="s">
        <v>3321</v>
      </c>
      <c r="E277" s="51">
        <v>25.5</v>
      </c>
      <c r="F277" s="32" t="s">
        <v>14</v>
      </c>
      <c r="G277" s="32" t="s">
        <v>6789</v>
      </c>
      <c r="H277" s="12"/>
      <c r="I277" s="11">
        <f>Table1[[#This Row],[Qty]]*Table1[[#This Row],[Price]]</f>
        <v>0</v>
      </c>
    </row>
    <row r="278" spans="1:9" ht="13.5" customHeight="1" x14ac:dyDescent="0.25">
      <c r="A278" s="28">
        <v>6290360375809</v>
      </c>
      <c r="B278" s="29" t="s">
        <v>3322</v>
      </c>
      <c r="C278" s="30" t="s">
        <v>3320</v>
      </c>
      <c r="D278" s="31" t="s">
        <v>3323</v>
      </c>
      <c r="E278" s="51">
        <v>22.5</v>
      </c>
      <c r="F278" s="32" t="s">
        <v>14</v>
      </c>
      <c r="G278" s="32" t="s">
        <v>6790</v>
      </c>
      <c r="H278" s="22"/>
      <c r="I278" s="11">
        <f>Table1[[#This Row],[Qty]]*Table1[[#This Row],[Price]]</f>
        <v>0</v>
      </c>
    </row>
    <row r="279" spans="1:9" ht="13.5" customHeight="1" x14ac:dyDescent="0.25">
      <c r="A279" s="28">
        <v>6290360375816</v>
      </c>
      <c r="B279" s="29" t="s">
        <v>3335</v>
      </c>
      <c r="C279" s="33" t="s">
        <v>3320</v>
      </c>
      <c r="D279" s="31" t="s">
        <v>3336</v>
      </c>
      <c r="E279" s="51">
        <v>25.5</v>
      </c>
      <c r="F279" s="32" t="s">
        <v>14</v>
      </c>
      <c r="G279" s="32" t="s">
        <v>6797</v>
      </c>
      <c r="H279" s="22"/>
      <c r="I279" s="11">
        <f>Table1[[#This Row],[Qty]]*Table1[[#This Row],[Price]]</f>
        <v>0</v>
      </c>
    </row>
    <row r="280" spans="1:9" ht="13.5" customHeight="1" x14ac:dyDescent="0.25">
      <c r="A280" s="28">
        <v>6290360378411</v>
      </c>
      <c r="B280" s="29" t="s">
        <v>3337</v>
      </c>
      <c r="C280" s="30" t="s">
        <v>3320</v>
      </c>
      <c r="D280" s="31" t="s">
        <v>3338</v>
      </c>
      <c r="E280" s="51">
        <v>21.5</v>
      </c>
      <c r="F280" s="32" t="s">
        <v>14</v>
      </c>
      <c r="G280" s="32" t="s">
        <v>6798</v>
      </c>
      <c r="H280" s="22"/>
      <c r="I280" s="11">
        <f>Table1[[#This Row],[Qty]]*Table1[[#This Row],[Price]]</f>
        <v>0</v>
      </c>
    </row>
    <row r="281" spans="1:9" ht="13.5" customHeight="1" x14ac:dyDescent="0.25">
      <c r="A281" s="28">
        <v>6298042000414</v>
      </c>
      <c r="B281" s="29" t="s">
        <v>3341</v>
      </c>
      <c r="C281" s="33" t="s">
        <v>3320</v>
      </c>
      <c r="D281" s="31" t="s">
        <v>3342</v>
      </c>
      <c r="E281" s="51">
        <v>21.5</v>
      </c>
      <c r="F281" s="32" t="s">
        <v>14</v>
      </c>
      <c r="G281" s="32" t="s">
        <v>6800</v>
      </c>
      <c r="H281" s="22"/>
      <c r="I281" s="11">
        <f>Table1[[#This Row],[Qty]]*Table1[[#This Row],[Price]]</f>
        <v>0</v>
      </c>
    </row>
    <row r="282" spans="1:9" ht="13.5" customHeight="1" x14ac:dyDescent="0.25">
      <c r="A282" s="28">
        <v>6290360375687</v>
      </c>
      <c r="B282" s="29" t="s">
        <v>3343</v>
      </c>
      <c r="C282" s="30" t="s">
        <v>3320</v>
      </c>
      <c r="D282" s="31" t="s">
        <v>3344</v>
      </c>
      <c r="E282" s="51">
        <v>20.27</v>
      </c>
      <c r="F282" s="32" t="s">
        <v>14</v>
      </c>
      <c r="G282" s="32" t="s">
        <v>6801</v>
      </c>
      <c r="H282" s="22"/>
      <c r="I282" s="11">
        <f>Table1[[#This Row],[Qty]]*Table1[[#This Row],[Price]]</f>
        <v>0</v>
      </c>
    </row>
    <row r="283" spans="1:9" ht="13.5" customHeight="1" x14ac:dyDescent="0.25">
      <c r="A283" s="28">
        <v>6298042000933</v>
      </c>
      <c r="B283" s="29" t="s">
        <v>3347</v>
      </c>
      <c r="C283" s="30" t="s">
        <v>3320</v>
      </c>
      <c r="D283" s="31" t="s">
        <v>3348</v>
      </c>
      <c r="E283" s="51">
        <v>27.97</v>
      </c>
      <c r="F283" s="32" t="s">
        <v>14</v>
      </c>
      <c r="G283" s="32" t="s">
        <v>6803</v>
      </c>
      <c r="H283" s="13"/>
      <c r="I283" s="11">
        <f>Table1[[#This Row],[Qty]]*Table1[[#This Row],[Price]]</f>
        <v>0</v>
      </c>
    </row>
    <row r="284" spans="1:9" ht="13.5" customHeight="1" x14ac:dyDescent="0.25">
      <c r="A284" s="28">
        <v>6290360377919</v>
      </c>
      <c r="B284" s="29" t="s">
        <v>3351</v>
      </c>
      <c r="C284" s="30" t="s">
        <v>3320</v>
      </c>
      <c r="D284" s="31" t="s">
        <v>3352</v>
      </c>
      <c r="E284" s="51">
        <v>28.5</v>
      </c>
      <c r="F284" s="32" t="s">
        <v>14</v>
      </c>
      <c r="G284" s="32" t="s">
        <v>6805</v>
      </c>
      <c r="H284" s="22"/>
      <c r="I284" s="11">
        <f>Table1[[#This Row],[Qty]]*Table1[[#This Row],[Price]]</f>
        <v>0</v>
      </c>
    </row>
    <row r="285" spans="1:9" ht="13.5" customHeight="1" x14ac:dyDescent="0.25">
      <c r="A285" s="28">
        <v>6290360378428</v>
      </c>
      <c r="B285" s="29" t="s">
        <v>3353</v>
      </c>
      <c r="C285" s="30" t="s">
        <v>3320</v>
      </c>
      <c r="D285" s="31" t="s">
        <v>3354</v>
      </c>
      <c r="E285" s="51">
        <v>22.45</v>
      </c>
      <c r="F285" s="32" t="s">
        <v>14</v>
      </c>
      <c r="G285" s="32" t="s">
        <v>6806</v>
      </c>
      <c r="H285" s="22"/>
      <c r="I285" s="11">
        <f>Table1[[#This Row],[Qty]]*Table1[[#This Row],[Price]]</f>
        <v>0</v>
      </c>
    </row>
    <row r="286" spans="1:9" ht="13.5" customHeight="1" x14ac:dyDescent="0.25">
      <c r="A286" s="28">
        <v>6290360375601</v>
      </c>
      <c r="B286" s="29" t="s">
        <v>3355</v>
      </c>
      <c r="C286" s="30" t="s">
        <v>3320</v>
      </c>
      <c r="D286" s="31" t="s">
        <v>3356</v>
      </c>
      <c r="E286" s="51">
        <v>21.41</v>
      </c>
      <c r="F286" s="32" t="s">
        <v>14</v>
      </c>
      <c r="G286" s="32" t="s">
        <v>6807</v>
      </c>
      <c r="H286" s="12"/>
      <c r="I286" s="11">
        <f>Table1[[#This Row],[Qty]]*Table1[[#This Row],[Price]]</f>
        <v>0</v>
      </c>
    </row>
    <row r="287" spans="1:9" ht="13.5" customHeight="1" x14ac:dyDescent="0.25">
      <c r="A287" s="28">
        <v>6290360375793</v>
      </c>
      <c r="B287" s="29" t="s">
        <v>3357</v>
      </c>
      <c r="C287" s="30" t="s">
        <v>3320</v>
      </c>
      <c r="D287" s="31" t="s">
        <v>3358</v>
      </c>
      <c r="E287" s="51">
        <v>27</v>
      </c>
      <c r="F287" s="32" t="s">
        <v>14</v>
      </c>
      <c r="G287" s="32" t="s">
        <v>6808</v>
      </c>
      <c r="H287" s="22"/>
      <c r="I287" s="11">
        <f>Table1[[#This Row],[Qty]]*Table1[[#This Row],[Price]]</f>
        <v>0</v>
      </c>
    </row>
    <row r="288" spans="1:9" ht="13.5" customHeight="1" x14ac:dyDescent="0.25">
      <c r="A288" s="28">
        <v>6298042001831</v>
      </c>
      <c r="B288" s="29" t="s">
        <v>3413</v>
      </c>
      <c r="C288" s="30" t="s">
        <v>3320</v>
      </c>
      <c r="D288" s="31" t="s">
        <v>3414</v>
      </c>
      <c r="E288" s="51">
        <v>38.1</v>
      </c>
      <c r="F288" s="32" t="s">
        <v>14</v>
      </c>
      <c r="G288" s="32" t="s">
        <v>6833</v>
      </c>
      <c r="H288" s="22"/>
      <c r="I288" s="11">
        <f>Table1[[#This Row],[Qty]]*Table1[[#This Row],[Price]]</f>
        <v>0</v>
      </c>
    </row>
    <row r="289" spans="1:9" ht="13.5" customHeight="1" x14ac:dyDescent="0.25">
      <c r="A289" s="28">
        <v>6290360376592</v>
      </c>
      <c r="B289" s="29" t="s">
        <v>3415</v>
      </c>
      <c r="C289" s="30" t="s">
        <v>3320</v>
      </c>
      <c r="D289" s="31" t="s">
        <v>3416</v>
      </c>
      <c r="E289" s="51">
        <v>33.18</v>
      </c>
      <c r="F289" s="32" t="s">
        <v>14</v>
      </c>
      <c r="G289" s="32" t="s">
        <v>6834</v>
      </c>
      <c r="H289" s="13"/>
      <c r="I289" s="11">
        <f>Table1[[#This Row],[Qty]]*Table1[[#This Row],[Price]]</f>
        <v>0</v>
      </c>
    </row>
    <row r="290" spans="1:9" ht="13.5" customHeight="1" x14ac:dyDescent="0.25">
      <c r="A290" s="28">
        <v>6298042000735</v>
      </c>
      <c r="B290" s="29" t="s">
        <v>3429</v>
      </c>
      <c r="C290" s="30" t="s">
        <v>3320</v>
      </c>
      <c r="D290" s="31" t="s">
        <v>3430</v>
      </c>
      <c r="E290" s="51">
        <v>46.63</v>
      </c>
      <c r="F290" s="32" t="s">
        <v>14</v>
      </c>
      <c r="G290" s="32" t="s">
        <v>6840</v>
      </c>
      <c r="H290" s="22"/>
      <c r="I290" s="11">
        <f>Table1[[#This Row],[Qty]]*Table1[[#This Row],[Price]]</f>
        <v>0</v>
      </c>
    </row>
    <row r="291" spans="1:9" ht="13.5" customHeight="1" x14ac:dyDescent="0.25">
      <c r="A291" s="28">
        <v>6290360379203</v>
      </c>
      <c r="B291" s="29" t="s">
        <v>3431</v>
      </c>
      <c r="C291" s="30" t="s">
        <v>3320</v>
      </c>
      <c r="D291" s="31" t="s">
        <v>3432</v>
      </c>
      <c r="E291" s="51">
        <v>34.42</v>
      </c>
      <c r="F291" s="32" t="s">
        <v>14</v>
      </c>
      <c r="G291" s="32" t="s">
        <v>6841</v>
      </c>
      <c r="H291" s="22"/>
      <c r="I291" s="11">
        <f>Table1[[#This Row],[Qty]]*Table1[[#This Row],[Price]]</f>
        <v>0</v>
      </c>
    </row>
    <row r="292" spans="1:9" ht="13.5" customHeight="1" x14ac:dyDescent="0.25">
      <c r="A292" s="28">
        <v>6290360377902</v>
      </c>
      <c r="B292" s="29" t="s">
        <v>3478</v>
      </c>
      <c r="C292" s="30" t="s">
        <v>3320</v>
      </c>
      <c r="D292" s="31" t="s">
        <v>3479</v>
      </c>
      <c r="E292" s="51">
        <v>32.5</v>
      </c>
      <c r="F292" s="32" t="s">
        <v>14</v>
      </c>
      <c r="G292" s="32" t="s">
        <v>6861</v>
      </c>
      <c r="H292" s="22"/>
      <c r="I292" s="11">
        <f>Table1[[#This Row],[Qty]]*Table1[[#This Row],[Price]]</f>
        <v>0</v>
      </c>
    </row>
    <row r="293" spans="1:9" ht="13.5" customHeight="1" x14ac:dyDescent="0.25">
      <c r="A293" s="28">
        <v>6290360379326</v>
      </c>
      <c r="B293" s="29" t="s">
        <v>3554</v>
      </c>
      <c r="C293" s="30" t="s">
        <v>3320</v>
      </c>
      <c r="D293" s="31" t="s">
        <v>3555</v>
      </c>
      <c r="E293" s="51">
        <v>34.75</v>
      </c>
      <c r="F293" s="32" t="s">
        <v>14</v>
      </c>
      <c r="G293" s="32" t="s">
        <v>6904</v>
      </c>
      <c r="H293" s="14"/>
      <c r="I293" s="11">
        <f>Table1[[#This Row],[Qty]]*Table1[[#This Row],[Price]]</f>
        <v>0</v>
      </c>
    </row>
    <row r="294" spans="1:9" ht="13.5" customHeight="1" x14ac:dyDescent="0.25">
      <c r="A294" s="28">
        <v>6290360379227</v>
      </c>
      <c r="B294" s="29" t="s">
        <v>3560</v>
      </c>
      <c r="C294" s="30" t="s">
        <v>3320</v>
      </c>
      <c r="D294" s="31" t="s">
        <v>3561</v>
      </c>
      <c r="E294" s="51">
        <v>34.75</v>
      </c>
      <c r="F294" s="32" t="s">
        <v>14</v>
      </c>
      <c r="G294" s="32" t="s">
        <v>6907</v>
      </c>
      <c r="H294" s="12"/>
      <c r="I294" s="11">
        <f>Table1[[#This Row],[Qty]]*Table1[[#This Row],[Price]]</f>
        <v>0</v>
      </c>
    </row>
    <row r="295" spans="1:9" ht="13.5" customHeight="1" x14ac:dyDescent="0.25">
      <c r="A295" s="28">
        <v>6298042000957</v>
      </c>
      <c r="B295" s="29" t="s">
        <v>3626</v>
      </c>
      <c r="C295" s="30" t="s">
        <v>3320</v>
      </c>
      <c r="D295" s="31" t="s">
        <v>3627</v>
      </c>
      <c r="E295" s="51">
        <v>30.25</v>
      </c>
      <c r="F295" s="32" t="s">
        <v>14</v>
      </c>
      <c r="G295" s="32" t="s">
        <v>6938</v>
      </c>
      <c r="H295" s="12"/>
      <c r="I295" s="11">
        <f>Table1[[#This Row],[Qty]]*Table1[[#This Row],[Price]]</f>
        <v>0</v>
      </c>
    </row>
    <row r="296" spans="1:9" ht="13.5" customHeight="1" x14ac:dyDescent="0.25">
      <c r="A296" s="28">
        <v>6290360379197</v>
      </c>
      <c r="B296" s="29" t="s">
        <v>5534</v>
      </c>
      <c r="C296" s="30" t="s">
        <v>3320</v>
      </c>
      <c r="D296" s="31" t="s">
        <v>5535</v>
      </c>
      <c r="E296" s="51">
        <v>21.5</v>
      </c>
      <c r="F296" s="32" t="s">
        <v>14</v>
      </c>
      <c r="G296" s="32" t="s">
        <v>7469</v>
      </c>
      <c r="H296" s="22"/>
      <c r="I296" s="11">
        <f>Table1[[#This Row],[Qty]]*Table1[[#This Row],[Price]]</f>
        <v>0</v>
      </c>
    </row>
    <row r="297" spans="1:9" ht="13.5" customHeight="1" x14ac:dyDescent="0.25">
      <c r="A297" s="28">
        <v>6290360376714</v>
      </c>
      <c r="B297" s="29" t="s">
        <v>7009</v>
      </c>
      <c r="C297" s="30" t="s">
        <v>3320</v>
      </c>
      <c r="D297" s="31" t="s">
        <v>7010</v>
      </c>
      <c r="E297" s="51">
        <v>28.5</v>
      </c>
      <c r="F297" s="32" t="s">
        <v>14</v>
      </c>
      <c r="G297" s="32" t="s">
        <v>7011</v>
      </c>
      <c r="H297" s="22"/>
      <c r="I297" s="11">
        <f>Table1[[#This Row],[Qty]]*Table1[[#This Row],[Price]]</f>
        <v>0</v>
      </c>
    </row>
    <row r="298" spans="1:9" ht="13.5" customHeight="1" x14ac:dyDescent="0.25">
      <c r="A298" s="28">
        <v>6290360378091</v>
      </c>
      <c r="B298" s="29" t="s">
        <v>7012</v>
      </c>
      <c r="C298" s="30" t="s">
        <v>3320</v>
      </c>
      <c r="D298" s="31" t="s">
        <v>7013</v>
      </c>
      <c r="E298" s="51">
        <v>23.5</v>
      </c>
      <c r="F298" s="32" t="s">
        <v>14</v>
      </c>
      <c r="G298" s="32" t="s">
        <v>7014</v>
      </c>
      <c r="H298" s="12"/>
      <c r="I298" s="11">
        <f>Table1[[#This Row],[Qty]]*Table1[[#This Row],[Price]]</f>
        <v>0</v>
      </c>
    </row>
    <row r="299" spans="1:9" ht="13.5" customHeight="1" x14ac:dyDescent="0.25">
      <c r="A299" s="28">
        <v>6290360377988</v>
      </c>
      <c r="B299" s="29" t="s">
        <v>7540</v>
      </c>
      <c r="C299" s="30" t="s">
        <v>3320</v>
      </c>
      <c r="D299" s="31" t="s">
        <v>7541</v>
      </c>
      <c r="E299" s="51">
        <v>23.5</v>
      </c>
      <c r="F299" s="32" t="s">
        <v>14</v>
      </c>
      <c r="G299" s="32">
        <v>0</v>
      </c>
      <c r="H299" s="12"/>
      <c r="I299" s="11">
        <f>Table1[[#This Row],[Qty]]*Table1[[#This Row],[Price]]</f>
        <v>0</v>
      </c>
    </row>
    <row r="300" spans="1:9" ht="13.5" customHeight="1" x14ac:dyDescent="0.25">
      <c r="A300" s="28">
        <v>3605522040588</v>
      </c>
      <c r="B300" s="29" t="s">
        <v>1080</v>
      </c>
      <c r="C300" s="33" t="s">
        <v>199</v>
      </c>
      <c r="D300" s="31" t="s">
        <v>1081</v>
      </c>
      <c r="E300" s="51">
        <v>60.37</v>
      </c>
      <c r="F300" s="32" t="s">
        <v>14</v>
      </c>
      <c r="G300" s="32" t="s">
        <v>6119</v>
      </c>
      <c r="H300" s="22"/>
      <c r="I300" s="11">
        <f>Table1[[#This Row],[Qty]]*Table1[[#This Row],[Price]]</f>
        <v>0</v>
      </c>
    </row>
    <row r="301" spans="1:9" ht="13.5" customHeight="1" x14ac:dyDescent="0.25">
      <c r="A301" s="28">
        <v>3614273636513</v>
      </c>
      <c r="B301" s="29" t="s">
        <v>1146</v>
      </c>
      <c r="C301" s="30" t="s">
        <v>199</v>
      </c>
      <c r="D301" s="31" t="s">
        <v>1147</v>
      </c>
      <c r="E301" s="51">
        <v>57.09</v>
      </c>
      <c r="F301" s="32" t="s">
        <v>14</v>
      </c>
      <c r="G301" s="32" t="s">
        <v>6147</v>
      </c>
      <c r="H301" s="12"/>
      <c r="I301" s="11">
        <f>Table1[[#This Row],[Qty]]*Table1[[#This Row],[Price]]</f>
        <v>0</v>
      </c>
    </row>
    <row r="302" spans="1:9" ht="13.5" customHeight="1" x14ac:dyDescent="0.25">
      <c r="A302" s="28">
        <v>3614274219579</v>
      </c>
      <c r="B302" s="29" t="s">
        <v>1254</v>
      </c>
      <c r="C302" s="30" t="s">
        <v>199</v>
      </c>
      <c r="D302" s="31" t="s">
        <v>1255</v>
      </c>
      <c r="E302" s="51">
        <v>92.02</v>
      </c>
      <c r="F302" s="32" t="s">
        <v>14</v>
      </c>
      <c r="G302" s="32" t="s">
        <v>6177</v>
      </c>
      <c r="H302" s="12"/>
      <c r="I302" s="11">
        <f>Table1[[#This Row],[Qty]]*Table1[[#This Row],[Price]]</f>
        <v>0</v>
      </c>
    </row>
    <row r="303" spans="1:9" ht="13.5" customHeight="1" x14ac:dyDescent="0.25">
      <c r="A303" s="28">
        <v>3614272225718</v>
      </c>
      <c r="B303" s="29" t="s">
        <v>1268</v>
      </c>
      <c r="C303" s="30" t="s">
        <v>199</v>
      </c>
      <c r="D303" s="31" t="s">
        <v>1269</v>
      </c>
      <c r="E303" s="51">
        <v>71.680000000000007</v>
      </c>
      <c r="F303" s="32" t="s">
        <v>14</v>
      </c>
      <c r="G303" s="32" t="s">
        <v>6180</v>
      </c>
      <c r="H303" s="22"/>
      <c r="I303" s="11">
        <f>Table1[[#This Row],[Qty]]*Table1[[#This Row],[Price]]</f>
        <v>0</v>
      </c>
    </row>
    <row r="304" spans="1:9" ht="13.5" customHeight="1" x14ac:dyDescent="0.25">
      <c r="A304" s="28">
        <v>3614273954341</v>
      </c>
      <c r="B304" s="29" t="s">
        <v>2400</v>
      </c>
      <c r="C304" s="30" t="s">
        <v>199</v>
      </c>
      <c r="D304" s="31" t="s">
        <v>2401</v>
      </c>
      <c r="E304" s="51">
        <v>71.150000000000006</v>
      </c>
      <c r="F304" s="32" t="s">
        <v>14</v>
      </c>
      <c r="G304" s="32" t="s">
        <v>6447</v>
      </c>
      <c r="H304" s="14"/>
      <c r="I304" s="11">
        <f>Table1[[#This Row],[Qty]]*Table1[[#This Row],[Price]]</f>
        <v>0</v>
      </c>
    </row>
    <row r="305" spans="1:9" ht="13.5" customHeight="1" x14ac:dyDescent="0.25">
      <c r="A305" s="28">
        <v>3614274752717</v>
      </c>
      <c r="B305" s="29" t="s">
        <v>3226</v>
      </c>
      <c r="C305" s="30" t="s">
        <v>199</v>
      </c>
      <c r="D305" s="31" t="s">
        <v>3227</v>
      </c>
      <c r="E305" s="51">
        <v>112.05</v>
      </c>
      <c r="F305" s="32" t="s">
        <v>14</v>
      </c>
      <c r="G305" s="32" t="s">
        <v>6749</v>
      </c>
      <c r="H305" s="22"/>
      <c r="I305" s="11">
        <f>Table1[[#This Row],[Qty]]*Table1[[#This Row],[Price]]</f>
        <v>0</v>
      </c>
    </row>
    <row r="306" spans="1:9" ht="13.5" customHeight="1" x14ac:dyDescent="0.25">
      <c r="A306" s="28">
        <v>3614274747058</v>
      </c>
      <c r="B306" s="29" t="s">
        <v>3486</v>
      </c>
      <c r="C306" s="30" t="s">
        <v>199</v>
      </c>
      <c r="D306" s="31" t="s">
        <v>3487</v>
      </c>
      <c r="E306" s="51">
        <v>102.76</v>
      </c>
      <c r="F306" s="32" t="s">
        <v>14</v>
      </c>
      <c r="G306" s="32" t="s">
        <v>6865</v>
      </c>
      <c r="H306" s="22"/>
      <c r="I306" s="11">
        <f>Table1[[#This Row],[Qty]]*Table1[[#This Row],[Price]]</f>
        <v>0</v>
      </c>
    </row>
    <row r="307" spans="1:9" ht="13.5" customHeight="1" x14ac:dyDescent="0.25">
      <c r="A307" s="48">
        <v>3274872395503</v>
      </c>
      <c r="B307" s="41" t="s">
        <v>1482</v>
      </c>
      <c r="C307" s="6" t="s">
        <v>141</v>
      </c>
      <c r="D307" t="s">
        <v>1483</v>
      </c>
      <c r="E307" s="47">
        <v>34.799999999999997</v>
      </c>
      <c r="F307" s="6" t="s">
        <v>14</v>
      </c>
      <c r="G307" s="6" t="s">
        <v>6223</v>
      </c>
      <c r="H307" s="22"/>
      <c r="I307" s="11">
        <f>Table1[[#This Row],[Qty]]*Table1[[#This Row],[Price]]</f>
        <v>0</v>
      </c>
    </row>
    <row r="308" spans="1:9" ht="13.5" customHeight="1" x14ac:dyDescent="0.25">
      <c r="A308" s="28">
        <v>3274878122561</v>
      </c>
      <c r="B308" s="29" t="s">
        <v>3277</v>
      </c>
      <c r="C308" s="30" t="s">
        <v>141</v>
      </c>
      <c r="D308" s="31" t="s">
        <v>3278</v>
      </c>
      <c r="E308" s="51">
        <v>40.9</v>
      </c>
      <c r="F308" s="32" t="s">
        <v>14</v>
      </c>
      <c r="G308" s="32" t="s">
        <v>6770</v>
      </c>
      <c r="H308" s="14"/>
      <c r="I308" s="11">
        <f>Table1[[#This Row],[Qty]]*Table1[[#This Row],[Price]]</f>
        <v>0</v>
      </c>
    </row>
    <row r="309" spans="1:9" ht="13.5" customHeight="1" x14ac:dyDescent="0.25">
      <c r="A309" s="28">
        <v>85715320704</v>
      </c>
      <c r="B309" s="29" t="s">
        <v>486</v>
      </c>
      <c r="C309" s="30" t="s">
        <v>70</v>
      </c>
      <c r="D309" s="31" t="s">
        <v>487</v>
      </c>
      <c r="E309" s="51">
        <v>17.149999999999999</v>
      </c>
      <c r="F309" s="32" t="s">
        <v>14</v>
      </c>
      <c r="G309" s="32" t="s">
        <v>5853</v>
      </c>
      <c r="H309" s="12"/>
      <c r="I309" s="11">
        <f>Table1[[#This Row],[Qty]]*Table1[[#This Row],[Price]]</f>
        <v>0</v>
      </c>
    </row>
    <row r="310" spans="1:9" ht="13.5" customHeight="1" x14ac:dyDescent="0.25">
      <c r="A310" s="28">
        <v>85715321411</v>
      </c>
      <c r="B310" s="29" t="s">
        <v>557</v>
      </c>
      <c r="C310" s="30" t="s">
        <v>70</v>
      </c>
      <c r="D310" s="31" t="s">
        <v>558</v>
      </c>
      <c r="E310" s="51">
        <v>16.41</v>
      </c>
      <c r="F310" s="32" t="s">
        <v>14</v>
      </c>
      <c r="G310" s="32" t="s">
        <v>5884</v>
      </c>
      <c r="H310" s="22"/>
      <c r="I310" s="11">
        <f>Table1[[#This Row],[Qty]]*Table1[[#This Row],[Price]]</f>
        <v>0</v>
      </c>
    </row>
    <row r="311" spans="1:9" ht="13.5" customHeight="1" x14ac:dyDescent="0.25">
      <c r="A311" s="28">
        <v>85715320117</v>
      </c>
      <c r="B311" s="29" t="s">
        <v>696</v>
      </c>
      <c r="C311" s="30" t="s">
        <v>70</v>
      </c>
      <c r="D311" s="31" t="s">
        <v>697</v>
      </c>
      <c r="E311" s="51">
        <v>16.14</v>
      </c>
      <c r="F311" s="32" t="s">
        <v>14</v>
      </c>
      <c r="G311" s="32" t="s">
        <v>5947</v>
      </c>
      <c r="H311" s="22"/>
      <c r="I311" s="11">
        <f>Table1[[#This Row],[Qty]]*Table1[[#This Row],[Price]]</f>
        <v>0</v>
      </c>
    </row>
    <row r="312" spans="1:9" ht="13.5" customHeight="1" x14ac:dyDescent="0.25">
      <c r="A312" s="28">
        <v>85715320810</v>
      </c>
      <c r="B312" s="29" t="s">
        <v>749</v>
      </c>
      <c r="C312" s="33" t="s">
        <v>70</v>
      </c>
      <c r="D312" s="31" t="s">
        <v>750</v>
      </c>
      <c r="E312" s="51">
        <v>16.16</v>
      </c>
      <c r="F312" s="32" t="s">
        <v>14</v>
      </c>
      <c r="G312" s="32" t="s">
        <v>5972</v>
      </c>
      <c r="H312" s="22"/>
      <c r="I312" s="11">
        <f>Table1[[#This Row],[Qty]]*Table1[[#This Row],[Price]]</f>
        <v>0</v>
      </c>
    </row>
    <row r="313" spans="1:9" ht="13.5" customHeight="1" x14ac:dyDescent="0.25">
      <c r="A313" s="28">
        <v>85715320513</v>
      </c>
      <c r="B313" s="29" t="s">
        <v>783</v>
      </c>
      <c r="C313" s="30" t="s">
        <v>70</v>
      </c>
      <c r="D313" s="31" t="s">
        <v>784</v>
      </c>
      <c r="E313" s="51">
        <v>17.13</v>
      </c>
      <c r="F313" s="32" t="s">
        <v>14</v>
      </c>
      <c r="G313" s="32" t="s">
        <v>5988</v>
      </c>
      <c r="H313" s="22"/>
      <c r="I313" s="11">
        <f>Table1[[#This Row],[Qty]]*Table1[[#This Row],[Price]]</f>
        <v>0</v>
      </c>
    </row>
    <row r="314" spans="1:9" ht="13.5" customHeight="1" x14ac:dyDescent="0.25">
      <c r="A314" s="28">
        <v>85715320544</v>
      </c>
      <c r="B314" s="29" t="s">
        <v>892</v>
      </c>
      <c r="C314" s="30" t="s">
        <v>70</v>
      </c>
      <c r="D314" s="31" t="s">
        <v>893</v>
      </c>
      <c r="E314" s="51">
        <v>17.47</v>
      </c>
      <c r="F314" s="32" t="s">
        <v>14</v>
      </c>
      <c r="G314" s="32" t="s">
        <v>6034</v>
      </c>
      <c r="H314" s="12"/>
      <c r="I314" s="11">
        <f>Table1[[#This Row],[Qty]]*Table1[[#This Row],[Price]]</f>
        <v>0</v>
      </c>
    </row>
    <row r="315" spans="1:9" ht="13.5" customHeight="1" x14ac:dyDescent="0.25">
      <c r="A315" s="28">
        <v>85715321732</v>
      </c>
      <c r="B315" s="29" t="s">
        <v>954</v>
      </c>
      <c r="C315" s="30" t="s">
        <v>70</v>
      </c>
      <c r="D315" s="31" t="s">
        <v>955</v>
      </c>
      <c r="E315" s="51">
        <v>16.71</v>
      </c>
      <c r="F315" s="32" t="s">
        <v>14</v>
      </c>
      <c r="G315" s="32" t="s">
        <v>6063</v>
      </c>
      <c r="H315" s="22"/>
      <c r="I315" s="11">
        <f>Table1[[#This Row],[Qty]]*Table1[[#This Row],[Price]]</f>
        <v>0</v>
      </c>
    </row>
    <row r="316" spans="1:9" ht="13.5" customHeight="1" x14ac:dyDescent="0.25">
      <c r="A316" s="28">
        <v>85715000033</v>
      </c>
      <c r="B316" s="29" t="s">
        <v>1884</v>
      </c>
      <c r="C316" s="33" t="s">
        <v>70</v>
      </c>
      <c r="D316" s="31" t="s">
        <v>1885</v>
      </c>
      <c r="E316" s="51">
        <v>16.649999999999999</v>
      </c>
      <c r="F316" s="32" t="s">
        <v>14</v>
      </c>
      <c r="G316" s="32" t="s">
        <v>6325</v>
      </c>
      <c r="H316" s="22"/>
      <c r="I316" s="11">
        <f>Table1[[#This Row],[Qty]]*Table1[[#This Row],[Price]]</f>
        <v>0</v>
      </c>
    </row>
    <row r="317" spans="1:9" ht="13.5" customHeight="1" x14ac:dyDescent="0.25">
      <c r="A317" s="28">
        <v>85715322210</v>
      </c>
      <c r="B317" s="29" t="s">
        <v>1915</v>
      </c>
      <c r="C317" s="30" t="s">
        <v>70</v>
      </c>
      <c r="D317" s="31" t="s">
        <v>1916</v>
      </c>
      <c r="E317" s="51">
        <v>16.649999999999999</v>
      </c>
      <c r="F317" s="32" t="s">
        <v>14</v>
      </c>
      <c r="G317" s="32" t="s">
        <v>6335</v>
      </c>
      <c r="H317" s="22"/>
      <c r="I317" s="11">
        <f>Table1[[#This Row],[Qty]]*Table1[[#This Row],[Price]]</f>
        <v>0</v>
      </c>
    </row>
    <row r="318" spans="1:9" ht="13.5" customHeight="1" x14ac:dyDescent="0.25">
      <c r="A318" s="28">
        <v>85715321107</v>
      </c>
      <c r="B318" s="29" t="s">
        <v>4149</v>
      </c>
      <c r="C318" s="30" t="s">
        <v>70</v>
      </c>
      <c r="D318" s="31" t="s">
        <v>4150</v>
      </c>
      <c r="E318" s="51">
        <v>16.170000000000002</v>
      </c>
      <c r="F318" s="32" t="s">
        <v>14</v>
      </c>
      <c r="G318" s="32" t="s">
        <v>6984</v>
      </c>
      <c r="H318" s="22"/>
      <c r="I318" s="11">
        <f>Table1[[#This Row],[Qty]]*Table1[[#This Row],[Price]]</f>
        <v>0</v>
      </c>
    </row>
    <row r="319" spans="1:9" ht="13.5" customHeight="1" x14ac:dyDescent="0.25">
      <c r="A319" s="28">
        <v>85715323644</v>
      </c>
      <c r="B319" s="29" t="s">
        <v>5561</v>
      </c>
      <c r="C319" s="30" t="s">
        <v>70</v>
      </c>
      <c r="D319" s="31" t="s">
        <v>5562</v>
      </c>
      <c r="E319" s="51">
        <v>26.66</v>
      </c>
      <c r="F319" s="32" t="s">
        <v>14</v>
      </c>
      <c r="G319" s="32" t="s">
        <v>7473</v>
      </c>
      <c r="H319" s="22"/>
      <c r="I319" s="11">
        <f>Table1[[#This Row],[Qty]]*Table1[[#This Row],[Price]]</f>
        <v>0</v>
      </c>
    </row>
    <row r="320" spans="1:9" ht="13.5" customHeight="1" x14ac:dyDescent="0.25">
      <c r="A320" s="28">
        <v>85715350008</v>
      </c>
      <c r="B320" s="29" t="s">
        <v>5563</v>
      </c>
      <c r="C320" s="30" t="s">
        <v>70</v>
      </c>
      <c r="D320" s="31" t="s">
        <v>5564</v>
      </c>
      <c r="E320" s="51">
        <v>26.66</v>
      </c>
      <c r="F320" s="32" t="s">
        <v>14</v>
      </c>
      <c r="G320" s="32" t="s">
        <v>7519</v>
      </c>
      <c r="H320" s="12"/>
      <c r="I320" s="11">
        <f>Table1[[#This Row],[Qty]]*Table1[[#This Row],[Price]]</f>
        <v>0</v>
      </c>
    </row>
    <row r="321" spans="1:9" ht="13.5" customHeight="1" x14ac:dyDescent="0.25">
      <c r="A321" s="28">
        <v>85715320209</v>
      </c>
      <c r="B321" s="29" t="s">
        <v>5565</v>
      </c>
      <c r="C321" s="30" t="s">
        <v>70</v>
      </c>
      <c r="D321" s="31" t="s">
        <v>5566</v>
      </c>
      <c r="E321" s="51">
        <v>18.16</v>
      </c>
      <c r="F321" s="32" t="s">
        <v>14</v>
      </c>
      <c r="G321" s="32" t="s">
        <v>7520</v>
      </c>
      <c r="H321" s="22"/>
      <c r="I321" s="11">
        <f>Table1[[#This Row],[Qty]]*Table1[[#This Row],[Price]]</f>
        <v>0</v>
      </c>
    </row>
    <row r="322" spans="1:9" ht="13.5" customHeight="1" x14ac:dyDescent="0.25">
      <c r="A322" s="28">
        <v>85715323446</v>
      </c>
      <c r="B322" s="29" t="s">
        <v>5567</v>
      </c>
      <c r="C322" s="33" t="s">
        <v>70</v>
      </c>
      <c r="D322" s="31" t="s">
        <v>5568</v>
      </c>
      <c r="E322" s="51">
        <v>21.66</v>
      </c>
      <c r="F322" s="32" t="s">
        <v>14</v>
      </c>
      <c r="G322" s="32" t="s">
        <v>6987</v>
      </c>
      <c r="H322" s="22"/>
      <c r="I322" s="11">
        <f>Table1[[#This Row],[Qty]]*Table1[[#This Row],[Price]]</f>
        <v>0</v>
      </c>
    </row>
    <row r="323" spans="1:9" ht="13.5" customHeight="1" x14ac:dyDescent="0.25">
      <c r="A323" s="28">
        <v>85715331007</v>
      </c>
      <c r="B323" s="29" t="s">
        <v>5569</v>
      </c>
      <c r="C323" s="30" t="s">
        <v>70</v>
      </c>
      <c r="D323" s="31" t="s">
        <v>5570</v>
      </c>
      <c r="E323" s="51">
        <v>16.41</v>
      </c>
      <c r="F323" s="32" t="s">
        <v>14</v>
      </c>
      <c r="G323" s="32" t="s">
        <v>7474</v>
      </c>
      <c r="H323" s="22"/>
      <c r="I323" s="11">
        <f>Table1[[#This Row],[Qty]]*Table1[[#This Row],[Price]]</f>
        <v>0</v>
      </c>
    </row>
    <row r="324" spans="1:9" ht="13.5" customHeight="1" x14ac:dyDescent="0.25">
      <c r="A324" s="28">
        <v>85715331502</v>
      </c>
      <c r="B324" s="29" t="s">
        <v>5571</v>
      </c>
      <c r="C324" s="33" t="s">
        <v>70</v>
      </c>
      <c r="D324" s="31" t="s">
        <v>5590</v>
      </c>
      <c r="E324" s="51">
        <v>16.41</v>
      </c>
      <c r="F324" s="32" t="s">
        <v>14</v>
      </c>
      <c r="G324" s="32" t="s">
        <v>7475</v>
      </c>
      <c r="H324" s="22"/>
      <c r="I324" s="11">
        <f>Table1[[#This Row],[Qty]]*Table1[[#This Row],[Price]]</f>
        <v>0</v>
      </c>
    </row>
    <row r="325" spans="1:9" ht="13.5" customHeight="1" x14ac:dyDescent="0.25">
      <c r="A325" s="28">
        <v>85715350176</v>
      </c>
      <c r="B325" s="29" t="s">
        <v>5580</v>
      </c>
      <c r="C325" s="30" t="s">
        <v>70</v>
      </c>
      <c r="D325" s="31" t="s">
        <v>5581</v>
      </c>
      <c r="E325" s="51">
        <v>17.16</v>
      </c>
      <c r="F325" s="32" t="s">
        <v>14</v>
      </c>
      <c r="G325" s="32" t="s">
        <v>7524</v>
      </c>
      <c r="H325" s="12"/>
      <c r="I325" s="11">
        <f>Table1[[#This Row],[Qty]]*Table1[[#This Row],[Price]]</f>
        <v>0</v>
      </c>
    </row>
    <row r="326" spans="1:9" ht="13.5" customHeight="1" x14ac:dyDescent="0.25">
      <c r="A326" s="28">
        <v>6290362162902</v>
      </c>
      <c r="B326" s="29" t="s">
        <v>3457</v>
      </c>
      <c r="C326" s="30" t="s">
        <v>3458</v>
      </c>
      <c r="D326" s="31" t="s">
        <v>3459</v>
      </c>
      <c r="E326" s="51">
        <v>25.78</v>
      </c>
      <c r="F326" s="32" t="s">
        <v>14</v>
      </c>
      <c r="G326" s="32" t="s">
        <v>7463</v>
      </c>
      <c r="H326" s="22"/>
      <c r="I326" s="11">
        <f>Table1[[#This Row],[Qty]]*Table1[[#This Row],[Price]]</f>
        <v>0</v>
      </c>
    </row>
    <row r="327" spans="1:9" ht="13.5" customHeight="1" x14ac:dyDescent="0.25">
      <c r="A327" s="28">
        <v>6290362164630</v>
      </c>
      <c r="B327" s="29" t="s">
        <v>3515</v>
      </c>
      <c r="C327" s="30" t="s">
        <v>3458</v>
      </c>
      <c r="D327" s="31" t="s">
        <v>3516</v>
      </c>
      <c r="E327" s="51">
        <v>28.8</v>
      </c>
      <c r="F327" s="32" t="s">
        <v>14</v>
      </c>
      <c r="G327" s="32" t="s">
        <v>7464</v>
      </c>
      <c r="H327" s="22"/>
      <c r="I327" s="11">
        <f>Table1[[#This Row],[Qty]]*Table1[[#This Row],[Price]]</f>
        <v>0</v>
      </c>
    </row>
    <row r="328" spans="1:9" ht="13.5" customHeight="1" x14ac:dyDescent="0.25">
      <c r="A328" s="28">
        <v>85715261113</v>
      </c>
      <c r="B328" s="29" t="s">
        <v>1154</v>
      </c>
      <c r="C328" s="30" t="s">
        <v>801</v>
      </c>
      <c r="D328" s="31" t="s">
        <v>1155</v>
      </c>
      <c r="E328" s="51">
        <v>13.17</v>
      </c>
      <c r="F328" s="32" t="s">
        <v>14</v>
      </c>
      <c r="G328" s="32" t="s">
        <v>6151</v>
      </c>
      <c r="H328" s="22"/>
      <c r="I328" s="11">
        <f>Table1[[#This Row],[Qty]]*Table1[[#This Row],[Price]]</f>
        <v>0</v>
      </c>
    </row>
    <row r="329" spans="1:9" ht="13.5" customHeight="1" x14ac:dyDescent="0.25">
      <c r="A329" s="28">
        <v>5425039224961</v>
      </c>
      <c r="B329" s="29" t="s">
        <v>3433</v>
      </c>
      <c r="C329" s="30" t="s">
        <v>3434</v>
      </c>
      <c r="D329" s="31" t="s">
        <v>3435</v>
      </c>
      <c r="E329" s="51">
        <v>39</v>
      </c>
      <c r="F329" s="32" t="s">
        <v>14</v>
      </c>
      <c r="G329" s="32" t="s">
        <v>7523</v>
      </c>
      <c r="H329" s="13"/>
      <c r="I329" s="11">
        <f>Table1[[#This Row],[Qty]]*Table1[[#This Row],[Price]]</f>
        <v>0</v>
      </c>
    </row>
    <row r="330" spans="1:9" ht="13.5" customHeight="1" x14ac:dyDescent="0.25">
      <c r="A330" s="28">
        <v>5425039224978</v>
      </c>
      <c r="B330" s="29" t="s">
        <v>3436</v>
      </c>
      <c r="C330" s="30" t="s">
        <v>3434</v>
      </c>
      <c r="D330" s="31" t="s">
        <v>3437</v>
      </c>
      <c r="E330" s="51">
        <v>39</v>
      </c>
      <c r="F330" s="32" t="s">
        <v>14</v>
      </c>
      <c r="G330" s="32" t="s">
        <v>6842</v>
      </c>
      <c r="H330" s="12"/>
      <c r="I330" s="11">
        <f>Table1[[#This Row],[Qty]]*Table1[[#This Row],[Price]]</f>
        <v>0</v>
      </c>
    </row>
    <row r="331" spans="1:9" ht="13.5" customHeight="1" x14ac:dyDescent="0.25">
      <c r="A331" s="28">
        <v>5425039224985</v>
      </c>
      <c r="B331" s="29" t="s">
        <v>3438</v>
      </c>
      <c r="C331" s="30" t="s">
        <v>3434</v>
      </c>
      <c r="D331" s="31" t="s">
        <v>3439</v>
      </c>
      <c r="E331" s="51">
        <v>39</v>
      </c>
      <c r="F331" s="32" t="s">
        <v>14</v>
      </c>
      <c r="G331" s="32" t="s">
        <v>6843</v>
      </c>
      <c r="H331" s="12"/>
      <c r="I331" s="11">
        <f>Table1[[#This Row],[Qty]]*Table1[[#This Row],[Price]]</f>
        <v>0</v>
      </c>
    </row>
    <row r="332" spans="1:9" ht="13.5" customHeight="1" x14ac:dyDescent="0.25">
      <c r="A332" s="28">
        <v>5425039224992</v>
      </c>
      <c r="B332" s="29" t="s">
        <v>3440</v>
      </c>
      <c r="C332" s="30" t="s">
        <v>3434</v>
      </c>
      <c r="D332" s="31" t="s">
        <v>3441</v>
      </c>
      <c r="E332" s="51">
        <v>39</v>
      </c>
      <c r="F332" s="32" t="s">
        <v>14</v>
      </c>
      <c r="G332" s="32" t="s">
        <v>6844</v>
      </c>
      <c r="H332" s="22"/>
      <c r="I332" s="11">
        <f>Table1[[#This Row],[Qty]]*Table1[[#This Row],[Price]]</f>
        <v>0</v>
      </c>
    </row>
    <row r="333" spans="1:9" ht="13.5" customHeight="1" x14ac:dyDescent="0.25">
      <c r="A333" s="28">
        <v>5425039225272</v>
      </c>
      <c r="B333" s="29" t="s">
        <v>3442</v>
      </c>
      <c r="C333" s="30" t="s">
        <v>3434</v>
      </c>
      <c r="D333" s="31" t="s">
        <v>3443</v>
      </c>
      <c r="E333" s="51">
        <v>39</v>
      </c>
      <c r="F333" s="32" t="s">
        <v>14</v>
      </c>
      <c r="G333" s="32" t="s">
        <v>6845</v>
      </c>
      <c r="H333" s="22"/>
      <c r="I333" s="11">
        <f>Table1[[#This Row],[Qty]]*Table1[[#This Row],[Price]]</f>
        <v>0</v>
      </c>
    </row>
    <row r="334" spans="1:9" ht="13.5" customHeight="1" x14ac:dyDescent="0.25">
      <c r="A334" s="48">
        <v>5425039224954</v>
      </c>
      <c r="B334" s="41" t="s">
        <v>5593</v>
      </c>
      <c r="C334" s="6" t="s">
        <v>3434</v>
      </c>
      <c r="D334" t="s">
        <v>5594</v>
      </c>
      <c r="E334" s="47">
        <v>39</v>
      </c>
      <c r="F334" s="6" t="s">
        <v>14</v>
      </c>
      <c r="G334" s="6" t="s">
        <v>6991</v>
      </c>
      <c r="H334" s="22"/>
      <c r="I334" s="11">
        <f>Table1[[#This Row],[Qty]]*Table1[[#This Row],[Price]]</f>
        <v>0</v>
      </c>
    </row>
    <row r="335" spans="1:9" ht="13.5" customHeight="1" x14ac:dyDescent="0.25">
      <c r="A335" s="28">
        <v>8005610255668</v>
      </c>
      <c r="B335" s="29" t="s">
        <v>571</v>
      </c>
      <c r="C335" s="30" t="s">
        <v>572</v>
      </c>
      <c r="D335" s="31" t="s">
        <v>573</v>
      </c>
      <c r="E335" s="51">
        <v>29.26</v>
      </c>
      <c r="F335" s="32" t="s">
        <v>14</v>
      </c>
      <c r="G335" s="32" t="s">
        <v>5890</v>
      </c>
      <c r="H335" s="12"/>
      <c r="I335" s="11">
        <f>Table1[[#This Row],[Qty]]*Table1[[#This Row],[Price]]</f>
        <v>0</v>
      </c>
    </row>
    <row r="336" spans="1:9" ht="13.5" customHeight="1" x14ac:dyDescent="0.25">
      <c r="A336" s="28">
        <v>737052351100</v>
      </c>
      <c r="B336" s="29" t="s">
        <v>622</v>
      </c>
      <c r="C336" s="30" t="s">
        <v>572</v>
      </c>
      <c r="D336" s="31" t="s">
        <v>623</v>
      </c>
      <c r="E336" s="51">
        <v>36.51</v>
      </c>
      <c r="F336" s="32" t="s">
        <v>14</v>
      </c>
      <c r="G336" s="32" t="s">
        <v>5913</v>
      </c>
      <c r="H336" s="22"/>
      <c r="I336" s="11">
        <f>Table1[[#This Row],[Qty]]*Table1[[#This Row],[Price]]</f>
        <v>0</v>
      </c>
    </row>
    <row r="337" spans="1:9" ht="13.5" customHeight="1" x14ac:dyDescent="0.25">
      <c r="A337" s="28">
        <v>737052130934</v>
      </c>
      <c r="B337" s="29" t="s">
        <v>624</v>
      </c>
      <c r="C337" s="30" t="s">
        <v>572</v>
      </c>
      <c r="D337" s="31" t="s">
        <v>625</v>
      </c>
      <c r="E337" s="51">
        <v>16.73</v>
      </c>
      <c r="F337" s="32" t="s">
        <v>14</v>
      </c>
      <c r="G337" s="32" t="s">
        <v>5914</v>
      </c>
      <c r="H337" s="12"/>
      <c r="I337" s="11">
        <f>Table1[[#This Row],[Qty]]*Table1[[#This Row],[Price]]</f>
        <v>0</v>
      </c>
    </row>
    <row r="338" spans="1:9" ht="13.5" customHeight="1" x14ac:dyDescent="0.25">
      <c r="A338" s="28">
        <v>737052352060</v>
      </c>
      <c r="B338" s="29" t="s">
        <v>631</v>
      </c>
      <c r="C338" s="30" t="s">
        <v>572</v>
      </c>
      <c r="D338" s="31" t="s">
        <v>632</v>
      </c>
      <c r="E338" s="51">
        <v>26</v>
      </c>
      <c r="F338" s="32" t="s">
        <v>14</v>
      </c>
      <c r="G338" s="32" t="s">
        <v>5917</v>
      </c>
      <c r="H338" s="12"/>
      <c r="I338" s="11">
        <f>Table1[[#This Row],[Qty]]*Table1[[#This Row],[Price]]</f>
        <v>0</v>
      </c>
    </row>
    <row r="339" spans="1:9" ht="13.5" customHeight="1" x14ac:dyDescent="0.25">
      <c r="A339" s="28">
        <v>737052766775</v>
      </c>
      <c r="B339" s="29" t="s">
        <v>661</v>
      </c>
      <c r="C339" s="30" t="s">
        <v>572</v>
      </c>
      <c r="D339" s="31" t="s">
        <v>662</v>
      </c>
      <c r="E339" s="51">
        <v>28.48</v>
      </c>
      <c r="F339" s="32" t="s">
        <v>14</v>
      </c>
      <c r="G339" s="32" t="s">
        <v>5930</v>
      </c>
      <c r="H339" s="22"/>
      <c r="I339" s="11">
        <f>Table1[[#This Row],[Qty]]*Table1[[#This Row],[Price]]</f>
        <v>0</v>
      </c>
    </row>
    <row r="340" spans="1:9" ht="13.5" customHeight="1" x14ac:dyDescent="0.25">
      <c r="A340" s="28">
        <v>737052130729</v>
      </c>
      <c r="B340" s="29" t="s">
        <v>771</v>
      </c>
      <c r="C340" s="30" t="s">
        <v>572</v>
      </c>
      <c r="D340" s="31" t="s">
        <v>772</v>
      </c>
      <c r="E340" s="51">
        <v>17.03</v>
      </c>
      <c r="F340" s="32" t="s">
        <v>14</v>
      </c>
      <c r="G340" s="32" t="s">
        <v>5982</v>
      </c>
      <c r="H340" s="14"/>
      <c r="I340" s="11">
        <f>Table1[[#This Row],[Qty]]*Table1[[#This Row],[Price]]</f>
        <v>0</v>
      </c>
    </row>
    <row r="341" spans="1:9" ht="13.5" customHeight="1" x14ac:dyDescent="0.25">
      <c r="A341" s="28">
        <v>3616304062483</v>
      </c>
      <c r="B341" s="29" t="s">
        <v>932</v>
      </c>
      <c r="C341" s="33" t="s">
        <v>572</v>
      </c>
      <c r="D341" s="31" t="s">
        <v>933</v>
      </c>
      <c r="E341" s="51">
        <v>20</v>
      </c>
      <c r="F341" s="32" t="s">
        <v>14</v>
      </c>
      <c r="G341" s="32" t="s">
        <v>6053</v>
      </c>
      <c r="H341" s="22"/>
      <c r="I341" s="11">
        <f>Table1[[#This Row],[Qty]]*Table1[[#This Row],[Price]]</f>
        <v>0</v>
      </c>
    </row>
    <row r="342" spans="1:9" ht="13.5" customHeight="1" x14ac:dyDescent="0.25">
      <c r="A342" s="28">
        <v>737052031415</v>
      </c>
      <c r="B342" s="29" t="s">
        <v>967</v>
      </c>
      <c r="C342" s="30" t="s">
        <v>572</v>
      </c>
      <c r="D342" s="31" t="s">
        <v>968</v>
      </c>
      <c r="E342" s="51">
        <v>16.98</v>
      </c>
      <c r="F342" s="32" t="s">
        <v>14</v>
      </c>
      <c r="G342" s="32" t="s">
        <v>6068</v>
      </c>
      <c r="H342" s="12"/>
      <c r="I342" s="11">
        <f>Table1[[#This Row],[Qty]]*Table1[[#This Row],[Price]]</f>
        <v>0</v>
      </c>
    </row>
    <row r="343" spans="1:9" ht="13.5" customHeight="1" x14ac:dyDescent="0.25">
      <c r="A343" s="28">
        <v>3614228220897</v>
      </c>
      <c r="B343" s="29" t="s">
        <v>1443</v>
      </c>
      <c r="C343" s="30" t="s">
        <v>572</v>
      </c>
      <c r="D343" s="31" t="s">
        <v>1444</v>
      </c>
      <c r="E343" s="51">
        <v>41.32</v>
      </c>
      <c r="F343" s="32" t="s">
        <v>14</v>
      </c>
      <c r="G343" s="32" t="s">
        <v>6212</v>
      </c>
      <c r="H343" s="26"/>
      <c r="I343" s="11">
        <f>Table1[[#This Row],[Qty]]*Table1[[#This Row],[Price]]</f>
        <v>0</v>
      </c>
    </row>
    <row r="344" spans="1:9" ht="13.5" customHeight="1" x14ac:dyDescent="0.25">
      <c r="A344" s="28">
        <v>3614229828535</v>
      </c>
      <c r="B344" s="29" t="s">
        <v>1459</v>
      </c>
      <c r="C344" s="30" t="s">
        <v>572</v>
      </c>
      <c r="D344" s="31" t="s">
        <v>1460</v>
      </c>
      <c r="E344" s="51">
        <v>46.04</v>
      </c>
      <c r="F344" s="32" t="s">
        <v>14</v>
      </c>
      <c r="G344" s="32" t="s">
        <v>6218</v>
      </c>
      <c r="H344" s="22"/>
      <c r="I344" s="11">
        <f>Table1[[#This Row],[Qty]]*Table1[[#This Row],[Price]]</f>
        <v>0</v>
      </c>
    </row>
    <row r="345" spans="1:9" ht="13.5" customHeight="1" x14ac:dyDescent="0.25">
      <c r="A345" s="28">
        <v>3614229823806</v>
      </c>
      <c r="B345" s="29" t="s">
        <v>1627</v>
      </c>
      <c r="C345" s="30" t="s">
        <v>572</v>
      </c>
      <c r="D345" s="31" t="s">
        <v>1628</v>
      </c>
      <c r="E345" s="51">
        <v>25</v>
      </c>
      <c r="F345" s="32" t="s">
        <v>14</v>
      </c>
      <c r="G345" s="32" t="s">
        <v>6261</v>
      </c>
      <c r="H345" s="22"/>
      <c r="I345" s="11">
        <f>Table1[[#This Row],[Qty]]*Table1[[#This Row],[Price]]</f>
        <v>0</v>
      </c>
    </row>
    <row r="346" spans="1:9" ht="13.5" customHeight="1" x14ac:dyDescent="0.25">
      <c r="A346" s="28">
        <v>3614229823790</v>
      </c>
      <c r="B346" s="29" t="s">
        <v>1807</v>
      </c>
      <c r="C346" s="30" t="s">
        <v>572</v>
      </c>
      <c r="D346" s="31" t="s">
        <v>1808</v>
      </c>
      <c r="E346" s="51">
        <v>21.05</v>
      </c>
      <c r="F346" s="32" t="s">
        <v>14</v>
      </c>
      <c r="G346" s="32" t="s">
        <v>6305</v>
      </c>
      <c r="H346" s="12"/>
      <c r="I346" s="11">
        <f>Table1[[#This Row],[Qty]]*Table1[[#This Row],[Price]]</f>
        <v>0</v>
      </c>
    </row>
    <row r="347" spans="1:9" ht="13.5" customHeight="1" x14ac:dyDescent="0.25">
      <c r="A347" s="28">
        <v>737052972305</v>
      </c>
      <c r="B347" s="29" t="s">
        <v>2599</v>
      </c>
      <c r="C347" s="30" t="s">
        <v>572</v>
      </c>
      <c r="D347" s="31" t="s">
        <v>2600</v>
      </c>
      <c r="E347" s="51">
        <v>37.89</v>
      </c>
      <c r="F347" s="32" t="s">
        <v>14</v>
      </c>
      <c r="G347" s="32" t="s">
        <v>6533</v>
      </c>
      <c r="H347" s="12"/>
      <c r="I347" s="11">
        <f>Table1[[#This Row],[Qty]]*Table1[[#This Row],[Price]]</f>
        <v>0</v>
      </c>
    </row>
    <row r="348" spans="1:9" ht="13.5" customHeight="1" x14ac:dyDescent="0.25">
      <c r="A348" s="28">
        <v>3616306096202</v>
      </c>
      <c r="B348" s="29" t="s">
        <v>3521</v>
      </c>
      <c r="C348" s="30" t="s">
        <v>572</v>
      </c>
      <c r="D348" s="31" t="s">
        <v>3522</v>
      </c>
      <c r="E348" s="51">
        <v>68.33</v>
      </c>
      <c r="F348" s="32" t="s">
        <v>14</v>
      </c>
      <c r="G348" s="32" t="s">
        <v>6881</v>
      </c>
      <c r="H348" s="12"/>
      <c r="I348" s="11">
        <f>Table1[[#This Row],[Qty]]*Table1[[#This Row],[Price]]</f>
        <v>0</v>
      </c>
    </row>
    <row r="349" spans="1:9" ht="13.5" customHeight="1" x14ac:dyDescent="0.25">
      <c r="A349" s="28">
        <v>3423470311365</v>
      </c>
      <c r="B349" s="29" t="s">
        <v>563</v>
      </c>
      <c r="C349" s="30" t="s">
        <v>164</v>
      </c>
      <c r="D349" s="31" t="s">
        <v>564</v>
      </c>
      <c r="E349" s="51">
        <v>31.96</v>
      </c>
      <c r="F349" s="32" t="s">
        <v>14</v>
      </c>
      <c r="G349" s="32" t="s">
        <v>5886</v>
      </c>
      <c r="H349" s="12"/>
      <c r="I349" s="11">
        <f>Table1[[#This Row],[Qty]]*Table1[[#This Row],[Price]]</f>
        <v>0</v>
      </c>
    </row>
    <row r="350" spans="1:9" ht="13.5" customHeight="1" x14ac:dyDescent="0.25">
      <c r="A350" s="28">
        <v>3423470300161</v>
      </c>
      <c r="B350" s="29" t="s">
        <v>648</v>
      </c>
      <c r="C350" s="30" t="s">
        <v>164</v>
      </c>
      <c r="D350" s="31" t="s">
        <v>649</v>
      </c>
      <c r="E350" s="51">
        <v>29.2</v>
      </c>
      <c r="F350" s="32" t="s">
        <v>14</v>
      </c>
      <c r="G350" s="32" t="s">
        <v>5925</v>
      </c>
      <c r="H350" s="22"/>
      <c r="I350" s="11">
        <f>Table1[[#This Row],[Qty]]*Table1[[#This Row],[Price]]</f>
        <v>0</v>
      </c>
    </row>
    <row r="351" spans="1:9" ht="13.5" customHeight="1" x14ac:dyDescent="0.25">
      <c r="A351" s="28">
        <v>3423470486018</v>
      </c>
      <c r="B351" s="29" t="s">
        <v>654</v>
      </c>
      <c r="C351" s="30" t="s">
        <v>164</v>
      </c>
      <c r="D351" s="31" t="s">
        <v>655</v>
      </c>
      <c r="E351" s="51">
        <v>23.95</v>
      </c>
      <c r="F351" s="32" t="s">
        <v>14</v>
      </c>
      <c r="G351" s="32" t="s">
        <v>5927</v>
      </c>
      <c r="H351" s="14"/>
      <c r="I351" s="11">
        <f>Table1[[#This Row],[Qty]]*Table1[[#This Row],[Price]]</f>
        <v>0</v>
      </c>
    </row>
    <row r="352" spans="1:9" ht="13.5" customHeight="1" x14ac:dyDescent="0.25">
      <c r="A352" s="28">
        <v>3423470311358</v>
      </c>
      <c r="B352" s="29" t="s">
        <v>691</v>
      </c>
      <c r="C352" s="30" t="s">
        <v>164</v>
      </c>
      <c r="D352" s="31" t="s">
        <v>692</v>
      </c>
      <c r="E352" s="51">
        <v>23.78</v>
      </c>
      <c r="F352" s="32" t="s">
        <v>14</v>
      </c>
      <c r="G352" s="32" t="s">
        <v>5945</v>
      </c>
      <c r="H352" s="22"/>
      <c r="I352" s="11">
        <f>Table1[[#This Row],[Qty]]*Table1[[#This Row],[Price]]</f>
        <v>0</v>
      </c>
    </row>
    <row r="353" spans="1:9" ht="13.5" customHeight="1" x14ac:dyDescent="0.25">
      <c r="A353" s="28">
        <v>3423470485448</v>
      </c>
      <c r="B353" s="29" t="s">
        <v>1132</v>
      </c>
      <c r="C353" s="33" t="s">
        <v>164</v>
      </c>
      <c r="D353" s="31" t="s">
        <v>1133</v>
      </c>
      <c r="E353" s="51">
        <v>44.53</v>
      </c>
      <c r="F353" s="32" t="s">
        <v>14</v>
      </c>
      <c r="G353" s="32" t="s">
        <v>6140</v>
      </c>
      <c r="H353" s="22"/>
      <c r="I353" s="11">
        <f>Table1[[#This Row],[Qty]]*Table1[[#This Row],[Price]]</f>
        <v>0</v>
      </c>
    </row>
    <row r="354" spans="1:9" ht="13.5" customHeight="1" x14ac:dyDescent="0.25">
      <c r="A354" s="28">
        <v>3423222118761</v>
      </c>
      <c r="B354" s="29" t="s">
        <v>2719</v>
      </c>
      <c r="C354" s="30" t="s">
        <v>164</v>
      </c>
      <c r="D354" s="31" t="s">
        <v>2720</v>
      </c>
      <c r="E354" s="51">
        <v>36.68</v>
      </c>
      <c r="F354" s="32" t="s">
        <v>14</v>
      </c>
      <c r="G354" s="32" t="s">
        <v>6587</v>
      </c>
      <c r="H354" s="22"/>
      <c r="I354" s="11">
        <f>Table1[[#This Row],[Qty]]*Table1[[#This Row],[Price]]</f>
        <v>0</v>
      </c>
    </row>
    <row r="355" spans="1:9" ht="13.5" customHeight="1" x14ac:dyDescent="0.25">
      <c r="A355" s="28">
        <v>3423222118457</v>
      </c>
      <c r="B355" s="29" t="s">
        <v>3198</v>
      </c>
      <c r="C355" s="30" t="s">
        <v>164</v>
      </c>
      <c r="D355" s="31" t="s">
        <v>3199</v>
      </c>
      <c r="E355" s="51">
        <v>39.18</v>
      </c>
      <c r="F355" s="32" t="s">
        <v>14</v>
      </c>
      <c r="G355" s="32" t="s">
        <v>6736</v>
      </c>
      <c r="H355" s="12"/>
      <c r="I355" s="11">
        <f>Table1[[#This Row],[Qty]]*Table1[[#This Row],[Price]]</f>
        <v>0</v>
      </c>
    </row>
    <row r="356" spans="1:9" ht="13.5" customHeight="1" x14ac:dyDescent="0.25">
      <c r="A356" s="28">
        <v>3423222118471</v>
      </c>
      <c r="B356" s="29" t="s">
        <v>3638</v>
      </c>
      <c r="C356" s="30" t="s">
        <v>164</v>
      </c>
      <c r="D356" s="31" t="s">
        <v>3639</v>
      </c>
      <c r="E356" s="51">
        <v>35</v>
      </c>
      <c r="F356" s="32" t="s">
        <v>14</v>
      </c>
      <c r="G356" s="32" t="s">
        <v>6944</v>
      </c>
      <c r="H356" s="22"/>
      <c r="I356" s="11">
        <f>Table1[[#This Row],[Qty]]*Table1[[#This Row],[Price]]</f>
        <v>0</v>
      </c>
    </row>
    <row r="357" spans="1:9" ht="13.5" customHeight="1" x14ac:dyDescent="0.25">
      <c r="A357" s="28">
        <v>8435415062213</v>
      </c>
      <c r="B357" s="29" t="s">
        <v>751</v>
      </c>
      <c r="C357" s="30" t="s">
        <v>234</v>
      </c>
      <c r="D357" s="31" t="s">
        <v>752</v>
      </c>
      <c r="E357" s="51">
        <v>72.16</v>
      </c>
      <c r="F357" s="32" t="s">
        <v>14</v>
      </c>
      <c r="G357" s="32" t="s">
        <v>5973</v>
      </c>
      <c r="H357" s="12"/>
      <c r="I357" s="11">
        <f>Table1[[#This Row],[Qty]]*Table1[[#This Row],[Price]]</f>
        <v>0</v>
      </c>
    </row>
    <row r="358" spans="1:9" ht="13.5" customHeight="1" x14ac:dyDescent="0.25">
      <c r="A358" s="28">
        <v>8435415091251</v>
      </c>
      <c r="B358" s="29" t="s">
        <v>869</v>
      </c>
      <c r="C358" s="30" t="s">
        <v>234</v>
      </c>
      <c r="D358" s="31" t="s">
        <v>870</v>
      </c>
      <c r="E358" s="51">
        <v>89.97</v>
      </c>
      <c r="F358" s="32" t="s">
        <v>14</v>
      </c>
      <c r="G358" s="32" t="s">
        <v>6024</v>
      </c>
      <c r="H358" s="12"/>
      <c r="I358" s="11">
        <f>Table1[[#This Row],[Qty]]*Table1[[#This Row],[Price]]</f>
        <v>0</v>
      </c>
    </row>
    <row r="359" spans="1:9" ht="13.5" customHeight="1" x14ac:dyDescent="0.25">
      <c r="A359" s="48">
        <v>8435415032278</v>
      </c>
      <c r="B359" s="41" t="s">
        <v>882</v>
      </c>
      <c r="C359" s="6" t="s">
        <v>234</v>
      </c>
      <c r="D359" t="s">
        <v>883</v>
      </c>
      <c r="E359" s="47">
        <v>61.87</v>
      </c>
      <c r="F359" s="6" t="s">
        <v>14</v>
      </c>
      <c r="G359" s="6" t="s">
        <v>6030</v>
      </c>
      <c r="H359" s="22"/>
      <c r="I359" s="11">
        <f>Table1[[#This Row],[Qty]]*Table1[[#This Row],[Price]]</f>
        <v>0</v>
      </c>
    </row>
    <row r="360" spans="1:9" ht="13.5" customHeight="1" x14ac:dyDescent="0.25">
      <c r="A360" s="28">
        <v>8435415076937</v>
      </c>
      <c r="B360" s="29" t="s">
        <v>913</v>
      </c>
      <c r="C360" s="30" t="s">
        <v>234</v>
      </c>
      <c r="D360" s="31" t="s">
        <v>914</v>
      </c>
      <c r="E360" s="51">
        <v>67.150000000000006</v>
      </c>
      <c r="F360" s="32" t="s">
        <v>14</v>
      </c>
      <c r="G360" s="32" t="s">
        <v>6044</v>
      </c>
      <c r="H360" s="12"/>
      <c r="I360" s="11">
        <f>Table1[[#This Row],[Qty]]*Table1[[#This Row],[Price]]</f>
        <v>0</v>
      </c>
    </row>
    <row r="361" spans="1:9" ht="13.5" customHeight="1" x14ac:dyDescent="0.25">
      <c r="A361" s="28">
        <v>8435415017206</v>
      </c>
      <c r="B361" s="29" t="s">
        <v>975</v>
      </c>
      <c r="C361" s="30" t="s">
        <v>234</v>
      </c>
      <c r="D361" s="31" t="s">
        <v>976</v>
      </c>
      <c r="E361" s="51">
        <v>64.069999999999993</v>
      </c>
      <c r="F361" s="32" t="s">
        <v>14</v>
      </c>
      <c r="G361" s="32" t="s">
        <v>6072</v>
      </c>
      <c r="H361" s="12"/>
      <c r="I361" s="11">
        <f>Table1[[#This Row],[Qty]]*Table1[[#This Row],[Price]]</f>
        <v>0</v>
      </c>
    </row>
    <row r="362" spans="1:9" ht="13.5" customHeight="1" x14ac:dyDescent="0.25">
      <c r="A362" s="28">
        <v>8435415076944</v>
      </c>
      <c r="B362" s="29" t="s">
        <v>1074</v>
      </c>
      <c r="C362" s="30" t="s">
        <v>234</v>
      </c>
      <c r="D362" s="31" t="s">
        <v>1075</v>
      </c>
      <c r="E362" s="51">
        <v>84.63</v>
      </c>
      <c r="F362" s="32" t="s">
        <v>14</v>
      </c>
      <c r="G362" s="32" t="s">
        <v>6117</v>
      </c>
      <c r="H362" s="22"/>
      <c r="I362" s="11">
        <f>Table1[[#This Row],[Qty]]*Table1[[#This Row],[Price]]</f>
        <v>0</v>
      </c>
    </row>
    <row r="363" spans="1:9" ht="13.5" customHeight="1" x14ac:dyDescent="0.25">
      <c r="A363" s="28">
        <v>8435415065191</v>
      </c>
      <c r="B363" s="29" t="s">
        <v>1130</v>
      </c>
      <c r="C363" s="30" t="s">
        <v>234</v>
      </c>
      <c r="D363" s="31" t="s">
        <v>1131</v>
      </c>
      <c r="E363" s="51">
        <v>88.25</v>
      </c>
      <c r="F363" s="32" t="s">
        <v>14</v>
      </c>
      <c r="G363" s="32" t="s">
        <v>6139</v>
      </c>
      <c r="H363" s="22"/>
      <c r="I363" s="11">
        <f>Table1[[#This Row],[Qty]]*Table1[[#This Row],[Price]]</f>
        <v>0</v>
      </c>
    </row>
    <row r="364" spans="1:9" ht="13.5" customHeight="1" x14ac:dyDescent="0.25">
      <c r="A364" s="28">
        <v>8435415091275</v>
      </c>
      <c r="B364" s="29" t="s">
        <v>1210</v>
      </c>
      <c r="C364" s="30" t="s">
        <v>234</v>
      </c>
      <c r="D364" s="31" t="s">
        <v>1211</v>
      </c>
      <c r="E364" s="51">
        <v>81.739999999999995</v>
      </c>
      <c r="F364" s="32" t="s">
        <v>14</v>
      </c>
      <c r="G364" s="32" t="s">
        <v>6168</v>
      </c>
      <c r="H364" s="12"/>
      <c r="I364" s="11">
        <f>Table1[[#This Row],[Qty]]*Table1[[#This Row],[Price]]</f>
        <v>0</v>
      </c>
    </row>
    <row r="365" spans="1:9" ht="13.5" customHeight="1" x14ac:dyDescent="0.25">
      <c r="A365" s="28">
        <v>8435415032315</v>
      </c>
      <c r="B365" s="29" t="s">
        <v>1214</v>
      </c>
      <c r="C365" s="30" t="s">
        <v>234</v>
      </c>
      <c r="D365" s="31" t="s">
        <v>1215</v>
      </c>
      <c r="E365" s="51">
        <v>76.790000000000006</v>
      </c>
      <c r="F365" s="32" t="s">
        <v>14</v>
      </c>
      <c r="G365" s="32" t="s">
        <v>6170</v>
      </c>
      <c r="H365" s="12"/>
      <c r="I365" s="11">
        <f>Table1[[#This Row],[Qty]]*Table1[[#This Row],[Price]]</f>
        <v>0</v>
      </c>
    </row>
    <row r="366" spans="1:9" ht="13.5" customHeight="1" x14ac:dyDescent="0.25">
      <c r="A366" s="28">
        <v>8435415030885</v>
      </c>
      <c r="B366" s="29" t="s">
        <v>1311</v>
      </c>
      <c r="C366" s="30" t="s">
        <v>234</v>
      </c>
      <c r="D366" s="31" t="s">
        <v>1312</v>
      </c>
      <c r="E366" s="51">
        <v>74.27</v>
      </c>
      <c r="F366" s="32" t="s">
        <v>14</v>
      </c>
      <c r="G366" s="32" t="s">
        <v>6188</v>
      </c>
      <c r="H366" s="12"/>
      <c r="I366" s="11">
        <f>Table1[[#This Row],[Qty]]*Table1[[#This Row],[Price]]</f>
        <v>0</v>
      </c>
    </row>
    <row r="367" spans="1:9" ht="13.5" customHeight="1" x14ac:dyDescent="0.25">
      <c r="A367" s="28">
        <v>8435415102704</v>
      </c>
      <c r="B367" s="29" t="s">
        <v>2416</v>
      </c>
      <c r="C367" s="30" t="s">
        <v>234</v>
      </c>
      <c r="D367" s="31" t="s">
        <v>2417</v>
      </c>
      <c r="E367" s="51">
        <v>80.45</v>
      </c>
      <c r="F367" s="32" t="s">
        <v>14</v>
      </c>
      <c r="G367" s="32" t="s">
        <v>6450</v>
      </c>
      <c r="H367" s="22"/>
      <c r="I367" s="11">
        <f>Table1[[#This Row],[Qty]]*Table1[[#This Row],[Price]]</f>
        <v>0</v>
      </c>
    </row>
    <row r="368" spans="1:9" ht="13.5" customHeight="1" x14ac:dyDescent="0.25">
      <c r="A368" s="28">
        <v>8435415102346</v>
      </c>
      <c r="B368" s="29" t="s">
        <v>2518</v>
      </c>
      <c r="C368" s="33" t="s">
        <v>234</v>
      </c>
      <c r="D368" s="31" t="s">
        <v>2519</v>
      </c>
      <c r="E368" s="51">
        <v>92.82</v>
      </c>
      <c r="F368" s="32" t="s">
        <v>14</v>
      </c>
      <c r="G368" s="32" t="s">
        <v>6501</v>
      </c>
      <c r="H368" s="22"/>
      <c r="I368" s="11">
        <f>Table1[[#This Row],[Qty]]*Table1[[#This Row],[Price]]</f>
        <v>0</v>
      </c>
    </row>
    <row r="369" spans="1:9" ht="13.5" customHeight="1" x14ac:dyDescent="0.25">
      <c r="A369" s="28">
        <v>8435415114028</v>
      </c>
      <c r="B369" s="29" t="s">
        <v>3373</v>
      </c>
      <c r="C369" s="30" t="s">
        <v>234</v>
      </c>
      <c r="D369" s="31" t="s">
        <v>3374</v>
      </c>
      <c r="E369" s="51">
        <v>79.53</v>
      </c>
      <c r="F369" s="32" t="s">
        <v>14</v>
      </c>
      <c r="G369" s="32" t="s">
        <v>6816</v>
      </c>
      <c r="H369" s="22"/>
      <c r="I369" s="11">
        <f>Table1[[#This Row],[Qty]]*Table1[[#This Row],[Price]]</f>
        <v>0</v>
      </c>
    </row>
    <row r="370" spans="1:9" ht="13.5" customHeight="1" x14ac:dyDescent="0.25">
      <c r="A370" s="28">
        <v>8435415113960</v>
      </c>
      <c r="B370" s="29" t="s">
        <v>3375</v>
      </c>
      <c r="C370" s="30" t="s">
        <v>234</v>
      </c>
      <c r="D370" s="31" t="s">
        <v>3376</v>
      </c>
      <c r="E370" s="51">
        <v>90.35</v>
      </c>
      <c r="F370" s="32" t="s">
        <v>14</v>
      </c>
      <c r="G370" s="32" t="s">
        <v>6817</v>
      </c>
      <c r="H370" s="12"/>
      <c r="I370" s="11">
        <f>Table1[[#This Row],[Qty]]*Table1[[#This Row],[Price]]</f>
        <v>0</v>
      </c>
    </row>
    <row r="371" spans="1:9" ht="13.5" customHeight="1" x14ac:dyDescent="0.25">
      <c r="A371" s="28">
        <v>8435415091169</v>
      </c>
      <c r="B371" s="29" t="s">
        <v>3401</v>
      </c>
      <c r="C371" s="30" t="s">
        <v>234</v>
      </c>
      <c r="D371" s="31" t="s">
        <v>3402</v>
      </c>
      <c r="E371" s="51">
        <v>99</v>
      </c>
      <c r="F371" s="32" t="s">
        <v>14</v>
      </c>
      <c r="G371" s="32" t="s">
        <v>6827</v>
      </c>
      <c r="H371" s="12"/>
      <c r="I371" s="11">
        <f>Table1[[#This Row],[Qty]]*Table1[[#This Row],[Price]]</f>
        <v>0</v>
      </c>
    </row>
    <row r="372" spans="1:9" ht="13.5" customHeight="1" x14ac:dyDescent="0.25">
      <c r="A372" s="28">
        <v>8435415115209</v>
      </c>
      <c r="B372" s="29" t="s">
        <v>3490</v>
      </c>
      <c r="C372" s="30" t="s">
        <v>234</v>
      </c>
      <c r="D372" s="31" t="s">
        <v>3491</v>
      </c>
      <c r="E372" s="51">
        <v>84.27</v>
      </c>
      <c r="F372" s="32" t="s">
        <v>14</v>
      </c>
      <c r="G372" s="32" t="s">
        <v>6867</v>
      </c>
      <c r="H372" s="22"/>
      <c r="I372" s="11">
        <f>Table1[[#This Row],[Qty]]*Table1[[#This Row],[Price]]</f>
        <v>0</v>
      </c>
    </row>
    <row r="373" spans="1:9" ht="13.5" customHeight="1" x14ac:dyDescent="0.25">
      <c r="A373" s="28">
        <v>8435415105316</v>
      </c>
      <c r="B373" s="29" t="s">
        <v>3552</v>
      </c>
      <c r="C373" s="30" t="s">
        <v>234</v>
      </c>
      <c r="D373" s="31" t="s">
        <v>3553</v>
      </c>
      <c r="E373" s="51">
        <v>96.8</v>
      </c>
      <c r="F373" s="32" t="s">
        <v>14</v>
      </c>
      <c r="G373" s="32" t="s">
        <v>6903</v>
      </c>
      <c r="H373" s="12"/>
      <c r="I373" s="11">
        <f>Table1[[#This Row],[Qty]]*Table1[[#This Row],[Price]]</f>
        <v>0</v>
      </c>
    </row>
    <row r="374" spans="1:9" ht="13.5" customHeight="1" x14ac:dyDescent="0.25">
      <c r="A374" s="28">
        <v>8435415058483</v>
      </c>
      <c r="B374" s="29" t="s">
        <v>3562</v>
      </c>
      <c r="C374" s="30" t="s">
        <v>234</v>
      </c>
      <c r="D374" s="31" t="s">
        <v>3563</v>
      </c>
      <c r="E374" s="51">
        <v>54.59</v>
      </c>
      <c r="F374" s="32" t="s">
        <v>14</v>
      </c>
      <c r="G374" s="32" t="s">
        <v>6908</v>
      </c>
      <c r="H374" s="22"/>
      <c r="I374" s="11">
        <f>Table1[[#This Row],[Qty]]*Table1[[#This Row],[Price]]</f>
        <v>0</v>
      </c>
    </row>
    <row r="375" spans="1:9" ht="13.5" customHeight="1" x14ac:dyDescent="0.25">
      <c r="A375" s="28">
        <v>8435415092043</v>
      </c>
      <c r="B375" s="29" t="s">
        <v>3578</v>
      </c>
      <c r="C375" s="30" t="s">
        <v>234</v>
      </c>
      <c r="D375" s="31" t="s">
        <v>3579</v>
      </c>
      <c r="E375" s="51">
        <v>67.349999999999994</v>
      </c>
      <c r="F375" s="32" t="s">
        <v>14</v>
      </c>
      <c r="G375" s="32" t="s">
        <v>6916</v>
      </c>
      <c r="H375" s="14"/>
      <c r="I375" s="11">
        <f>Table1[[#This Row],[Qty]]*Table1[[#This Row],[Price]]</f>
        <v>0</v>
      </c>
    </row>
    <row r="376" spans="1:9" ht="13.5" customHeight="1" x14ac:dyDescent="0.25">
      <c r="A376" s="28">
        <v>8435415092128</v>
      </c>
      <c r="B376" s="29" t="s">
        <v>3580</v>
      </c>
      <c r="C376" s="30" t="s">
        <v>234</v>
      </c>
      <c r="D376" s="31" t="s">
        <v>3581</v>
      </c>
      <c r="E376" s="51">
        <v>86.66</v>
      </c>
      <c r="F376" s="32" t="s">
        <v>14</v>
      </c>
      <c r="G376" s="32" t="s">
        <v>6917</v>
      </c>
      <c r="H376" s="12"/>
      <c r="I376" s="11">
        <f>Table1[[#This Row],[Qty]]*Table1[[#This Row],[Price]]</f>
        <v>0</v>
      </c>
    </row>
    <row r="377" spans="1:9" ht="13.5" customHeight="1" x14ac:dyDescent="0.25">
      <c r="A377" s="28">
        <v>8435415102483</v>
      </c>
      <c r="B377" s="29" t="s">
        <v>3582</v>
      </c>
      <c r="C377" s="30" t="s">
        <v>234</v>
      </c>
      <c r="D377" s="31" t="s">
        <v>3583</v>
      </c>
      <c r="E377" s="51">
        <v>88.75</v>
      </c>
      <c r="F377" s="32" t="s">
        <v>14</v>
      </c>
      <c r="G377" s="32" t="s">
        <v>6918</v>
      </c>
      <c r="H377" s="22"/>
      <c r="I377" s="11">
        <f>Table1[[#This Row],[Qty]]*Table1[[#This Row],[Price]]</f>
        <v>0</v>
      </c>
    </row>
    <row r="378" spans="1:9" ht="13.5" customHeight="1" x14ac:dyDescent="0.25">
      <c r="A378" s="28">
        <v>8435415080385</v>
      </c>
      <c r="B378" s="29" t="s">
        <v>3628</v>
      </c>
      <c r="C378" s="30" t="s">
        <v>234</v>
      </c>
      <c r="D378" s="31" t="s">
        <v>3629</v>
      </c>
      <c r="E378" s="51">
        <v>86.85</v>
      </c>
      <c r="F378" s="32" t="s">
        <v>14</v>
      </c>
      <c r="G378" s="32" t="s">
        <v>6939</v>
      </c>
      <c r="H378" s="14"/>
      <c r="I378" s="11">
        <f>Table1[[#This Row],[Qty]]*Table1[[#This Row],[Price]]</f>
        <v>0</v>
      </c>
    </row>
    <row r="379" spans="1:9" ht="13.5" customHeight="1" x14ac:dyDescent="0.25">
      <c r="A379" s="28">
        <v>8435415102339</v>
      </c>
      <c r="B379" s="29" t="s">
        <v>3634</v>
      </c>
      <c r="C379" s="30" t="s">
        <v>234</v>
      </c>
      <c r="D379" s="31" t="s">
        <v>3635</v>
      </c>
      <c r="E379" s="51">
        <v>58.04</v>
      </c>
      <c r="F379" s="32" t="s">
        <v>14</v>
      </c>
      <c r="G379" s="32" t="s">
        <v>6942</v>
      </c>
      <c r="H379" s="12"/>
      <c r="I379" s="11">
        <f>Table1[[#This Row],[Qty]]*Table1[[#This Row],[Price]]</f>
        <v>0</v>
      </c>
    </row>
    <row r="380" spans="1:9" ht="13.5" customHeight="1" x14ac:dyDescent="0.25">
      <c r="A380" s="28">
        <v>8435415115193</v>
      </c>
      <c r="B380" s="29" t="s">
        <v>7483</v>
      </c>
      <c r="C380" s="30" t="s">
        <v>234</v>
      </c>
      <c r="D380" s="31" t="s">
        <v>7484</v>
      </c>
      <c r="E380" s="51">
        <v>109</v>
      </c>
      <c r="F380" s="32" t="s">
        <v>14</v>
      </c>
      <c r="G380" s="32" t="s">
        <v>7485</v>
      </c>
      <c r="H380" s="12"/>
      <c r="I380" s="11">
        <f>Table1[[#This Row],[Qty]]*Table1[[#This Row],[Price]]</f>
        <v>0</v>
      </c>
    </row>
    <row r="381" spans="1:9" ht="13.5" customHeight="1" x14ac:dyDescent="0.25">
      <c r="A381" s="28">
        <v>8435415115025</v>
      </c>
      <c r="B381" s="29" t="s">
        <v>7486</v>
      </c>
      <c r="C381" s="30" t="s">
        <v>234</v>
      </c>
      <c r="D381" s="31" t="s">
        <v>7487</v>
      </c>
      <c r="E381" s="51">
        <v>114</v>
      </c>
      <c r="F381" s="32" t="s">
        <v>14</v>
      </c>
      <c r="G381" s="32" t="s">
        <v>7488</v>
      </c>
      <c r="H381" s="22"/>
      <c r="I381" s="11">
        <f>Table1[[#This Row],[Qty]]*Table1[[#This Row],[Price]]</f>
        <v>0</v>
      </c>
    </row>
    <row r="382" spans="1:9" ht="13.5" customHeight="1" x14ac:dyDescent="0.25">
      <c r="A382" s="28">
        <v>8431754342016</v>
      </c>
      <c r="B382" s="29" t="s">
        <v>844</v>
      </c>
      <c r="C382" s="30" t="s">
        <v>845</v>
      </c>
      <c r="D382" s="31" t="s">
        <v>846</v>
      </c>
      <c r="E382" s="51">
        <v>26.5</v>
      </c>
      <c r="F382" s="32" t="s">
        <v>14</v>
      </c>
      <c r="G382" s="32" t="s">
        <v>6013</v>
      </c>
      <c r="H382" s="12"/>
      <c r="I382" s="11">
        <f>Table1[[#This Row],[Qty]]*Table1[[#This Row],[Price]]</f>
        <v>0</v>
      </c>
    </row>
    <row r="383" spans="1:9" ht="13.5" customHeight="1" x14ac:dyDescent="0.25">
      <c r="A383" s="28">
        <v>8431754006031</v>
      </c>
      <c r="B383" s="29" t="s">
        <v>3622</v>
      </c>
      <c r="C383" s="30" t="s">
        <v>845</v>
      </c>
      <c r="D383" s="31" t="s">
        <v>3623</v>
      </c>
      <c r="E383" s="51">
        <v>23.72</v>
      </c>
      <c r="F383" s="32" t="s">
        <v>14</v>
      </c>
      <c r="G383" s="32" t="s">
        <v>6936</v>
      </c>
      <c r="H383" s="12"/>
      <c r="I383" s="11">
        <f>Table1[[#This Row],[Qty]]*Table1[[#This Row],[Price]]</f>
        <v>0</v>
      </c>
    </row>
    <row r="384" spans="1:9" ht="13.5" customHeight="1" x14ac:dyDescent="0.25">
      <c r="A384" s="28">
        <v>3386460119252</v>
      </c>
      <c r="B384" s="29" t="s">
        <v>2502</v>
      </c>
      <c r="C384" s="30" t="s">
        <v>148</v>
      </c>
      <c r="D384" s="31" t="s">
        <v>2503</v>
      </c>
      <c r="E384" s="51">
        <v>53.77</v>
      </c>
      <c r="F384" s="32" t="s">
        <v>14</v>
      </c>
      <c r="G384" s="32" t="s">
        <v>6493</v>
      </c>
      <c r="H384" s="12"/>
      <c r="I384" s="11">
        <f>Table1[[#This Row],[Qty]]*Table1[[#This Row],[Price]]</f>
        <v>0</v>
      </c>
    </row>
    <row r="385" spans="1:9" ht="13.5" customHeight="1" x14ac:dyDescent="0.25">
      <c r="A385" s="28">
        <v>3386460082174</v>
      </c>
      <c r="B385" s="29" t="s">
        <v>3588</v>
      </c>
      <c r="C385" s="30" t="s">
        <v>148</v>
      </c>
      <c r="D385" s="31" t="s">
        <v>3589</v>
      </c>
      <c r="E385" s="51">
        <v>30.5</v>
      </c>
      <c r="F385" s="32" t="s">
        <v>14</v>
      </c>
      <c r="G385" s="32" t="s">
        <v>6921</v>
      </c>
      <c r="H385" s="22"/>
      <c r="I385" s="11">
        <f>Table1[[#This Row],[Qty]]*Table1[[#This Row],[Price]]</f>
        <v>0</v>
      </c>
    </row>
    <row r="386" spans="1:9" ht="13.5" customHeight="1" x14ac:dyDescent="0.25">
      <c r="A386" s="28">
        <v>850051043095</v>
      </c>
      <c r="B386" s="29" t="s">
        <v>669</v>
      </c>
      <c r="C386" s="30" t="s">
        <v>52</v>
      </c>
      <c r="D386" s="31" t="s">
        <v>670</v>
      </c>
      <c r="E386" s="51">
        <v>56.07</v>
      </c>
      <c r="F386" s="32" t="s">
        <v>14</v>
      </c>
      <c r="G386" s="32" t="s">
        <v>5934</v>
      </c>
      <c r="H386" s="14"/>
      <c r="I386" s="11">
        <f>Table1[[#This Row],[Qty]]*Table1[[#This Row],[Price]]</f>
        <v>0</v>
      </c>
    </row>
    <row r="387" spans="1:9" ht="13.5" customHeight="1" x14ac:dyDescent="0.25">
      <c r="A387" s="28">
        <v>860009248649</v>
      </c>
      <c r="B387" s="29" t="s">
        <v>727</v>
      </c>
      <c r="C387" s="30" t="s">
        <v>52</v>
      </c>
      <c r="D387" s="31" t="s">
        <v>728</v>
      </c>
      <c r="E387" s="51">
        <v>50.54</v>
      </c>
      <c r="F387" s="32" t="s">
        <v>14</v>
      </c>
      <c r="G387" s="32" t="s">
        <v>5961</v>
      </c>
      <c r="H387" s="12"/>
      <c r="I387" s="11">
        <f>Table1[[#This Row],[Qty]]*Table1[[#This Row],[Price]]</f>
        <v>0</v>
      </c>
    </row>
    <row r="388" spans="1:9" ht="13.5" customHeight="1" x14ac:dyDescent="0.25">
      <c r="A388" s="28">
        <v>860009248670</v>
      </c>
      <c r="B388" s="29" t="s">
        <v>759</v>
      </c>
      <c r="C388" s="30" t="s">
        <v>52</v>
      </c>
      <c r="D388" s="31" t="s">
        <v>760</v>
      </c>
      <c r="E388" s="51">
        <v>52.76</v>
      </c>
      <c r="F388" s="32" t="s">
        <v>14</v>
      </c>
      <c r="G388" s="32" t="s">
        <v>5976</v>
      </c>
      <c r="H388" s="12"/>
      <c r="I388" s="11">
        <f>Table1[[#This Row],[Qty]]*Table1[[#This Row],[Price]]</f>
        <v>0</v>
      </c>
    </row>
    <row r="389" spans="1:9" ht="13.5" customHeight="1" x14ac:dyDescent="0.25">
      <c r="A389" s="28">
        <v>850051043293</v>
      </c>
      <c r="B389" s="29" t="s">
        <v>1008</v>
      </c>
      <c r="C389" s="30" t="s">
        <v>52</v>
      </c>
      <c r="D389" s="31" t="s">
        <v>1009</v>
      </c>
      <c r="E389" s="51">
        <v>43.25</v>
      </c>
      <c r="F389" s="32" t="s">
        <v>14</v>
      </c>
      <c r="G389" s="32" t="s">
        <v>6088</v>
      </c>
      <c r="H389" s="12"/>
      <c r="I389" s="11">
        <f>Table1[[#This Row],[Qty]]*Table1[[#This Row],[Price]]</f>
        <v>0</v>
      </c>
    </row>
    <row r="390" spans="1:9" ht="13.5" customHeight="1" x14ac:dyDescent="0.25">
      <c r="A390" s="28">
        <v>850051043354</v>
      </c>
      <c r="B390" s="29" t="s">
        <v>1331</v>
      </c>
      <c r="C390" s="30" t="s">
        <v>52</v>
      </c>
      <c r="D390" s="31" t="s">
        <v>1332</v>
      </c>
      <c r="E390" s="51">
        <v>57.29</v>
      </c>
      <c r="F390" s="32" t="s">
        <v>14</v>
      </c>
      <c r="G390" s="32" t="s">
        <v>6192</v>
      </c>
      <c r="H390" s="22"/>
      <c r="I390" s="11">
        <f>Table1[[#This Row],[Qty]]*Table1[[#This Row],[Price]]</f>
        <v>0</v>
      </c>
    </row>
    <row r="391" spans="1:9" ht="13.5" customHeight="1" x14ac:dyDescent="0.25">
      <c r="A391" s="28">
        <v>850051043286</v>
      </c>
      <c r="B391" s="29" t="s">
        <v>1445</v>
      </c>
      <c r="C391" s="30" t="s">
        <v>52</v>
      </c>
      <c r="D391" s="31" t="s">
        <v>1446</v>
      </c>
      <c r="E391" s="51">
        <v>44.52</v>
      </c>
      <c r="F391" s="32" t="s">
        <v>14</v>
      </c>
      <c r="G391" s="32" t="s">
        <v>6213</v>
      </c>
      <c r="H391" s="22"/>
      <c r="I391" s="11">
        <f>Table1[[#This Row],[Qty]]*Table1[[#This Row],[Price]]</f>
        <v>0</v>
      </c>
    </row>
    <row r="392" spans="1:9" ht="13.5" customHeight="1" x14ac:dyDescent="0.25">
      <c r="A392" s="28">
        <v>850051043064</v>
      </c>
      <c r="B392" s="29" t="s">
        <v>2480</v>
      </c>
      <c r="C392" s="30" t="s">
        <v>52</v>
      </c>
      <c r="D392" s="31" t="s">
        <v>2481</v>
      </c>
      <c r="E392" s="51">
        <v>59.03</v>
      </c>
      <c r="F392" s="32" t="s">
        <v>14</v>
      </c>
      <c r="G392" s="32" t="s">
        <v>6482</v>
      </c>
      <c r="H392" s="12"/>
      <c r="I392" s="11">
        <f>Table1[[#This Row],[Qty]]*Table1[[#This Row],[Price]]</f>
        <v>0</v>
      </c>
    </row>
    <row r="393" spans="1:9" ht="13.5" customHeight="1" x14ac:dyDescent="0.25">
      <c r="A393" s="28">
        <v>850051043552</v>
      </c>
      <c r="B393" s="29" t="s">
        <v>2635</v>
      </c>
      <c r="C393" s="30" t="s">
        <v>52</v>
      </c>
      <c r="D393" s="31" t="s">
        <v>2636</v>
      </c>
      <c r="E393" s="51">
        <v>57.79</v>
      </c>
      <c r="F393" s="32" t="s">
        <v>14</v>
      </c>
      <c r="G393" s="32" t="s">
        <v>6549</v>
      </c>
      <c r="H393" s="22"/>
      <c r="I393" s="11">
        <f>Table1[[#This Row],[Qty]]*Table1[[#This Row],[Price]]</f>
        <v>0</v>
      </c>
    </row>
    <row r="394" spans="1:9" ht="13.5" customHeight="1" x14ac:dyDescent="0.25">
      <c r="A394" s="28">
        <v>850051043491</v>
      </c>
      <c r="B394" s="29" t="s">
        <v>3122</v>
      </c>
      <c r="C394" s="33" t="s">
        <v>52</v>
      </c>
      <c r="D394" s="31" t="s">
        <v>3123</v>
      </c>
      <c r="E394" s="51">
        <v>84.27</v>
      </c>
      <c r="F394" s="32" t="s">
        <v>14</v>
      </c>
      <c r="G394" s="32" t="s">
        <v>6705</v>
      </c>
      <c r="H394" s="22"/>
      <c r="I394" s="11">
        <f>Table1[[#This Row],[Qty]]*Table1[[#This Row],[Price]]</f>
        <v>0</v>
      </c>
    </row>
    <row r="395" spans="1:9" ht="13.5" customHeight="1" x14ac:dyDescent="0.25">
      <c r="A395" s="28">
        <v>850051043583</v>
      </c>
      <c r="B395" s="29" t="s">
        <v>3283</v>
      </c>
      <c r="C395" s="30" t="s">
        <v>52</v>
      </c>
      <c r="D395" s="31" t="s">
        <v>3284</v>
      </c>
      <c r="E395" s="51">
        <v>58.86</v>
      </c>
      <c r="F395" s="32" t="s">
        <v>14</v>
      </c>
      <c r="G395" s="32" t="s">
        <v>6773</v>
      </c>
      <c r="H395" s="22"/>
      <c r="I395" s="11">
        <f>Table1[[#This Row],[Qty]]*Table1[[#This Row],[Price]]</f>
        <v>0</v>
      </c>
    </row>
    <row r="396" spans="1:9" ht="13.5" customHeight="1" x14ac:dyDescent="0.25">
      <c r="A396" s="28">
        <v>850051043743</v>
      </c>
      <c r="B396" s="29" t="s">
        <v>3546</v>
      </c>
      <c r="C396" s="30" t="s">
        <v>52</v>
      </c>
      <c r="D396" s="31" t="s">
        <v>3547</v>
      </c>
      <c r="E396" s="51">
        <v>23</v>
      </c>
      <c r="F396" s="32" t="s">
        <v>14</v>
      </c>
      <c r="G396" s="32" t="s">
        <v>6900</v>
      </c>
      <c r="H396" s="12"/>
      <c r="I396" s="11">
        <f>Table1[[#This Row],[Qty]]*Table1[[#This Row],[Price]]</f>
        <v>0</v>
      </c>
    </row>
    <row r="397" spans="1:9" ht="13.5" customHeight="1" x14ac:dyDescent="0.25">
      <c r="A397" s="28">
        <v>850051043729</v>
      </c>
      <c r="B397" s="29" t="s">
        <v>3548</v>
      </c>
      <c r="C397" s="30" t="s">
        <v>52</v>
      </c>
      <c r="D397" s="31" t="s">
        <v>3549</v>
      </c>
      <c r="E397" s="51">
        <v>23</v>
      </c>
      <c r="F397" s="32" t="s">
        <v>14</v>
      </c>
      <c r="G397" s="32" t="s">
        <v>6901</v>
      </c>
      <c r="H397" s="22"/>
      <c r="I397" s="11">
        <f>Table1[[#This Row],[Qty]]*Table1[[#This Row],[Price]]</f>
        <v>0</v>
      </c>
    </row>
    <row r="398" spans="1:9" ht="13.5" customHeight="1" x14ac:dyDescent="0.25">
      <c r="A398" s="28">
        <v>850051043750</v>
      </c>
      <c r="B398" s="29" t="s">
        <v>3550</v>
      </c>
      <c r="C398" s="30" t="s">
        <v>52</v>
      </c>
      <c r="D398" s="31" t="s">
        <v>3551</v>
      </c>
      <c r="E398" s="51">
        <v>23.75</v>
      </c>
      <c r="F398" s="32" t="s">
        <v>14</v>
      </c>
      <c r="G398" s="32" t="s">
        <v>6902</v>
      </c>
      <c r="H398" s="12"/>
      <c r="I398" s="11">
        <f>Table1[[#This Row],[Qty]]*Table1[[#This Row],[Price]]</f>
        <v>0</v>
      </c>
    </row>
    <row r="399" spans="1:9" ht="13.5" customHeight="1" x14ac:dyDescent="0.25">
      <c r="A399" s="28">
        <v>850051043736</v>
      </c>
      <c r="B399" s="29" t="s">
        <v>3586</v>
      </c>
      <c r="C399" s="33" t="s">
        <v>52</v>
      </c>
      <c r="D399" s="31" t="s">
        <v>3587</v>
      </c>
      <c r="E399" s="51">
        <v>23.69</v>
      </c>
      <c r="F399" s="32" t="s">
        <v>14</v>
      </c>
      <c r="G399" s="32" t="s">
        <v>6920</v>
      </c>
      <c r="H399" s="22"/>
      <c r="I399" s="11">
        <f>Table1[[#This Row],[Qty]]*Table1[[#This Row],[Price]]</f>
        <v>0</v>
      </c>
    </row>
    <row r="400" spans="1:9" ht="13.5" customHeight="1" x14ac:dyDescent="0.25">
      <c r="A400" s="28">
        <v>850051043767</v>
      </c>
      <c r="B400" s="29" t="s">
        <v>3657</v>
      </c>
      <c r="C400" s="30" t="s">
        <v>52</v>
      </c>
      <c r="D400" s="31" t="s">
        <v>3658</v>
      </c>
      <c r="E400" s="51">
        <v>25.33</v>
      </c>
      <c r="F400" s="32" t="s">
        <v>14</v>
      </c>
      <c r="G400" s="32" t="s">
        <v>6952</v>
      </c>
      <c r="H400" s="22"/>
      <c r="I400" s="11">
        <f>Table1[[#This Row],[Qty]]*Table1[[#This Row],[Price]]</f>
        <v>0</v>
      </c>
    </row>
    <row r="401" spans="1:9" ht="13.5" customHeight="1" x14ac:dyDescent="0.25">
      <c r="A401" s="28">
        <v>850051043637</v>
      </c>
      <c r="B401" s="29" t="s">
        <v>3692</v>
      </c>
      <c r="C401" s="30" t="s">
        <v>52</v>
      </c>
      <c r="D401" s="31" t="s">
        <v>3693</v>
      </c>
      <c r="E401" s="51">
        <v>57.84</v>
      </c>
      <c r="F401" s="32" t="s">
        <v>14</v>
      </c>
      <c r="G401" s="32" t="s">
        <v>6964</v>
      </c>
      <c r="H401" s="12"/>
      <c r="I401" s="11">
        <f>Table1[[#This Row],[Qty]]*Table1[[#This Row],[Price]]</f>
        <v>0</v>
      </c>
    </row>
    <row r="402" spans="1:9" ht="13.5" customHeight="1" x14ac:dyDescent="0.25">
      <c r="A402" s="28">
        <v>850051043279</v>
      </c>
      <c r="B402" s="29" t="s">
        <v>7003</v>
      </c>
      <c r="C402" s="30" t="s">
        <v>52</v>
      </c>
      <c r="D402" s="31" t="s">
        <v>7004</v>
      </c>
      <c r="E402" s="51">
        <v>43.25</v>
      </c>
      <c r="F402" s="32" t="s">
        <v>14</v>
      </c>
      <c r="G402" s="32" t="s">
        <v>7005</v>
      </c>
      <c r="H402" s="22"/>
      <c r="I402" s="11">
        <f>Table1[[#This Row],[Qty]]*Table1[[#This Row],[Price]]</f>
        <v>0</v>
      </c>
    </row>
    <row r="403" spans="1:9" ht="13.5" customHeight="1" x14ac:dyDescent="0.25">
      <c r="A403" s="28">
        <v>850051043309</v>
      </c>
      <c r="B403" s="29" t="s">
        <v>7006</v>
      </c>
      <c r="C403" s="30" t="s">
        <v>52</v>
      </c>
      <c r="D403" s="31" t="s">
        <v>7007</v>
      </c>
      <c r="E403" s="51">
        <v>43</v>
      </c>
      <c r="F403" s="32" t="s">
        <v>14</v>
      </c>
      <c r="G403" s="32" t="s">
        <v>7008</v>
      </c>
      <c r="H403" s="22"/>
      <c r="I403" s="11">
        <f>Table1[[#This Row],[Qty]]*Table1[[#This Row],[Price]]</f>
        <v>0</v>
      </c>
    </row>
    <row r="404" spans="1:9" ht="13.5" customHeight="1" x14ac:dyDescent="0.25">
      <c r="A404" s="28">
        <v>3414206000608</v>
      </c>
      <c r="B404" s="29" t="s">
        <v>1743</v>
      </c>
      <c r="C404" s="33" t="s">
        <v>1744</v>
      </c>
      <c r="D404" s="31" t="s">
        <v>1745</v>
      </c>
      <c r="E404" s="51">
        <v>16.28</v>
      </c>
      <c r="F404" s="32" t="s">
        <v>14</v>
      </c>
      <c r="G404" s="32" t="s">
        <v>6291</v>
      </c>
      <c r="H404" s="22"/>
      <c r="I404" s="11">
        <f>Table1[[#This Row],[Qty]]*Table1[[#This Row],[Price]]</f>
        <v>0</v>
      </c>
    </row>
    <row r="405" spans="1:9" ht="13.5" customHeight="1" x14ac:dyDescent="0.25">
      <c r="A405" s="28">
        <v>3607349312459</v>
      </c>
      <c r="B405" s="29" t="s">
        <v>698</v>
      </c>
      <c r="C405" s="30" t="s">
        <v>699</v>
      </c>
      <c r="D405" s="31" t="s">
        <v>700</v>
      </c>
      <c r="E405" s="51">
        <v>12.97</v>
      </c>
      <c r="F405" s="32" t="s">
        <v>14</v>
      </c>
      <c r="G405" s="32" t="s">
        <v>5948</v>
      </c>
      <c r="H405" s="12"/>
      <c r="I405" s="11">
        <f>Table1[[#This Row],[Qty]]*Table1[[#This Row],[Price]]</f>
        <v>0</v>
      </c>
    </row>
    <row r="406" spans="1:9" ht="13.5" customHeight="1" x14ac:dyDescent="0.25">
      <c r="A406" s="28">
        <v>3607343191005</v>
      </c>
      <c r="B406" s="29" t="s">
        <v>905</v>
      </c>
      <c r="C406" s="30" t="s">
        <v>699</v>
      </c>
      <c r="D406" s="31" t="s">
        <v>906</v>
      </c>
      <c r="E406" s="51">
        <v>17.05</v>
      </c>
      <c r="F406" s="32" t="s">
        <v>14</v>
      </c>
      <c r="G406" s="32" t="s">
        <v>6040</v>
      </c>
      <c r="H406" s="22"/>
      <c r="I406" s="11">
        <f>Table1[[#This Row],[Qty]]*Table1[[#This Row],[Price]]</f>
        <v>0</v>
      </c>
    </row>
    <row r="407" spans="1:9" ht="13.5" customHeight="1" x14ac:dyDescent="0.25">
      <c r="A407" s="28">
        <v>7060988540816</v>
      </c>
      <c r="B407" s="29" t="s">
        <v>3647</v>
      </c>
      <c r="C407" s="30" t="s">
        <v>3643</v>
      </c>
      <c r="D407" s="31" t="s">
        <v>3648</v>
      </c>
      <c r="E407" s="51">
        <v>35.83</v>
      </c>
      <c r="F407" s="32" t="s">
        <v>14</v>
      </c>
      <c r="G407" s="32" t="s">
        <v>6948</v>
      </c>
      <c r="H407" s="12"/>
      <c r="I407" s="11">
        <f>Table1[[#This Row],[Qty]]*Table1[[#This Row],[Price]]</f>
        <v>0</v>
      </c>
    </row>
    <row r="408" spans="1:9" ht="13.5" customHeight="1" x14ac:dyDescent="0.25">
      <c r="A408" s="28">
        <v>7060988538936</v>
      </c>
      <c r="B408" s="29" t="s">
        <v>3649</v>
      </c>
      <c r="C408" s="30" t="s">
        <v>3643</v>
      </c>
      <c r="D408" s="31" t="s">
        <v>3650</v>
      </c>
      <c r="E408" s="51">
        <v>35.75</v>
      </c>
      <c r="F408" s="32" t="s">
        <v>14</v>
      </c>
      <c r="G408" s="32" t="s">
        <v>6949</v>
      </c>
      <c r="H408" s="12"/>
      <c r="I408" s="11">
        <f>Table1[[#This Row],[Qty]]*Table1[[#This Row],[Price]]</f>
        <v>0</v>
      </c>
    </row>
    <row r="409" spans="1:9" ht="13.5" customHeight="1" x14ac:dyDescent="0.25">
      <c r="A409" s="28">
        <v>7060988537700</v>
      </c>
      <c r="B409" s="29" t="s">
        <v>5595</v>
      </c>
      <c r="C409" s="30" t="s">
        <v>3643</v>
      </c>
      <c r="D409" s="31" t="s">
        <v>5596</v>
      </c>
      <c r="E409" s="51">
        <v>36.049999999999997</v>
      </c>
      <c r="F409" s="32" t="s">
        <v>14</v>
      </c>
      <c r="G409" s="32" t="s">
        <v>6992</v>
      </c>
      <c r="H409" s="12"/>
      <c r="I409" s="11">
        <f>Table1[[#This Row],[Qty]]*Table1[[#This Row],[Price]]</f>
        <v>0</v>
      </c>
    </row>
    <row r="410" spans="1:9" ht="13.5" customHeight="1" x14ac:dyDescent="0.25">
      <c r="A410" s="28">
        <v>634707675690</v>
      </c>
      <c r="B410" s="29" t="s">
        <v>5597</v>
      </c>
      <c r="C410" s="30" t="s">
        <v>3643</v>
      </c>
      <c r="D410" s="31" t="s">
        <v>5598</v>
      </c>
      <c r="E410" s="51">
        <v>37.049999999999997</v>
      </c>
      <c r="F410" s="32" t="s">
        <v>14</v>
      </c>
      <c r="G410" s="32" t="s">
        <v>6993</v>
      </c>
      <c r="H410" s="22"/>
      <c r="I410" s="11">
        <f>Table1[[#This Row],[Qty]]*Table1[[#This Row],[Price]]</f>
        <v>0</v>
      </c>
    </row>
    <row r="411" spans="1:9" ht="13.5" customHeight="1" x14ac:dyDescent="0.25">
      <c r="A411" s="28">
        <v>3386460149082</v>
      </c>
      <c r="B411" s="29" t="s">
        <v>594</v>
      </c>
      <c r="C411" s="30" t="s">
        <v>242</v>
      </c>
      <c r="D411" s="31" t="s">
        <v>595</v>
      </c>
      <c r="E411" s="51">
        <v>31.34</v>
      </c>
      <c r="F411" s="32" t="s">
        <v>14</v>
      </c>
      <c r="G411" s="32" t="s">
        <v>5901</v>
      </c>
      <c r="H411" s="22"/>
      <c r="I411" s="11">
        <f>Table1[[#This Row],[Qty]]*Table1[[#This Row],[Price]]</f>
        <v>0</v>
      </c>
    </row>
    <row r="412" spans="1:9" ht="13.5" customHeight="1" x14ac:dyDescent="0.25">
      <c r="A412" s="28">
        <v>3386460149440</v>
      </c>
      <c r="B412" s="29" t="s">
        <v>875</v>
      </c>
      <c r="C412" s="30" t="s">
        <v>242</v>
      </c>
      <c r="D412" s="31" t="s">
        <v>876</v>
      </c>
      <c r="E412" s="51">
        <v>25.76</v>
      </c>
      <c r="F412" s="32" t="s">
        <v>14</v>
      </c>
      <c r="G412" s="32" t="s">
        <v>6027</v>
      </c>
      <c r="H412" s="12"/>
      <c r="I412" s="11">
        <f>Table1[[#This Row],[Qty]]*Table1[[#This Row],[Price]]</f>
        <v>0</v>
      </c>
    </row>
    <row r="413" spans="1:9" ht="13.5" customHeight="1" x14ac:dyDescent="0.25">
      <c r="A413" s="28">
        <v>3386460149310</v>
      </c>
      <c r="B413" s="29" t="s">
        <v>973</v>
      </c>
      <c r="C413" s="30" t="s">
        <v>242</v>
      </c>
      <c r="D413" s="31" t="s">
        <v>974</v>
      </c>
      <c r="E413" s="51">
        <v>25.95</v>
      </c>
      <c r="F413" s="32" t="s">
        <v>14</v>
      </c>
      <c r="G413" s="32" t="s">
        <v>6071</v>
      </c>
      <c r="H413" s="13"/>
      <c r="I413" s="11">
        <f>Table1[[#This Row],[Qty]]*Table1[[#This Row],[Price]]</f>
        <v>0</v>
      </c>
    </row>
    <row r="414" spans="1:9" ht="13.5" customHeight="1" x14ac:dyDescent="0.25">
      <c r="A414" s="28">
        <v>3386460149198</v>
      </c>
      <c r="B414" s="29" t="s">
        <v>3659</v>
      </c>
      <c r="C414" s="30" t="s">
        <v>242</v>
      </c>
      <c r="D414" s="31" t="s">
        <v>3660</v>
      </c>
      <c r="E414" s="51">
        <v>29.95</v>
      </c>
      <c r="F414" s="32" t="s">
        <v>14</v>
      </c>
      <c r="G414" s="32" t="s">
        <v>6953</v>
      </c>
      <c r="H414" s="22"/>
      <c r="I414" s="11">
        <f>Table1[[#This Row],[Qty]]*Table1[[#This Row],[Price]]</f>
        <v>0</v>
      </c>
    </row>
    <row r="415" spans="1:9" ht="13.5" customHeight="1" x14ac:dyDescent="0.25">
      <c r="A415" s="28">
        <v>3614274169706</v>
      </c>
      <c r="B415" s="29" t="s">
        <v>919</v>
      </c>
      <c r="C415" s="30" t="s">
        <v>857</v>
      </c>
      <c r="D415" s="31" t="s">
        <v>920</v>
      </c>
      <c r="E415" s="51">
        <v>97.12</v>
      </c>
      <c r="F415" s="32" t="s">
        <v>14</v>
      </c>
      <c r="G415" s="32" t="s">
        <v>6047</v>
      </c>
      <c r="H415" s="22"/>
      <c r="I415" s="11">
        <f>Table1[[#This Row],[Qty]]*Table1[[#This Row],[Price]]</f>
        <v>0</v>
      </c>
    </row>
    <row r="416" spans="1:9" ht="13.5" customHeight="1" x14ac:dyDescent="0.25">
      <c r="A416" s="28">
        <v>3605533286555</v>
      </c>
      <c r="B416" s="29" t="s">
        <v>1068</v>
      </c>
      <c r="C416" s="30" t="s">
        <v>857</v>
      </c>
      <c r="D416" s="31" t="s">
        <v>1069</v>
      </c>
      <c r="E416" s="51">
        <v>81.209999999999994</v>
      </c>
      <c r="F416" s="32" t="s">
        <v>14</v>
      </c>
      <c r="G416" s="32" t="s">
        <v>6114</v>
      </c>
      <c r="H416" s="22"/>
      <c r="I416" s="11">
        <f>Table1[[#This Row],[Qty]]*Table1[[#This Row],[Price]]</f>
        <v>0</v>
      </c>
    </row>
    <row r="417" spans="1:9" ht="13.5" customHeight="1" x14ac:dyDescent="0.25">
      <c r="A417" s="28">
        <v>3614272992054</v>
      </c>
      <c r="B417" s="29" t="s">
        <v>1270</v>
      </c>
      <c r="C417" s="30" t="s">
        <v>857</v>
      </c>
      <c r="D417" s="31" t="s">
        <v>1271</v>
      </c>
      <c r="E417" s="51">
        <v>104</v>
      </c>
      <c r="F417" s="32" t="s">
        <v>14</v>
      </c>
      <c r="G417" s="32" t="s">
        <v>6181</v>
      </c>
      <c r="H417" s="22"/>
      <c r="I417" s="11">
        <f>Table1[[#This Row],[Qty]]*Table1[[#This Row],[Price]]</f>
        <v>0</v>
      </c>
    </row>
    <row r="418" spans="1:9" ht="13.5" customHeight="1" x14ac:dyDescent="0.25">
      <c r="A418" s="28">
        <v>3614273069175</v>
      </c>
      <c r="B418" s="29" t="s">
        <v>2623</v>
      </c>
      <c r="C418" s="30" t="s">
        <v>857</v>
      </c>
      <c r="D418" s="31" t="s">
        <v>2624</v>
      </c>
      <c r="E418" s="51">
        <v>89.46</v>
      </c>
      <c r="F418" s="32" t="s">
        <v>14</v>
      </c>
      <c r="G418" s="32" t="s">
        <v>6543</v>
      </c>
      <c r="H418" s="22"/>
      <c r="I418" s="11">
        <f>Table1[[#This Row],[Qty]]*Table1[[#This Row],[Price]]</f>
        <v>0</v>
      </c>
    </row>
    <row r="419" spans="1:9" ht="13.5" customHeight="1" x14ac:dyDescent="0.25">
      <c r="A419" s="28">
        <v>3614274510133</v>
      </c>
      <c r="B419" s="29" t="s">
        <v>3359</v>
      </c>
      <c r="C419" s="30" t="s">
        <v>857</v>
      </c>
      <c r="D419" s="31" t="s">
        <v>3360</v>
      </c>
      <c r="E419" s="51">
        <v>129.19</v>
      </c>
      <c r="F419" s="32" t="s">
        <v>14</v>
      </c>
      <c r="G419" s="32" t="s">
        <v>6809</v>
      </c>
      <c r="H419" s="14"/>
      <c r="I419" s="11">
        <f>Table1[[#This Row],[Qty]]*Table1[[#This Row],[Price]]</f>
        <v>0</v>
      </c>
    </row>
    <row r="420" spans="1:9" ht="13.5" customHeight="1" x14ac:dyDescent="0.25">
      <c r="A420" s="28">
        <v>3614274397253</v>
      </c>
      <c r="B420" s="29" t="s">
        <v>3556</v>
      </c>
      <c r="C420" s="30" t="s">
        <v>857</v>
      </c>
      <c r="D420" s="31" t="s">
        <v>3557</v>
      </c>
      <c r="E420" s="51">
        <v>97</v>
      </c>
      <c r="F420" s="32" t="s">
        <v>14</v>
      </c>
      <c r="G420" s="32" t="s">
        <v>6905</v>
      </c>
      <c r="H420" s="22"/>
      <c r="I420" s="11">
        <f>Table1[[#This Row],[Qty]]*Table1[[#This Row],[Price]]</f>
        <v>0</v>
      </c>
    </row>
    <row r="421" spans="1:9" ht="13.5" customHeight="1" x14ac:dyDescent="0.25">
      <c r="A421" s="28">
        <v>3614274299229</v>
      </c>
      <c r="B421" s="29" t="s">
        <v>3564</v>
      </c>
      <c r="C421" s="30" t="s">
        <v>857</v>
      </c>
      <c r="D421" s="31" t="s">
        <v>3565</v>
      </c>
      <c r="E421" s="51">
        <v>89</v>
      </c>
      <c r="F421" s="32" t="s">
        <v>14</v>
      </c>
      <c r="G421" s="32" t="s">
        <v>6909</v>
      </c>
      <c r="H421" s="12"/>
      <c r="I421" s="11">
        <f>Table1[[#This Row],[Qty]]*Table1[[#This Row],[Price]]</f>
        <v>0</v>
      </c>
    </row>
    <row r="422" spans="1:9" ht="13.5" customHeight="1" x14ac:dyDescent="0.25">
      <c r="A422" s="28">
        <v>3614274380392</v>
      </c>
      <c r="B422" s="29" t="s">
        <v>3572</v>
      </c>
      <c r="C422" s="30" t="s">
        <v>857</v>
      </c>
      <c r="D422" s="31" t="s">
        <v>3573</v>
      </c>
      <c r="E422" s="51">
        <v>44.52</v>
      </c>
      <c r="F422" s="32" t="s">
        <v>14</v>
      </c>
      <c r="G422" s="32" t="s">
        <v>6913</v>
      </c>
      <c r="H422" s="22"/>
      <c r="I422" s="11">
        <f>Table1[[#This Row],[Qty]]*Table1[[#This Row],[Price]]</f>
        <v>0</v>
      </c>
    </row>
    <row r="423" spans="1:9" ht="13.5" customHeight="1" x14ac:dyDescent="0.25">
      <c r="A423" s="28">
        <v>3614274380408</v>
      </c>
      <c r="B423" s="29" t="s">
        <v>3574</v>
      </c>
      <c r="C423" s="30" t="s">
        <v>857</v>
      </c>
      <c r="D423" s="31" t="s">
        <v>3575</v>
      </c>
      <c r="E423" s="51">
        <v>44.52</v>
      </c>
      <c r="F423" s="32" t="s">
        <v>14</v>
      </c>
      <c r="G423" s="32" t="s">
        <v>6914</v>
      </c>
      <c r="H423" s="22"/>
      <c r="I423" s="11">
        <f>Table1[[#This Row],[Qty]]*Table1[[#This Row],[Price]]</f>
        <v>0</v>
      </c>
    </row>
    <row r="424" spans="1:9" ht="13.5" customHeight="1" x14ac:dyDescent="0.25">
      <c r="A424" s="28">
        <v>3614274380415</v>
      </c>
      <c r="B424" s="29" t="s">
        <v>3576</v>
      </c>
      <c r="C424" s="30" t="s">
        <v>857</v>
      </c>
      <c r="D424" s="31" t="s">
        <v>3577</v>
      </c>
      <c r="E424" s="51">
        <v>44.52</v>
      </c>
      <c r="F424" s="32" t="s">
        <v>14</v>
      </c>
      <c r="G424" s="32" t="s">
        <v>6915</v>
      </c>
      <c r="H424" s="12"/>
      <c r="I424" s="11">
        <f>Table1[[#This Row],[Qty]]*Table1[[#This Row],[Price]]</f>
        <v>0</v>
      </c>
    </row>
    <row r="425" spans="1:9" ht="13.5" customHeight="1" x14ac:dyDescent="0.25">
      <c r="A425" s="28">
        <v>6290362349075</v>
      </c>
      <c r="B425" s="29" t="s">
        <v>306</v>
      </c>
      <c r="C425" s="30" t="s">
        <v>22</v>
      </c>
      <c r="D425" s="31" t="s">
        <v>307</v>
      </c>
      <c r="E425" s="51">
        <v>20.5</v>
      </c>
      <c r="F425" s="32" t="s">
        <v>14</v>
      </c>
      <c r="G425" s="32" t="s">
        <v>5763</v>
      </c>
      <c r="H425" s="12"/>
      <c r="I425" s="11">
        <f>Table1[[#This Row],[Qty]]*Table1[[#This Row],[Price]]</f>
        <v>0</v>
      </c>
    </row>
    <row r="426" spans="1:9" ht="13.5" customHeight="1" x14ac:dyDescent="0.25">
      <c r="A426" s="48">
        <v>6291108730515</v>
      </c>
      <c r="B426" s="41" t="s">
        <v>310</v>
      </c>
      <c r="C426" s="6" t="s">
        <v>22</v>
      </c>
      <c r="D426" t="s">
        <v>311</v>
      </c>
      <c r="E426" s="47">
        <v>17</v>
      </c>
      <c r="F426" s="6" t="s">
        <v>14</v>
      </c>
      <c r="G426" s="6" t="s">
        <v>5765</v>
      </c>
      <c r="H426" s="22"/>
      <c r="I426" s="11">
        <f>Table1[[#This Row],[Qty]]*Table1[[#This Row],[Price]]</f>
        <v>0</v>
      </c>
    </row>
    <row r="427" spans="1:9" ht="13.5" customHeight="1" x14ac:dyDescent="0.25">
      <c r="A427" s="28">
        <v>6290362346548</v>
      </c>
      <c r="B427" s="29" t="s">
        <v>318</v>
      </c>
      <c r="C427" s="33" t="s">
        <v>22</v>
      </c>
      <c r="D427" s="31" t="s">
        <v>319</v>
      </c>
      <c r="E427" s="51">
        <v>22.5</v>
      </c>
      <c r="F427" s="32" t="s">
        <v>14</v>
      </c>
      <c r="G427" s="32" t="s">
        <v>5769</v>
      </c>
      <c r="H427" s="22"/>
      <c r="I427" s="11">
        <f>Table1[[#This Row],[Qty]]*Table1[[#This Row],[Price]]</f>
        <v>0</v>
      </c>
    </row>
    <row r="428" spans="1:9" ht="13.5" customHeight="1" x14ac:dyDescent="0.25">
      <c r="A428" s="28">
        <v>6290362346531</v>
      </c>
      <c r="B428" s="29" t="s">
        <v>320</v>
      </c>
      <c r="C428" s="30" t="s">
        <v>22</v>
      </c>
      <c r="D428" s="31" t="s">
        <v>321</v>
      </c>
      <c r="E428" s="51">
        <v>21.7</v>
      </c>
      <c r="F428" s="32" t="s">
        <v>14</v>
      </c>
      <c r="G428" s="32" t="s">
        <v>5770</v>
      </c>
      <c r="H428" s="12"/>
      <c r="I428" s="11">
        <f>Table1[[#This Row],[Qty]]*Table1[[#This Row],[Price]]</f>
        <v>0</v>
      </c>
    </row>
    <row r="429" spans="1:9" ht="13.5" customHeight="1" x14ac:dyDescent="0.25">
      <c r="A429" s="28">
        <v>6290362349686</v>
      </c>
      <c r="B429" s="29" t="s">
        <v>343</v>
      </c>
      <c r="C429" s="30" t="s">
        <v>22</v>
      </c>
      <c r="D429" s="31" t="s">
        <v>344</v>
      </c>
      <c r="E429" s="51">
        <v>26.5</v>
      </c>
      <c r="F429" s="32" t="s">
        <v>14</v>
      </c>
      <c r="G429" s="32" t="s">
        <v>5784</v>
      </c>
      <c r="H429" s="22"/>
      <c r="I429" s="11">
        <f>Table1[[#This Row],[Qty]]*Table1[[#This Row],[Price]]</f>
        <v>0</v>
      </c>
    </row>
    <row r="430" spans="1:9" ht="13.5" customHeight="1" x14ac:dyDescent="0.25">
      <c r="A430" s="28">
        <v>6290360599168</v>
      </c>
      <c r="B430" s="29" t="s">
        <v>345</v>
      </c>
      <c r="C430" s="30" t="s">
        <v>22</v>
      </c>
      <c r="D430" s="31" t="s">
        <v>346</v>
      </c>
      <c r="E430" s="51">
        <v>15.86</v>
      </c>
      <c r="F430" s="32" t="s">
        <v>14</v>
      </c>
      <c r="G430" s="32" t="s">
        <v>5785</v>
      </c>
      <c r="H430" s="12"/>
      <c r="I430" s="11">
        <f>Table1[[#This Row],[Qty]]*Table1[[#This Row],[Price]]</f>
        <v>0</v>
      </c>
    </row>
    <row r="431" spans="1:9" ht="13.5" customHeight="1" x14ac:dyDescent="0.25">
      <c r="A431" s="28">
        <v>6290362342373</v>
      </c>
      <c r="B431" s="29" t="s">
        <v>347</v>
      </c>
      <c r="C431" s="30" t="s">
        <v>22</v>
      </c>
      <c r="D431" s="31" t="s">
        <v>348</v>
      </c>
      <c r="E431" s="51">
        <v>17.71</v>
      </c>
      <c r="F431" s="32" t="s">
        <v>14</v>
      </c>
      <c r="G431" s="32" t="s">
        <v>5786</v>
      </c>
      <c r="H431" s="12"/>
      <c r="I431" s="11">
        <f>Table1[[#This Row],[Qty]]*Table1[[#This Row],[Price]]</f>
        <v>0</v>
      </c>
    </row>
    <row r="432" spans="1:9" ht="13.5" customHeight="1" x14ac:dyDescent="0.25">
      <c r="A432" s="28">
        <v>6291108733875</v>
      </c>
      <c r="B432" s="29" t="s">
        <v>349</v>
      </c>
      <c r="C432" s="30" t="s">
        <v>22</v>
      </c>
      <c r="D432" s="31" t="s">
        <v>350</v>
      </c>
      <c r="E432" s="51">
        <v>15.68</v>
      </c>
      <c r="F432" s="32" t="s">
        <v>14</v>
      </c>
      <c r="G432" s="32" t="s">
        <v>5787</v>
      </c>
      <c r="H432" s="22"/>
      <c r="I432" s="11">
        <f>Table1[[#This Row],[Qty]]*Table1[[#This Row],[Price]]</f>
        <v>0</v>
      </c>
    </row>
    <row r="433" spans="1:9" ht="13.5" customHeight="1" x14ac:dyDescent="0.25">
      <c r="A433" s="28">
        <v>6291107456058</v>
      </c>
      <c r="B433" s="29" t="s">
        <v>355</v>
      </c>
      <c r="C433" s="30" t="s">
        <v>22</v>
      </c>
      <c r="D433" s="31" t="s">
        <v>356</v>
      </c>
      <c r="E433" s="51">
        <v>17</v>
      </c>
      <c r="F433" s="32" t="s">
        <v>14</v>
      </c>
      <c r="G433" s="32" t="s">
        <v>5790</v>
      </c>
      <c r="H433" s="22"/>
      <c r="I433" s="11">
        <f>Table1[[#This Row],[Qty]]*Table1[[#This Row],[Price]]</f>
        <v>0</v>
      </c>
    </row>
    <row r="434" spans="1:9" ht="13.5" customHeight="1" x14ac:dyDescent="0.25">
      <c r="A434" s="28">
        <v>6291107450193</v>
      </c>
      <c r="B434" s="29" t="s">
        <v>359</v>
      </c>
      <c r="C434" s="30" t="s">
        <v>22</v>
      </c>
      <c r="D434" s="31" t="s">
        <v>360</v>
      </c>
      <c r="E434" s="51">
        <v>12.32</v>
      </c>
      <c r="F434" s="32" t="s">
        <v>14</v>
      </c>
      <c r="G434" s="32" t="s">
        <v>5792</v>
      </c>
      <c r="H434" s="22"/>
      <c r="I434" s="11">
        <f>Table1[[#This Row],[Qty]]*Table1[[#This Row],[Price]]</f>
        <v>0</v>
      </c>
    </row>
    <row r="435" spans="1:9" ht="13.5" customHeight="1" x14ac:dyDescent="0.25">
      <c r="A435" s="28">
        <v>6291107458328</v>
      </c>
      <c r="B435" s="29" t="s">
        <v>367</v>
      </c>
      <c r="C435" s="30" t="s">
        <v>22</v>
      </c>
      <c r="D435" s="31" t="s">
        <v>368</v>
      </c>
      <c r="E435" s="51">
        <v>16.5</v>
      </c>
      <c r="F435" s="32" t="s">
        <v>14</v>
      </c>
      <c r="G435" s="32" t="s">
        <v>5796</v>
      </c>
      <c r="H435" s="22"/>
      <c r="I435" s="11">
        <f>Table1[[#This Row],[Qty]]*Table1[[#This Row],[Price]]</f>
        <v>0</v>
      </c>
    </row>
    <row r="436" spans="1:9" ht="13.5" customHeight="1" x14ac:dyDescent="0.25">
      <c r="A436" s="28">
        <v>6290362341826</v>
      </c>
      <c r="B436" s="29" t="s">
        <v>369</v>
      </c>
      <c r="C436" s="30" t="s">
        <v>22</v>
      </c>
      <c r="D436" s="31" t="s">
        <v>370</v>
      </c>
      <c r="E436" s="51">
        <v>12.57</v>
      </c>
      <c r="F436" s="32" t="s">
        <v>14</v>
      </c>
      <c r="G436" s="32" t="s">
        <v>5797</v>
      </c>
      <c r="H436" s="12"/>
      <c r="I436" s="11">
        <f>Table1[[#This Row],[Qty]]*Table1[[#This Row],[Price]]</f>
        <v>0</v>
      </c>
    </row>
    <row r="437" spans="1:9" ht="13.5" customHeight="1" x14ac:dyDescent="0.25">
      <c r="A437" s="28">
        <v>6290360591421</v>
      </c>
      <c r="B437" s="29" t="s">
        <v>377</v>
      </c>
      <c r="C437" s="30" t="s">
        <v>22</v>
      </c>
      <c r="D437" s="31" t="s">
        <v>378</v>
      </c>
      <c r="E437" s="51">
        <v>16.29</v>
      </c>
      <c r="F437" s="32" t="s">
        <v>14</v>
      </c>
      <c r="G437" s="32" t="s">
        <v>5801</v>
      </c>
      <c r="H437" s="22"/>
      <c r="I437" s="11">
        <f>Table1[[#This Row],[Qty]]*Table1[[#This Row],[Price]]</f>
        <v>0</v>
      </c>
    </row>
    <row r="438" spans="1:9" ht="13.5" customHeight="1" x14ac:dyDescent="0.25">
      <c r="A438" s="28">
        <v>6290360590349</v>
      </c>
      <c r="B438" s="29" t="s">
        <v>381</v>
      </c>
      <c r="C438" s="33" t="s">
        <v>22</v>
      </c>
      <c r="D438" s="31" t="s">
        <v>382</v>
      </c>
      <c r="E438" s="51">
        <v>12.29</v>
      </c>
      <c r="F438" s="32" t="s">
        <v>14</v>
      </c>
      <c r="G438" s="32" t="s">
        <v>5803</v>
      </c>
      <c r="H438" s="22"/>
      <c r="I438" s="11">
        <f>Table1[[#This Row],[Qty]]*Table1[[#This Row],[Price]]</f>
        <v>0</v>
      </c>
    </row>
    <row r="439" spans="1:9" ht="13.5" customHeight="1" x14ac:dyDescent="0.25">
      <c r="A439" s="28">
        <v>6290360591513</v>
      </c>
      <c r="B439" s="29" t="s">
        <v>385</v>
      </c>
      <c r="C439" s="30" t="s">
        <v>22</v>
      </c>
      <c r="D439" s="31" t="s">
        <v>386</v>
      </c>
      <c r="E439" s="51">
        <v>17.45</v>
      </c>
      <c r="F439" s="32" t="s">
        <v>14</v>
      </c>
      <c r="G439" s="32" t="s">
        <v>5805</v>
      </c>
      <c r="H439" s="12"/>
      <c r="I439" s="11">
        <f>Table1[[#This Row],[Qty]]*Table1[[#This Row],[Price]]</f>
        <v>0</v>
      </c>
    </row>
    <row r="440" spans="1:9" ht="13.5" customHeight="1" x14ac:dyDescent="0.25">
      <c r="A440" s="28">
        <v>6290360598963</v>
      </c>
      <c r="B440" s="29" t="s">
        <v>393</v>
      </c>
      <c r="C440" s="30" t="s">
        <v>22</v>
      </c>
      <c r="D440" s="31" t="s">
        <v>394</v>
      </c>
      <c r="E440" s="51">
        <v>17.739999999999998</v>
      </c>
      <c r="F440" s="32" t="s">
        <v>14</v>
      </c>
      <c r="G440" s="32" t="s">
        <v>5809</v>
      </c>
      <c r="H440" s="22"/>
      <c r="I440" s="11">
        <f>Table1[[#This Row],[Qty]]*Table1[[#This Row],[Price]]</f>
        <v>0</v>
      </c>
    </row>
    <row r="441" spans="1:9" ht="13.5" customHeight="1" x14ac:dyDescent="0.25">
      <c r="A441" s="28">
        <v>6291108737323</v>
      </c>
      <c r="B441" s="29" t="s">
        <v>395</v>
      </c>
      <c r="C441" s="30" t="s">
        <v>22</v>
      </c>
      <c r="D441" s="31" t="s">
        <v>396</v>
      </c>
      <c r="E441" s="51">
        <v>20.83</v>
      </c>
      <c r="F441" s="32" t="s">
        <v>14</v>
      </c>
      <c r="G441" s="32" t="s">
        <v>5810</v>
      </c>
      <c r="H441" s="22"/>
      <c r="I441" s="11">
        <f>Table1[[#This Row],[Qty]]*Table1[[#This Row],[Price]]</f>
        <v>0</v>
      </c>
    </row>
    <row r="442" spans="1:9" ht="13.5" customHeight="1" x14ac:dyDescent="0.25">
      <c r="A442" s="28">
        <v>6291107457895</v>
      </c>
      <c r="B442" s="29" t="s">
        <v>397</v>
      </c>
      <c r="C442" s="30" t="s">
        <v>22</v>
      </c>
      <c r="D442" s="31" t="s">
        <v>398</v>
      </c>
      <c r="E442" s="51">
        <v>11.23</v>
      </c>
      <c r="F442" s="32" t="s">
        <v>14</v>
      </c>
      <c r="G442" s="32" t="s">
        <v>5811</v>
      </c>
      <c r="H442" s="22"/>
      <c r="I442" s="11">
        <f>Table1[[#This Row],[Qty]]*Table1[[#This Row],[Price]]</f>
        <v>0</v>
      </c>
    </row>
    <row r="443" spans="1:9" ht="13.5" customHeight="1" x14ac:dyDescent="0.25">
      <c r="A443" s="28">
        <v>6290360599441</v>
      </c>
      <c r="B443" s="29" t="s">
        <v>401</v>
      </c>
      <c r="C443" s="30" t="s">
        <v>22</v>
      </c>
      <c r="D443" s="31" t="s">
        <v>402</v>
      </c>
      <c r="E443" s="51">
        <v>17.59</v>
      </c>
      <c r="F443" s="32" t="s">
        <v>14</v>
      </c>
      <c r="G443" s="32" t="s">
        <v>5813</v>
      </c>
      <c r="H443" s="12"/>
      <c r="I443" s="11">
        <f>Table1[[#This Row],[Qty]]*Table1[[#This Row],[Price]]</f>
        <v>0</v>
      </c>
    </row>
    <row r="444" spans="1:9" ht="13.5" customHeight="1" x14ac:dyDescent="0.25">
      <c r="A444" s="28">
        <v>6290360598352</v>
      </c>
      <c r="B444" s="29" t="s">
        <v>403</v>
      </c>
      <c r="C444" s="30" t="s">
        <v>22</v>
      </c>
      <c r="D444" s="31" t="s">
        <v>404</v>
      </c>
      <c r="E444" s="51">
        <v>17.21</v>
      </c>
      <c r="F444" s="32" t="s">
        <v>14</v>
      </c>
      <c r="G444" s="32" t="s">
        <v>5814</v>
      </c>
      <c r="H444" s="22"/>
      <c r="I444" s="11">
        <f>Table1[[#This Row],[Qty]]*Table1[[#This Row],[Price]]</f>
        <v>0</v>
      </c>
    </row>
    <row r="445" spans="1:9" ht="13.5" customHeight="1" x14ac:dyDescent="0.25">
      <c r="A445" s="28">
        <v>6291108734056</v>
      </c>
      <c r="B445" s="29" t="s">
        <v>418</v>
      </c>
      <c r="C445" s="30" t="s">
        <v>22</v>
      </c>
      <c r="D445" s="31" t="s">
        <v>419</v>
      </c>
      <c r="E445" s="51">
        <v>10.96</v>
      </c>
      <c r="F445" s="32" t="s">
        <v>14</v>
      </c>
      <c r="G445" s="32" t="s">
        <v>5821</v>
      </c>
      <c r="H445" s="12"/>
      <c r="I445" s="11">
        <f>Table1[[#This Row],[Qty]]*Table1[[#This Row],[Price]]</f>
        <v>0</v>
      </c>
    </row>
    <row r="446" spans="1:9" ht="13.5" customHeight="1" x14ac:dyDescent="0.25">
      <c r="A446" s="28">
        <v>6290360598970</v>
      </c>
      <c r="B446" s="29" t="s">
        <v>420</v>
      </c>
      <c r="C446" s="30" t="s">
        <v>22</v>
      </c>
      <c r="D446" s="31" t="s">
        <v>421</v>
      </c>
      <c r="E446" s="51">
        <v>13.23</v>
      </c>
      <c r="F446" s="32" t="s">
        <v>14</v>
      </c>
      <c r="G446" s="32" t="s">
        <v>5822</v>
      </c>
      <c r="H446" s="22"/>
      <c r="I446" s="11">
        <f>Table1[[#This Row],[Qty]]*Table1[[#This Row],[Price]]</f>
        <v>0</v>
      </c>
    </row>
    <row r="447" spans="1:9" ht="13.5" customHeight="1" x14ac:dyDescent="0.25">
      <c r="A447" s="28">
        <v>6290362340126</v>
      </c>
      <c r="B447" s="29" t="s">
        <v>426</v>
      </c>
      <c r="C447" s="30" t="s">
        <v>22</v>
      </c>
      <c r="D447" s="31" t="s">
        <v>427</v>
      </c>
      <c r="E447" s="51">
        <v>21.81</v>
      </c>
      <c r="F447" s="32" t="s">
        <v>14</v>
      </c>
      <c r="G447" s="32" t="s">
        <v>5825</v>
      </c>
      <c r="H447" s="12"/>
      <c r="I447" s="11">
        <f>Table1[[#This Row],[Qty]]*Table1[[#This Row],[Price]]</f>
        <v>0</v>
      </c>
    </row>
    <row r="448" spans="1:9" ht="13.5" customHeight="1" x14ac:dyDescent="0.25">
      <c r="A448" s="28">
        <v>6291108738016</v>
      </c>
      <c r="B448" s="29" t="s">
        <v>434</v>
      </c>
      <c r="C448" s="30" t="s">
        <v>22</v>
      </c>
      <c r="D448" s="31" t="s">
        <v>435</v>
      </c>
      <c r="E448" s="51">
        <v>15.43</v>
      </c>
      <c r="F448" s="32" t="s">
        <v>14</v>
      </c>
      <c r="G448" s="32" t="s">
        <v>5829</v>
      </c>
      <c r="H448" s="22"/>
      <c r="I448" s="11">
        <f>Table1[[#This Row],[Qty]]*Table1[[#This Row],[Price]]</f>
        <v>0</v>
      </c>
    </row>
    <row r="449" spans="1:9" ht="13.5" customHeight="1" x14ac:dyDescent="0.25">
      <c r="A449" s="28">
        <v>6291108732496</v>
      </c>
      <c r="B449" s="29" t="s">
        <v>440</v>
      </c>
      <c r="C449" s="30" t="s">
        <v>22</v>
      </c>
      <c r="D449" s="31" t="s">
        <v>441</v>
      </c>
      <c r="E449" s="51">
        <v>18.989999999999998</v>
      </c>
      <c r="F449" s="32" t="s">
        <v>14</v>
      </c>
      <c r="G449" s="32" t="s">
        <v>5832</v>
      </c>
      <c r="H449" s="22"/>
      <c r="I449" s="11">
        <f>Table1[[#This Row],[Qty]]*Table1[[#This Row],[Price]]</f>
        <v>0</v>
      </c>
    </row>
    <row r="450" spans="1:9" ht="13.5" customHeight="1" x14ac:dyDescent="0.25">
      <c r="A450" s="28">
        <v>6291108738665</v>
      </c>
      <c r="B450" s="29" t="s">
        <v>465</v>
      </c>
      <c r="C450" s="30" t="s">
        <v>22</v>
      </c>
      <c r="D450" s="31" t="s">
        <v>466</v>
      </c>
      <c r="E450" s="51">
        <v>18.5</v>
      </c>
      <c r="F450" s="32" t="s">
        <v>14</v>
      </c>
      <c r="G450" s="32" t="s">
        <v>5843</v>
      </c>
      <c r="H450" s="22"/>
      <c r="I450" s="11">
        <f>Table1[[#This Row],[Qty]]*Table1[[#This Row],[Price]]</f>
        <v>0</v>
      </c>
    </row>
    <row r="451" spans="1:9" ht="13.5" customHeight="1" x14ac:dyDescent="0.25">
      <c r="A451" s="28">
        <v>6291108738504</v>
      </c>
      <c r="B451" s="29" t="s">
        <v>480</v>
      </c>
      <c r="C451" s="30" t="s">
        <v>22</v>
      </c>
      <c r="D451" s="31" t="s">
        <v>481</v>
      </c>
      <c r="E451" s="51">
        <v>19.22</v>
      </c>
      <c r="F451" s="32" t="s">
        <v>14</v>
      </c>
      <c r="G451" s="32" t="s">
        <v>5850</v>
      </c>
      <c r="H451" s="12"/>
      <c r="I451" s="11">
        <f>Table1[[#This Row],[Qty]]*Table1[[#This Row],[Price]]</f>
        <v>0</v>
      </c>
    </row>
    <row r="452" spans="1:9" ht="13.5" customHeight="1" x14ac:dyDescent="0.25">
      <c r="A452" s="28">
        <v>6290360594552</v>
      </c>
      <c r="B452" s="29" t="s">
        <v>504</v>
      </c>
      <c r="C452" s="30" t="s">
        <v>22</v>
      </c>
      <c r="D452" s="31" t="s">
        <v>505</v>
      </c>
      <c r="E452" s="51">
        <v>15.98</v>
      </c>
      <c r="F452" s="32" t="s">
        <v>14</v>
      </c>
      <c r="G452" s="32" t="s">
        <v>5860</v>
      </c>
      <c r="H452" s="12"/>
      <c r="I452" s="11">
        <f>Table1[[#This Row],[Qty]]*Table1[[#This Row],[Price]]</f>
        <v>0</v>
      </c>
    </row>
    <row r="453" spans="1:9" ht="13.5" customHeight="1" x14ac:dyDescent="0.25">
      <c r="A453" s="28">
        <v>6291108738177</v>
      </c>
      <c r="B453" s="29" t="s">
        <v>508</v>
      </c>
      <c r="C453" s="30" t="s">
        <v>22</v>
      </c>
      <c r="D453" s="31" t="s">
        <v>509</v>
      </c>
      <c r="E453" s="51">
        <v>20.32</v>
      </c>
      <c r="F453" s="32" t="s">
        <v>14</v>
      </c>
      <c r="G453" s="32" t="s">
        <v>5862</v>
      </c>
      <c r="H453" s="12"/>
      <c r="I453" s="11">
        <f>Table1[[#This Row],[Qty]]*Table1[[#This Row],[Price]]</f>
        <v>0</v>
      </c>
    </row>
    <row r="454" spans="1:9" ht="13.5" customHeight="1" x14ac:dyDescent="0.25">
      <c r="A454" s="28">
        <v>6290362345749</v>
      </c>
      <c r="B454" s="29" t="s">
        <v>519</v>
      </c>
      <c r="C454" s="30" t="s">
        <v>22</v>
      </c>
      <c r="D454" s="31" t="s">
        <v>520</v>
      </c>
      <c r="E454" s="51">
        <v>24.93</v>
      </c>
      <c r="F454" s="32" t="s">
        <v>14</v>
      </c>
      <c r="G454" s="32" t="s">
        <v>5867</v>
      </c>
      <c r="H454" s="22"/>
      <c r="I454" s="11">
        <f>Table1[[#This Row],[Qty]]*Table1[[#This Row],[Price]]</f>
        <v>0</v>
      </c>
    </row>
    <row r="455" spans="1:9" ht="13.5" customHeight="1" x14ac:dyDescent="0.25">
      <c r="A455" s="28">
        <v>6290360593722</v>
      </c>
      <c r="B455" s="29" t="s">
        <v>551</v>
      </c>
      <c r="C455" s="30" t="s">
        <v>22</v>
      </c>
      <c r="D455" s="31" t="s">
        <v>552</v>
      </c>
      <c r="E455" s="51">
        <v>19.34</v>
      </c>
      <c r="F455" s="32" t="s">
        <v>14</v>
      </c>
      <c r="G455" s="32" t="s">
        <v>5882</v>
      </c>
      <c r="H455" s="22"/>
      <c r="I455" s="11">
        <f>Table1[[#This Row],[Qty]]*Table1[[#This Row],[Price]]</f>
        <v>0</v>
      </c>
    </row>
    <row r="456" spans="1:9" ht="13.5" customHeight="1" x14ac:dyDescent="0.25">
      <c r="A456" s="28">
        <v>6290360593036</v>
      </c>
      <c r="B456" s="29" t="s">
        <v>576</v>
      </c>
      <c r="C456" s="33" t="s">
        <v>22</v>
      </c>
      <c r="D456" s="31" t="s">
        <v>577</v>
      </c>
      <c r="E456" s="51">
        <v>30.5</v>
      </c>
      <c r="F456" s="32" t="s">
        <v>14</v>
      </c>
      <c r="G456" s="32" t="s">
        <v>5892</v>
      </c>
      <c r="H456" s="22"/>
      <c r="I456" s="11">
        <f>Table1[[#This Row],[Qty]]*Table1[[#This Row],[Price]]</f>
        <v>0</v>
      </c>
    </row>
    <row r="457" spans="1:9" ht="13.5" customHeight="1" x14ac:dyDescent="0.25">
      <c r="A457" s="28">
        <v>6290360593159</v>
      </c>
      <c r="B457" s="29" t="s">
        <v>578</v>
      </c>
      <c r="C457" s="33" t="s">
        <v>22</v>
      </c>
      <c r="D457" s="31" t="s">
        <v>579</v>
      </c>
      <c r="E457" s="51">
        <v>24.22</v>
      </c>
      <c r="F457" s="32" t="s">
        <v>14</v>
      </c>
      <c r="G457" s="32" t="s">
        <v>5893</v>
      </c>
      <c r="H457" s="22"/>
      <c r="I457" s="11">
        <f>Table1[[#This Row],[Qty]]*Table1[[#This Row],[Price]]</f>
        <v>0</v>
      </c>
    </row>
    <row r="458" spans="1:9" ht="13.5" customHeight="1" x14ac:dyDescent="0.25">
      <c r="A458" s="28">
        <v>6291108738672</v>
      </c>
      <c r="B458" s="29" t="s">
        <v>737</v>
      </c>
      <c r="C458" s="33" t="s">
        <v>22</v>
      </c>
      <c r="D458" s="31" t="s">
        <v>738</v>
      </c>
      <c r="E458" s="51">
        <v>20.91</v>
      </c>
      <c r="F458" s="32" t="s">
        <v>14</v>
      </c>
      <c r="G458" s="32" t="s">
        <v>5966</v>
      </c>
      <c r="H458" s="22"/>
      <c r="I458" s="11">
        <f>Table1[[#This Row],[Qty]]*Table1[[#This Row],[Price]]</f>
        <v>0</v>
      </c>
    </row>
    <row r="459" spans="1:9" ht="13.5" customHeight="1" x14ac:dyDescent="0.25">
      <c r="A459" s="28">
        <v>6290360593180</v>
      </c>
      <c r="B459" s="29" t="s">
        <v>763</v>
      </c>
      <c r="C459" s="30" t="s">
        <v>22</v>
      </c>
      <c r="D459" s="31" t="s">
        <v>764</v>
      </c>
      <c r="E459" s="51">
        <v>11.2</v>
      </c>
      <c r="F459" s="32" t="s">
        <v>14</v>
      </c>
      <c r="G459" s="32" t="s">
        <v>5978</v>
      </c>
      <c r="H459" s="12"/>
      <c r="I459" s="11">
        <f>Table1[[#This Row],[Qty]]*Table1[[#This Row],[Price]]</f>
        <v>0</v>
      </c>
    </row>
    <row r="460" spans="1:9" ht="13.5" customHeight="1" x14ac:dyDescent="0.25">
      <c r="A460" s="28">
        <v>6290362346128</v>
      </c>
      <c r="B460" s="29" t="s">
        <v>971</v>
      </c>
      <c r="C460" s="30" t="s">
        <v>22</v>
      </c>
      <c r="D460" s="31" t="s">
        <v>972</v>
      </c>
      <c r="E460" s="51">
        <v>27.5</v>
      </c>
      <c r="F460" s="32" t="s">
        <v>14</v>
      </c>
      <c r="G460" s="32" t="s">
        <v>6070</v>
      </c>
      <c r="H460" s="22"/>
      <c r="I460" s="11">
        <f>Table1[[#This Row],[Qty]]*Table1[[#This Row],[Price]]</f>
        <v>0</v>
      </c>
    </row>
    <row r="461" spans="1:9" ht="13.5" customHeight="1" x14ac:dyDescent="0.25">
      <c r="A461" s="28">
        <v>6290360542638</v>
      </c>
      <c r="B461" s="29" t="s">
        <v>1022</v>
      </c>
      <c r="C461" s="30" t="s">
        <v>22</v>
      </c>
      <c r="D461" s="31" t="s">
        <v>1023</v>
      </c>
      <c r="E461" s="51">
        <v>14.85</v>
      </c>
      <c r="F461" s="32" t="s">
        <v>14</v>
      </c>
      <c r="G461" s="32" t="s">
        <v>6094</v>
      </c>
      <c r="H461" s="12"/>
      <c r="I461" s="11">
        <f>Table1[[#This Row],[Qty]]*Table1[[#This Row],[Price]]</f>
        <v>0</v>
      </c>
    </row>
    <row r="462" spans="1:9" ht="13.5" customHeight="1" x14ac:dyDescent="0.25">
      <c r="A462" s="28">
        <v>6291108735411</v>
      </c>
      <c r="B462" s="29" t="s">
        <v>1052</v>
      </c>
      <c r="C462" s="30" t="s">
        <v>22</v>
      </c>
      <c r="D462" s="31" t="s">
        <v>1053</v>
      </c>
      <c r="E462" s="51">
        <v>16.579999999999998</v>
      </c>
      <c r="F462" s="32" t="s">
        <v>14</v>
      </c>
      <c r="G462" s="32" t="s">
        <v>6106</v>
      </c>
      <c r="H462" s="12"/>
      <c r="I462" s="11">
        <f>Table1[[#This Row],[Qty]]*Table1[[#This Row],[Price]]</f>
        <v>0</v>
      </c>
    </row>
    <row r="463" spans="1:9" ht="13.5" customHeight="1" x14ac:dyDescent="0.25">
      <c r="A463" s="28">
        <v>6290360598345</v>
      </c>
      <c r="B463" s="29" t="s">
        <v>1064</v>
      </c>
      <c r="C463" s="30" t="s">
        <v>22</v>
      </c>
      <c r="D463" s="31" t="s">
        <v>1065</v>
      </c>
      <c r="E463" s="51">
        <v>17.59</v>
      </c>
      <c r="F463" s="32" t="s">
        <v>14</v>
      </c>
      <c r="G463" s="32" t="s">
        <v>6112</v>
      </c>
      <c r="H463" s="22"/>
      <c r="I463" s="11">
        <f>Table1[[#This Row],[Qty]]*Table1[[#This Row],[Price]]</f>
        <v>0</v>
      </c>
    </row>
    <row r="464" spans="1:9" ht="13.5" customHeight="1" x14ac:dyDescent="0.25">
      <c r="A464" s="28">
        <v>6291107456485</v>
      </c>
      <c r="B464" s="29" t="s">
        <v>1078</v>
      </c>
      <c r="C464" s="30" t="s">
        <v>22</v>
      </c>
      <c r="D464" s="31" t="s">
        <v>1079</v>
      </c>
      <c r="E464" s="51">
        <v>13.49</v>
      </c>
      <c r="F464" s="32" t="s">
        <v>14</v>
      </c>
      <c r="G464" s="32" t="s">
        <v>6118</v>
      </c>
      <c r="H464" s="22"/>
      <c r="I464" s="11">
        <f>Table1[[#This Row],[Qty]]*Table1[[#This Row],[Price]]</f>
        <v>0</v>
      </c>
    </row>
    <row r="465" spans="1:9" ht="13.5" customHeight="1" x14ac:dyDescent="0.25">
      <c r="A465" s="28">
        <v>6291108735572</v>
      </c>
      <c r="B465" s="29" t="s">
        <v>1090</v>
      </c>
      <c r="C465" s="33" t="s">
        <v>22</v>
      </c>
      <c r="D465" s="31" t="s">
        <v>1091</v>
      </c>
      <c r="E465" s="51">
        <v>12.7</v>
      </c>
      <c r="F465" s="32" t="s">
        <v>14</v>
      </c>
      <c r="G465" s="32" t="s">
        <v>6124</v>
      </c>
      <c r="H465" s="22"/>
      <c r="I465" s="11">
        <f>Table1[[#This Row],[Qty]]*Table1[[#This Row],[Price]]</f>
        <v>0</v>
      </c>
    </row>
    <row r="466" spans="1:9" ht="13.5" customHeight="1" x14ac:dyDescent="0.25">
      <c r="A466" s="28">
        <v>6290360598338</v>
      </c>
      <c r="B466" s="29" t="s">
        <v>1688</v>
      </c>
      <c r="C466" s="30" t="s">
        <v>22</v>
      </c>
      <c r="D466" s="31" t="s">
        <v>1689</v>
      </c>
      <c r="E466" s="51">
        <v>20.64</v>
      </c>
      <c r="F466" s="32" t="s">
        <v>14</v>
      </c>
      <c r="G466" s="32" t="s">
        <v>6272</v>
      </c>
      <c r="H466" s="12"/>
      <c r="I466" s="11">
        <f>Table1[[#This Row],[Qty]]*Table1[[#This Row],[Price]]</f>
        <v>0</v>
      </c>
    </row>
    <row r="467" spans="1:9" ht="13.5" customHeight="1" x14ac:dyDescent="0.25">
      <c r="A467" s="28">
        <v>6290362341321</v>
      </c>
      <c r="B467" s="29" t="s">
        <v>2336</v>
      </c>
      <c r="C467" s="30" t="s">
        <v>22</v>
      </c>
      <c r="D467" s="31" t="s">
        <v>2337</v>
      </c>
      <c r="E467" s="51">
        <v>15.16</v>
      </c>
      <c r="F467" s="32" t="s">
        <v>14</v>
      </c>
      <c r="G467" s="32" t="s">
        <v>6417</v>
      </c>
      <c r="H467" s="22"/>
      <c r="I467" s="11">
        <f>Table1[[#This Row],[Qty]]*Table1[[#This Row],[Price]]</f>
        <v>0</v>
      </c>
    </row>
    <row r="468" spans="1:9" ht="13.5" customHeight="1" x14ac:dyDescent="0.25">
      <c r="A468" s="28">
        <v>6290362349129</v>
      </c>
      <c r="B468" s="29" t="s">
        <v>2381</v>
      </c>
      <c r="C468" s="33" t="s">
        <v>22</v>
      </c>
      <c r="D468" s="31" t="s">
        <v>2382</v>
      </c>
      <c r="E468" s="51">
        <v>15.52</v>
      </c>
      <c r="F468" s="32" t="s">
        <v>14</v>
      </c>
      <c r="G468" s="32" t="s">
        <v>6437</v>
      </c>
      <c r="H468" s="22"/>
      <c r="I468" s="11">
        <f>Table1[[#This Row],[Qty]]*Table1[[#This Row],[Price]]</f>
        <v>0</v>
      </c>
    </row>
    <row r="469" spans="1:9" ht="13.5" customHeight="1" x14ac:dyDescent="0.25">
      <c r="A469" s="28">
        <v>6290362349112</v>
      </c>
      <c r="B469" s="29" t="s">
        <v>2383</v>
      </c>
      <c r="C469" s="33" t="s">
        <v>22</v>
      </c>
      <c r="D469" s="31" t="s">
        <v>2384</v>
      </c>
      <c r="E469" s="51">
        <v>15.75</v>
      </c>
      <c r="F469" s="32" t="s">
        <v>14</v>
      </c>
      <c r="G469" s="32" t="s">
        <v>6438</v>
      </c>
      <c r="H469" s="22"/>
      <c r="I469" s="11">
        <f>Table1[[#This Row],[Qty]]*Table1[[#This Row],[Price]]</f>
        <v>0</v>
      </c>
    </row>
    <row r="470" spans="1:9" ht="13.5" customHeight="1" x14ac:dyDescent="0.25">
      <c r="A470" s="28">
        <v>6290362348092</v>
      </c>
      <c r="B470" s="29" t="s">
        <v>2440</v>
      </c>
      <c r="C470" s="30" t="s">
        <v>22</v>
      </c>
      <c r="D470" s="31" t="s">
        <v>2441</v>
      </c>
      <c r="E470" s="51">
        <v>17.27</v>
      </c>
      <c r="F470" s="32" t="s">
        <v>14</v>
      </c>
      <c r="G470" s="32" t="s">
        <v>6462</v>
      </c>
      <c r="H470" s="22"/>
      <c r="I470" s="11">
        <f>Table1[[#This Row],[Qty]]*Table1[[#This Row],[Price]]</f>
        <v>0</v>
      </c>
    </row>
    <row r="471" spans="1:9" ht="13.5" customHeight="1" x14ac:dyDescent="0.25">
      <c r="A471" s="28">
        <v>6290360598895</v>
      </c>
      <c r="B471" s="29" t="s">
        <v>2510</v>
      </c>
      <c r="C471" s="30" t="s">
        <v>22</v>
      </c>
      <c r="D471" s="31" t="s">
        <v>2511</v>
      </c>
      <c r="E471" s="51">
        <v>18.690000000000001</v>
      </c>
      <c r="F471" s="32" t="s">
        <v>14</v>
      </c>
      <c r="G471" s="32" t="s">
        <v>6497</v>
      </c>
      <c r="H471" s="14"/>
      <c r="I471" s="11">
        <f>Table1[[#This Row],[Qty]]*Table1[[#This Row],[Price]]</f>
        <v>0</v>
      </c>
    </row>
    <row r="472" spans="1:9" ht="13.5" customHeight="1" x14ac:dyDescent="0.25">
      <c r="A472" s="28">
        <v>6291108736982</v>
      </c>
      <c r="B472" s="29" t="s">
        <v>2546</v>
      </c>
      <c r="C472" s="30" t="s">
        <v>22</v>
      </c>
      <c r="D472" s="31" t="s">
        <v>2547</v>
      </c>
      <c r="E472" s="51">
        <v>19.22</v>
      </c>
      <c r="F472" s="32" t="s">
        <v>14</v>
      </c>
      <c r="G472" s="32" t="s">
        <v>6513</v>
      </c>
      <c r="H472" s="12"/>
      <c r="I472" s="11">
        <f>Table1[[#This Row],[Qty]]*Table1[[#This Row],[Price]]</f>
        <v>0</v>
      </c>
    </row>
    <row r="473" spans="1:9" ht="13.5" customHeight="1" x14ac:dyDescent="0.25">
      <c r="A473" s="28">
        <v>6290362342472</v>
      </c>
      <c r="B473" s="29" t="s">
        <v>2627</v>
      </c>
      <c r="C473" s="33" t="s">
        <v>22</v>
      </c>
      <c r="D473" s="31" t="s">
        <v>2628</v>
      </c>
      <c r="E473" s="51">
        <v>17.87</v>
      </c>
      <c r="F473" s="32" t="s">
        <v>14</v>
      </c>
      <c r="G473" s="32" t="s">
        <v>6545</v>
      </c>
      <c r="H473" s="22"/>
      <c r="I473" s="11">
        <f>Table1[[#This Row],[Qty]]*Table1[[#This Row],[Price]]</f>
        <v>0</v>
      </c>
    </row>
    <row r="474" spans="1:9" ht="13.5" customHeight="1" x14ac:dyDescent="0.25">
      <c r="A474" s="28">
        <v>6290362349389</v>
      </c>
      <c r="B474" s="29" t="s">
        <v>2673</v>
      </c>
      <c r="C474" s="30" t="s">
        <v>22</v>
      </c>
      <c r="D474" s="31" t="s">
        <v>2674</v>
      </c>
      <c r="E474" s="51">
        <v>29.56</v>
      </c>
      <c r="F474" s="32" t="s">
        <v>14</v>
      </c>
      <c r="G474" s="32" t="s">
        <v>6565</v>
      </c>
      <c r="H474" s="12"/>
      <c r="I474" s="11">
        <f>Table1[[#This Row],[Qty]]*Table1[[#This Row],[Price]]</f>
        <v>0</v>
      </c>
    </row>
    <row r="475" spans="1:9" ht="13.5" customHeight="1" x14ac:dyDescent="0.25">
      <c r="A475" s="28">
        <v>6290362349341</v>
      </c>
      <c r="B475" s="29" t="s">
        <v>2677</v>
      </c>
      <c r="C475" s="30" t="s">
        <v>22</v>
      </c>
      <c r="D475" s="31" t="s">
        <v>2678</v>
      </c>
      <c r="E475" s="51">
        <v>28.98</v>
      </c>
      <c r="F475" s="32" t="s">
        <v>14</v>
      </c>
      <c r="G475" s="32" t="s">
        <v>6567</v>
      </c>
      <c r="H475" s="22"/>
      <c r="I475" s="11">
        <f>Table1[[#This Row],[Qty]]*Table1[[#This Row],[Price]]</f>
        <v>0</v>
      </c>
    </row>
    <row r="476" spans="1:9" ht="13.5" customHeight="1" x14ac:dyDescent="0.25">
      <c r="A476" s="28">
        <v>6290362347170</v>
      </c>
      <c r="B476" s="29" t="s">
        <v>2679</v>
      </c>
      <c r="C476" s="30" t="s">
        <v>22</v>
      </c>
      <c r="D476" s="31" t="s">
        <v>2680</v>
      </c>
      <c r="E476" s="51">
        <v>26.77</v>
      </c>
      <c r="F476" s="32" t="s">
        <v>14</v>
      </c>
      <c r="G476" s="32" t="s">
        <v>6568</v>
      </c>
      <c r="H476" s="14"/>
      <c r="I476" s="11">
        <f>Table1[[#This Row],[Qty]]*Table1[[#This Row],[Price]]</f>
        <v>0</v>
      </c>
    </row>
    <row r="477" spans="1:9" ht="13.5" customHeight="1" x14ac:dyDescent="0.25">
      <c r="A477" s="28">
        <v>6290362349242</v>
      </c>
      <c r="B477" s="29" t="s">
        <v>2685</v>
      </c>
      <c r="C477" s="30" t="s">
        <v>22</v>
      </c>
      <c r="D477" s="31" t="s">
        <v>2686</v>
      </c>
      <c r="E477" s="51">
        <v>29.45</v>
      </c>
      <c r="F477" s="32" t="s">
        <v>14</v>
      </c>
      <c r="G477" s="32" t="s">
        <v>6571</v>
      </c>
      <c r="H477" s="12"/>
      <c r="I477" s="11">
        <f>Table1[[#This Row],[Qty]]*Table1[[#This Row],[Price]]</f>
        <v>0</v>
      </c>
    </row>
    <row r="478" spans="1:9" ht="13.5" customHeight="1" x14ac:dyDescent="0.25">
      <c r="A478" s="28">
        <v>6290362349358</v>
      </c>
      <c r="B478" s="29" t="s">
        <v>2687</v>
      </c>
      <c r="C478" s="30" t="s">
        <v>22</v>
      </c>
      <c r="D478" s="31" t="s">
        <v>2688</v>
      </c>
      <c r="E478" s="51">
        <v>29</v>
      </c>
      <c r="F478" s="32" t="s">
        <v>14</v>
      </c>
      <c r="G478" s="32" t="s">
        <v>6572</v>
      </c>
      <c r="H478" s="12"/>
      <c r="I478" s="11">
        <f>Table1[[#This Row],[Qty]]*Table1[[#This Row],[Price]]</f>
        <v>0</v>
      </c>
    </row>
    <row r="479" spans="1:9" ht="13.5" customHeight="1" x14ac:dyDescent="0.25">
      <c r="A479" s="28">
        <v>6290362349297</v>
      </c>
      <c r="B479" s="29" t="s">
        <v>2689</v>
      </c>
      <c r="C479" s="30" t="s">
        <v>22</v>
      </c>
      <c r="D479" s="31" t="s">
        <v>2690</v>
      </c>
      <c r="E479" s="51">
        <v>28.89</v>
      </c>
      <c r="F479" s="32" t="s">
        <v>14</v>
      </c>
      <c r="G479" s="32" t="s">
        <v>6573</v>
      </c>
      <c r="H479" s="12"/>
      <c r="I479" s="11">
        <f>Table1[[#This Row],[Qty]]*Table1[[#This Row],[Price]]</f>
        <v>0</v>
      </c>
    </row>
    <row r="480" spans="1:9" ht="13.5" customHeight="1" x14ac:dyDescent="0.25">
      <c r="A480" s="28">
        <v>6291108738214</v>
      </c>
      <c r="B480" s="29" t="s">
        <v>2701</v>
      </c>
      <c r="C480" s="30" t="s">
        <v>22</v>
      </c>
      <c r="D480" s="31" t="s">
        <v>2702</v>
      </c>
      <c r="E480" s="51">
        <v>18.77</v>
      </c>
      <c r="F480" s="32" t="s">
        <v>14</v>
      </c>
      <c r="G480" s="32" t="s">
        <v>6579</v>
      </c>
      <c r="H480" s="22"/>
      <c r="I480" s="11">
        <f>Table1[[#This Row],[Qty]]*Table1[[#This Row],[Price]]</f>
        <v>0</v>
      </c>
    </row>
    <row r="481" spans="1:9" ht="13.5" customHeight="1" x14ac:dyDescent="0.25">
      <c r="A481" s="28">
        <v>6291108738009</v>
      </c>
      <c r="B481" s="29" t="s">
        <v>2885</v>
      </c>
      <c r="C481" s="30" t="s">
        <v>22</v>
      </c>
      <c r="D481" s="31" t="s">
        <v>2886</v>
      </c>
      <c r="E481" s="51">
        <v>14.69</v>
      </c>
      <c r="F481" s="32" t="s">
        <v>14</v>
      </c>
      <c r="G481" s="32" t="s">
        <v>6640</v>
      </c>
      <c r="H481" s="22"/>
      <c r="I481" s="11">
        <f>Table1[[#This Row],[Qty]]*Table1[[#This Row],[Price]]</f>
        <v>0</v>
      </c>
    </row>
    <row r="482" spans="1:9" ht="13.5" customHeight="1" x14ac:dyDescent="0.25">
      <c r="A482" s="28">
        <v>6290360598796</v>
      </c>
      <c r="B482" s="29" t="s">
        <v>3126</v>
      </c>
      <c r="C482" s="30" t="s">
        <v>22</v>
      </c>
      <c r="D482" s="31" t="s">
        <v>3127</v>
      </c>
      <c r="E482" s="51">
        <v>23.98</v>
      </c>
      <c r="F482" s="32" t="s">
        <v>14</v>
      </c>
      <c r="G482" s="32" t="s">
        <v>6707</v>
      </c>
      <c r="H482" s="22"/>
      <c r="I482" s="11">
        <f>Table1[[#This Row],[Qty]]*Table1[[#This Row],[Price]]</f>
        <v>0</v>
      </c>
    </row>
    <row r="483" spans="1:9" ht="13.5" customHeight="1" x14ac:dyDescent="0.25">
      <c r="A483" s="28">
        <v>6290360598925</v>
      </c>
      <c r="B483" s="29" t="s">
        <v>3138</v>
      </c>
      <c r="C483" s="33" t="s">
        <v>22</v>
      </c>
      <c r="D483" s="31" t="s">
        <v>3139</v>
      </c>
      <c r="E483" s="51">
        <v>23.5</v>
      </c>
      <c r="F483" s="32" t="s">
        <v>14</v>
      </c>
      <c r="G483" s="32" t="s">
        <v>6713</v>
      </c>
      <c r="H483" s="22"/>
      <c r="I483" s="11">
        <f>Table1[[#This Row],[Qty]]*Table1[[#This Row],[Price]]</f>
        <v>0</v>
      </c>
    </row>
    <row r="484" spans="1:9" ht="13.5" customHeight="1" x14ac:dyDescent="0.25">
      <c r="A484" s="28">
        <v>6290362349617</v>
      </c>
      <c r="B484" s="29" t="s">
        <v>3140</v>
      </c>
      <c r="C484" s="30" t="s">
        <v>22</v>
      </c>
      <c r="D484" s="31" t="s">
        <v>3141</v>
      </c>
      <c r="E484" s="51">
        <v>26.6</v>
      </c>
      <c r="F484" s="32" t="s">
        <v>14</v>
      </c>
      <c r="G484" s="32" t="s">
        <v>6714</v>
      </c>
      <c r="H484" s="12"/>
      <c r="I484" s="11">
        <f>Table1[[#This Row],[Qty]]*Table1[[#This Row],[Price]]</f>
        <v>0</v>
      </c>
    </row>
    <row r="485" spans="1:9" ht="13.5" customHeight="1" x14ac:dyDescent="0.25">
      <c r="A485" s="28">
        <v>6290362345671</v>
      </c>
      <c r="B485" s="29" t="s">
        <v>3158</v>
      </c>
      <c r="C485" s="30" t="s">
        <v>22</v>
      </c>
      <c r="D485" s="31" t="s">
        <v>3159</v>
      </c>
      <c r="E485" s="51">
        <v>26.99</v>
      </c>
      <c r="F485" s="32" t="s">
        <v>14</v>
      </c>
      <c r="G485" s="32" t="s">
        <v>6718</v>
      </c>
      <c r="H485" s="12"/>
      <c r="I485" s="11">
        <f>Table1[[#This Row],[Qty]]*Table1[[#This Row],[Price]]</f>
        <v>0</v>
      </c>
    </row>
    <row r="486" spans="1:9" ht="13.5" customHeight="1" x14ac:dyDescent="0.25">
      <c r="A486" s="28">
        <v>6290362349303</v>
      </c>
      <c r="B486" s="29" t="s">
        <v>3178</v>
      </c>
      <c r="C486" s="30" t="s">
        <v>22</v>
      </c>
      <c r="D486" s="31" t="s">
        <v>3179</v>
      </c>
      <c r="E486" s="51">
        <v>29.67</v>
      </c>
      <c r="F486" s="32" t="s">
        <v>14</v>
      </c>
      <c r="G486" s="32" t="s">
        <v>6726</v>
      </c>
      <c r="H486" s="22"/>
      <c r="I486" s="11">
        <f>Table1[[#This Row],[Qty]]*Table1[[#This Row],[Price]]</f>
        <v>0</v>
      </c>
    </row>
    <row r="487" spans="1:9" ht="13.5" customHeight="1" x14ac:dyDescent="0.25">
      <c r="A487" s="28">
        <v>6290362349624</v>
      </c>
      <c r="B487" s="29" t="s">
        <v>3180</v>
      </c>
      <c r="C487" s="30" t="s">
        <v>22</v>
      </c>
      <c r="D487" s="31" t="s">
        <v>3181</v>
      </c>
      <c r="E487" s="51">
        <v>29.69</v>
      </c>
      <c r="F487" s="32" t="s">
        <v>14</v>
      </c>
      <c r="G487" s="32" t="s">
        <v>6727</v>
      </c>
      <c r="H487" s="22"/>
      <c r="I487" s="11">
        <f>Table1[[#This Row],[Qty]]*Table1[[#This Row],[Price]]</f>
        <v>0</v>
      </c>
    </row>
    <row r="488" spans="1:9" ht="13.5" customHeight="1" x14ac:dyDescent="0.25">
      <c r="A488" s="28">
        <v>6290362349709</v>
      </c>
      <c r="B488" s="29" t="s">
        <v>3182</v>
      </c>
      <c r="C488" s="33" t="s">
        <v>22</v>
      </c>
      <c r="D488" s="31" t="s">
        <v>3183</v>
      </c>
      <c r="E488" s="51">
        <v>28.76</v>
      </c>
      <c r="F488" s="32" t="s">
        <v>14</v>
      </c>
      <c r="G488" s="32" t="s">
        <v>6728</v>
      </c>
      <c r="H488" s="22"/>
      <c r="I488" s="11">
        <f>Table1[[#This Row],[Qty]]*Table1[[#This Row],[Price]]</f>
        <v>0</v>
      </c>
    </row>
    <row r="489" spans="1:9" ht="13.5" customHeight="1" x14ac:dyDescent="0.25">
      <c r="A489" s="28">
        <v>6290362349631</v>
      </c>
      <c r="B489" s="29" t="s">
        <v>3186</v>
      </c>
      <c r="C489" s="30" t="s">
        <v>22</v>
      </c>
      <c r="D489" s="31" t="s">
        <v>3187</v>
      </c>
      <c r="E489" s="51">
        <v>29.5</v>
      </c>
      <c r="F489" s="32" t="s">
        <v>14</v>
      </c>
      <c r="G489" s="32" t="s">
        <v>6730</v>
      </c>
      <c r="H489" s="12"/>
      <c r="I489" s="11">
        <f>Table1[[#This Row],[Qty]]*Table1[[#This Row],[Price]]</f>
        <v>0</v>
      </c>
    </row>
    <row r="490" spans="1:9" ht="13.5" customHeight="1" x14ac:dyDescent="0.25">
      <c r="A490" s="28">
        <v>6290362349082</v>
      </c>
      <c r="B490" s="29" t="s">
        <v>3194</v>
      </c>
      <c r="C490" s="30" t="s">
        <v>22</v>
      </c>
      <c r="D490" s="31" t="s">
        <v>3195</v>
      </c>
      <c r="E490" s="51">
        <v>20.76</v>
      </c>
      <c r="F490" s="32" t="s">
        <v>14</v>
      </c>
      <c r="G490" s="32" t="s">
        <v>6734</v>
      </c>
      <c r="H490" s="12"/>
      <c r="I490" s="11">
        <f>Table1[[#This Row],[Qty]]*Table1[[#This Row],[Price]]</f>
        <v>0</v>
      </c>
    </row>
    <row r="491" spans="1:9" ht="13.5" customHeight="1" x14ac:dyDescent="0.25">
      <c r="A491" s="28">
        <v>6290360597133</v>
      </c>
      <c r="B491" s="29" t="s">
        <v>3196</v>
      </c>
      <c r="C491" s="30" t="s">
        <v>22</v>
      </c>
      <c r="D491" s="31" t="s">
        <v>3197</v>
      </c>
      <c r="E491" s="51">
        <v>11.5</v>
      </c>
      <c r="F491" s="32" t="s">
        <v>14</v>
      </c>
      <c r="G491" s="32" t="s">
        <v>6735</v>
      </c>
      <c r="H491" s="22"/>
      <c r="I491" s="11">
        <f>Table1[[#This Row],[Qty]]*Table1[[#This Row],[Price]]</f>
        <v>0</v>
      </c>
    </row>
    <row r="492" spans="1:9" ht="13.5" customHeight="1" x14ac:dyDescent="0.25">
      <c r="A492" s="28">
        <v>6290362349419</v>
      </c>
      <c r="B492" s="29" t="s">
        <v>3242</v>
      </c>
      <c r="C492" s="30" t="s">
        <v>22</v>
      </c>
      <c r="D492" s="31" t="s">
        <v>3243</v>
      </c>
      <c r="E492" s="51">
        <v>27.5</v>
      </c>
      <c r="F492" s="32" t="s">
        <v>14</v>
      </c>
      <c r="G492" s="32" t="s">
        <v>6755</v>
      </c>
      <c r="H492" s="22"/>
      <c r="I492" s="11">
        <f>Table1[[#This Row],[Qty]]*Table1[[#This Row],[Price]]</f>
        <v>0</v>
      </c>
    </row>
    <row r="493" spans="1:9" ht="13.5" customHeight="1" x14ac:dyDescent="0.25">
      <c r="A493" s="28">
        <v>6298043160872</v>
      </c>
      <c r="B493" s="29" t="s">
        <v>3244</v>
      </c>
      <c r="C493" s="30" t="s">
        <v>22</v>
      </c>
      <c r="D493" s="31" t="s">
        <v>3245</v>
      </c>
      <c r="E493" s="51">
        <v>27.16</v>
      </c>
      <c r="F493" s="32" t="s">
        <v>14</v>
      </c>
      <c r="G493" s="32" t="s">
        <v>6756</v>
      </c>
      <c r="H493" s="12"/>
      <c r="I493" s="11">
        <f>Table1[[#This Row],[Qty]]*Table1[[#This Row],[Price]]</f>
        <v>0</v>
      </c>
    </row>
    <row r="494" spans="1:9" ht="13.5" customHeight="1" x14ac:dyDescent="0.25">
      <c r="A494" s="28">
        <v>6290362345732</v>
      </c>
      <c r="B494" s="29" t="s">
        <v>3246</v>
      </c>
      <c r="C494" s="30" t="s">
        <v>22</v>
      </c>
      <c r="D494" s="31" t="s">
        <v>3247</v>
      </c>
      <c r="E494" s="51">
        <v>18.350000000000001</v>
      </c>
      <c r="F494" s="32" t="s">
        <v>14</v>
      </c>
      <c r="G494" s="32" t="s">
        <v>6757</v>
      </c>
      <c r="H494" s="12"/>
      <c r="I494" s="11">
        <f>Table1[[#This Row],[Qty]]*Table1[[#This Row],[Price]]</f>
        <v>0</v>
      </c>
    </row>
    <row r="495" spans="1:9" ht="13.5" customHeight="1" x14ac:dyDescent="0.25">
      <c r="A495" s="28">
        <v>6298043160186</v>
      </c>
      <c r="B495" s="29" t="s">
        <v>3252</v>
      </c>
      <c r="C495" s="30" t="s">
        <v>22</v>
      </c>
      <c r="D495" s="31" t="s">
        <v>3253</v>
      </c>
      <c r="E495" s="51">
        <v>28.42</v>
      </c>
      <c r="F495" s="32" t="s">
        <v>14</v>
      </c>
      <c r="G495" s="32" t="s">
        <v>6760</v>
      </c>
      <c r="H495" s="12"/>
      <c r="I495" s="11">
        <f>Table1[[#This Row],[Qty]]*Table1[[#This Row],[Price]]</f>
        <v>0</v>
      </c>
    </row>
    <row r="496" spans="1:9" ht="13.5" customHeight="1" x14ac:dyDescent="0.25">
      <c r="A496" s="28">
        <v>6295157380028</v>
      </c>
      <c r="B496" s="29" t="s">
        <v>3269</v>
      </c>
      <c r="C496" s="30" t="s">
        <v>22</v>
      </c>
      <c r="D496" s="31" t="s">
        <v>3270</v>
      </c>
      <c r="E496" s="51">
        <v>20.61</v>
      </c>
      <c r="F496" s="32" t="s">
        <v>14</v>
      </c>
      <c r="G496" s="32" t="s">
        <v>6766</v>
      </c>
      <c r="H496" s="22"/>
      <c r="I496" s="11">
        <f>Table1[[#This Row],[Qty]]*Table1[[#This Row],[Price]]</f>
        <v>0</v>
      </c>
    </row>
    <row r="497" spans="1:9" ht="13.5" customHeight="1" x14ac:dyDescent="0.25">
      <c r="A497" s="28">
        <v>6295157380004</v>
      </c>
      <c r="B497" s="29" t="s">
        <v>3271</v>
      </c>
      <c r="C497" s="30" t="s">
        <v>22</v>
      </c>
      <c r="D497" s="31" t="s">
        <v>3272</v>
      </c>
      <c r="E497" s="51">
        <v>21.29</v>
      </c>
      <c r="F497" s="32" t="s">
        <v>14</v>
      </c>
      <c r="G497" s="32" t="s">
        <v>6767</v>
      </c>
      <c r="H497" s="13"/>
      <c r="I497" s="11">
        <f>Table1[[#This Row],[Qty]]*Table1[[#This Row],[Price]]</f>
        <v>0</v>
      </c>
    </row>
    <row r="498" spans="1:9" ht="13.5" customHeight="1" x14ac:dyDescent="0.25">
      <c r="A498" s="28">
        <v>6295157380011</v>
      </c>
      <c r="B498" s="29" t="s">
        <v>3273</v>
      </c>
      <c r="C498" s="30" t="s">
        <v>22</v>
      </c>
      <c r="D498" s="31" t="s">
        <v>3274</v>
      </c>
      <c r="E498" s="51">
        <v>20.5</v>
      </c>
      <c r="F498" s="32" t="s">
        <v>14</v>
      </c>
      <c r="G498" s="32" t="s">
        <v>6768</v>
      </c>
      <c r="H498" s="12"/>
      <c r="I498" s="11">
        <f>Table1[[#This Row],[Qty]]*Table1[[#This Row],[Price]]</f>
        <v>0</v>
      </c>
    </row>
    <row r="499" spans="1:9" ht="13.5" customHeight="1" x14ac:dyDescent="0.25">
      <c r="A499" s="28">
        <v>6290362346593</v>
      </c>
      <c r="B499" s="29" t="s">
        <v>3275</v>
      </c>
      <c r="C499" s="30" t="s">
        <v>22</v>
      </c>
      <c r="D499" s="31" t="s">
        <v>3276</v>
      </c>
      <c r="E499" s="51">
        <v>25.5</v>
      </c>
      <c r="F499" s="32" t="s">
        <v>14</v>
      </c>
      <c r="G499" s="32" t="s">
        <v>6769</v>
      </c>
      <c r="H499" s="12"/>
      <c r="I499" s="11">
        <f>Table1[[#This Row],[Qty]]*Table1[[#This Row],[Price]]</f>
        <v>0</v>
      </c>
    </row>
    <row r="500" spans="1:9" ht="13.5" customHeight="1" x14ac:dyDescent="0.25">
      <c r="A500" s="28">
        <v>6290362347101</v>
      </c>
      <c r="B500" s="29" t="s">
        <v>3417</v>
      </c>
      <c r="C500" s="30" t="s">
        <v>22</v>
      </c>
      <c r="D500" s="31" t="s">
        <v>3418</v>
      </c>
      <c r="E500" s="51">
        <v>16.55</v>
      </c>
      <c r="F500" s="32" t="s">
        <v>14</v>
      </c>
      <c r="G500" s="32" t="s">
        <v>6835</v>
      </c>
      <c r="H500" s="12"/>
      <c r="I500" s="11">
        <f>Table1[[#This Row],[Qty]]*Table1[[#This Row],[Price]]</f>
        <v>0</v>
      </c>
    </row>
    <row r="501" spans="1:9" ht="13.5" customHeight="1" x14ac:dyDescent="0.25">
      <c r="A501" s="28">
        <v>6290362347156</v>
      </c>
      <c r="B501" s="29" t="s">
        <v>3525</v>
      </c>
      <c r="C501" s="30" t="s">
        <v>22</v>
      </c>
      <c r="D501" s="31" t="s">
        <v>3526</v>
      </c>
      <c r="E501" s="51">
        <v>27.5</v>
      </c>
      <c r="F501" s="32" t="s">
        <v>14</v>
      </c>
      <c r="G501" s="32" t="s">
        <v>6883</v>
      </c>
      <c r="H501" s="22"/>
      <c r="I501" s="11">
        <f>Table1[[#This Row],[Qty]]*Table1[[#This Row],[Price]]</f>
        <v>0</v>
      </c>
    </row>
    <row r="502" spans="1:9" ht="13.5" customHeight="1" x14ac:dyDescent="0.25">
      <c r="A502" s="28">
        <v>6290362349723</v>
      </c>
      <c r="B502" s="29" t="s">
        <v>3527</v>
      </c>
      <c r="C502" s="30" t="s">
        <v>22</v>
      </c>
      <c r="D502" s="31" t="s">
        <v>3528</v>
      </c>
      <c r="E502" s="51">
        <v>20.5</v>
      </c>
      <c r="F502" s="32" t="s">
        <v>14</v>
      </c>
      <c r="G502" s="32" t="s">
        <v>6884</v>
      </c>
      <c r="H502" s="12"/>
      <c r="I502" s="11">
        <f>Table1[[#This Row],[Qty]]*Table1[[#This Row],[Price]]</f>
        <v>0</v>
      </c>
    </row>
    <row r="503" spans="1:9" ht="13.5" customHeight="1" x14ac:dyDescent="0.25">
      <c r="A503" s="28">
        <v>6290362348856</v>
      </c>
      <c r="B503" s="29" t="s">
        <v>3529</v>
      </c>
      <c r="C503" s="30" t="s">
        <v>22</v>
      </c>
      <c r="D503" s="31" t="s">
        <v>5537</v>
      </c>
      <c r="E503" s="51">
        <v>8</v>
      </c>
      <c r="F503" s="32" t="s">
        <v>14</v>
      </c>
      <c r="G503" s="32" t="s">
        <v>6885</v>
      </c>
      <c r="H503" s="22"/>
      <c r="I503" s="11">
        <f>Table1[[#This Row],[Qty]]*Table1[[#This Row],[Price]]</f>
        <v>0</v>
      </c>
    </row>
    <row r="504" spans="1:9" ht="13.5" customHeight="1" x14ac:dyDescent="0.25">
      <c r="A504" s="28">
        <v>6290362348764</v>
      </c>
      <c r="B504" s="29" t="s">
        <v>3530</v>
      </c>
      <c r="C504" s="33" t="s">
        <v>22</v>
      </c>
      <c r="D504" s="31" t="s">
        <v>5538</v>
      </c>
      <c r="E504" s="51">
        <v>8</v>
      </c>
      <c r="F504" s="32" t="s">
        <v>14</v>
      </c>
      <c r="G504" s="32" t="s">
        <v>6886</v>
      </c>
      <c r="H504" s="22"/>
      <c r="I504" s="11">
        <f>Table1[[#This Row],[Qty]]*Table1[[#This Row],[Price]]</f>
        <v>0</v>
      </c>
    </row>
    <row r="505" spans="1:9" ht="13.5" customHeight="1" x14ac:dyDescent="0.25">
      <c r="A505" s="28">
        <v>6290362348771</v>
      </c>
      <c r="B505" s="29" t="s">
        <v>3531</v>
      </c>
      <c r="C505" s="30" t="s">
        <v>22</v>
      </c>
      <c r="D505" s="31" t="s">
        <v>5539</v>
      </c>
      <c r="E505" s="51">
        <v>8.07</v>
      </c>
      <c r="F505" s="32" t="s">
        <v>14</v>
      </c>
      <c r="G505" s="32" t="s">
        <v>6887</v>
      </c>
      <c r="H505" s="12"/>
      <c r="I505" s="11">
        <f>Table1[[#This Row],[Qty]]*Table1[[#This Row],[Price]]</f>
        <v>0</v>
      </c>
    </row>
    <row r="506" spans="1:9" ht="13.5" customHeight="1" x14ac:dyDescent="0.25">
      <c r="A506" s="28">
        <v>6290362348832</v>
      </c>
      <c r="B506" s="29" t="s">
        <v>3532</v>
      </c>
      <c r="C506" s="30" t="s">
        <v>22</v>
      </c>
      <c r="D506" s="31" t="s">
        <v>5540</v>
      </c>
      <c r="E506" s="51">
        <v>8.07</v>
      </c>
      <c r="F506" s="32" t="s">
        <v>14</v>
      </c>
      <c r="G506" s="32" t="s">
        <v>6888</v>
      </c>
      <c r="H506" s="12"/>
      <c r="I506" s="11">
        <f>Table1[[#This Row],[Qty]]*Table1[[#This Row],[Price]]</f>
        <v>0</v>
      </c>
    </row>
    <row r="507" spans="1:9" ht="13.5" customHeight="1" x14ac:dyDescent="0.25">
      <c r="A507" s="28">
        <v>6290362348757</v>
      </c>
      <c r="B507" s="29" t="s">
        <v>3533</v>
      </c>
      <c r="C507" s="33" t="s">
        <v>22</v>
      </c>
      <c r="D507" s="31" t="s">
        <v>5541</v>
      </c>
      <c r="E507" s="51">
        <v>8.08</v>
      </c>
      <c r="F507" s="32" t="s">
        <v>14</v>
      </c>
      <c r="G507" s="32" t="s">
        <v>6889</v>
      </c>
      <c r="H507" s="22"/>
      <c r="I507" s="11">
        <f>Table1[[#This Row],[Qty]]*Table1[[#This Row],[Price]]</f>
        <v>0</v>
      </c>
    </row>
    <row r="508" spans="1:9" ht="13.5" customHeight="1" x14ac:dyDescent="0.25">
      <c r="A508" s="28">
        <v>6290362348788</v>
      </c>
      <c r="B508" s="29" t="s">
        <v>3534</v>
      </c>
      <c r="C508" s="30" t="s">
        <v>22</v>
      </c>
      <c r="D508" s="31" t="s">
        <v>5542</v>
      </c>
      <c r="E508" s="51">
        <v>8.07</v>
      </c>
      <c r="F508" s="32" t="s">
        <v>14</v>
      </c>
      <c r="G508" s="32" t="s">
        <v>6890</v>
      </c>
      <c r="H508" s="22"/>
      <c r="I508" s="11">
        <f>Table1[[#This Row],[Qty]]*Table1[[#This Row],[Price]]</f>
        <v>0</v>
      </c>
    </row>
    <row r="509" spans="1:9" ht="13.5" customHeight="1" x14ac:dyDescent="0.25">
      <c r="A509" s="28">
        <v>6290362348795</v>
      </c>
      <c r="B509" s="29" t="s">
        <v>3535</v>
      </c>
      <c r="C509" s="30" t="s">
        <v>22</v>
      </c>
      <c r="D509" s="31" t="s">
        <v>5543</v>
      </c>
      <c r="E509" s="51">
        <v>8.07</v>
      </c>
      <c r="F509" s="32" t="s">
        <v>14</v>
      </c>
      <c r="G509" s="32" t="s">
        <v>6891</v>
      </c>
      <c r="H509" s="22"/>
      <c r="I509" s="11">
        <f>Table1[[#This Row],[Qty]]*Table1[[#This Row],[Price]]</f>
        <v>0</v>
      </c>
    </row>
    <row r="510" spans="1:9" ht="13.5" customHeight="1" x14ac:dyDescent="0.25">
      <c r="A510" s="28">
        <v>6290362348801</v>
      </c>
      <c r="B510" s="29" t="s">
        <v>3536</v>
      </c>
      <c r="C510" s="30" t="s">
        <v>22</v>
      </c>
      <c r="D510" s="31" t="s">
        <v>5544</v>
      </c>
      <c r="E510" s="51">
        <v>8.1</v>
      </c>
      <c r="F510" s="32" t="s">
        <v>14</v>
      </c>
      <c r="G510" s="32" t="s">
        <v>6892</v>
      </c>
      <c r="H510" s="22"/>
      <c r="I510" s="11">
        <f>Table1[[#This Row],[Qty]]*Table1[[#This Row],[Price]]</f>
        <v>0</v>
      </c>
    </row>
    <row r="511" spans="1:9" ht="13.5" customHeight="1" x14ac:dyDescent="0.25">
      <c r="A511" s="28">
        <v>6290362348818</v>
      </c>
      <c r="B511" s="29" t="s">
        <v>3537</v>
      </c>
      <c r="C511" s="33" t="s">
        <v>22</v>
      </c>
      <c r="D511" s="31" t="s">
        <v>5545</v>
      </c>
      <c r="E511" s="51">
        <v>8.07</v>
      </c>
      <c r="F511" s="32" t="s">
        <v>14</v>
      </c>
      <c r="G511" s="32" t="s">
        <v>6893</v>
      </c>
      <c r="H511" s="22"/>
      <c r="I511" s="11">
        <f>Table1[[#This Row],[Qty]]*Table1[[#This Row],[Price]]</f>
        <v>0</v>
      </c>
    </row>
    <row r="512" spans="1:9" ht="13.5" customHeight="1" x14ac:dyDescent="0.25">
      <c r="A512" s="48">
        <v>6290362348825</v>
      </c>
      <c r="B512" s="41" t="s">
        <v>3538</v>
      </c>
      <c r="C512" s="6" t="s">
        <v>22</v>
      </c>
      <c r="D512" t="s">
        <v>5546</v>
      </c>
      <c r="E512" s="52">
        <v>8.07</v>
      </c>
      <c r="F512" s="49" t="s">
        <v>14</v>
      </c>
      <c r="G512" s="49" t="s">
        <v>6894</v>
      </c>
      <c r="H512" s="22"/>
      <c r="I512" s="11">
        <f>Table1[[#This Row],[Qty]]*Table1[[#This Row],[Price]]</f>
        <v>0</v>
      </c>
    </row>
    <row r="513" spans="1:9" ht="13.5" customHeight="1" x14ac:dyDescent="0.25">
      <c r="A513" s="28">
        <v>6290362348863</v>
      </c>
      <c r="B513" s="29" t="s">
        <v>3539</v>
      </c>
      <c r="C513" s="30" t="s">
        <v>22</v>
      </c>
      <c r="D513" s="31" t="s">
        <v>5547</v>
      </c>
      <c r="E513" s="51">
        <v>8.26</v>
      </c>
      <c r="F513" s="32" t="s">
        <v>14</v>
      </c>
      <c r="G513" s="32" t="s">
        <v>6895</v>
      </c>
      <c r="H513" s="22"/>
      <c r="I513" s="11">
        <f>Table1[[#This Row],[Qty]]*Table1[[#This Row],[Price]]</f>
        <v>0</v>
      </c>
    </row>
    <row r="514" spans="1:9" ht="13.5" customHeight="1" x14ac:dyDescent="0.25">
      <c r="A514" s="28">
        <v>6290362349730</v>
      </c>
      <c r="B514" s="29" t="s">
        <v>5493</v>
      </c>
      <c r="C514" s="30" t="s">
        <v>22</v>
      </c>
      <c r="D514" s="31" t="s">
        <v>5494</v>
      </c>
      <c r="E514" s="51">
        <v>29.71</v>
      </c>
      <c r="F514" s="32" t="s">
        <v>14</v>
      </c>
      <c r="G514" s="32" t="s">
        <v>6966</v>
      </c>
      <c r="H514" s="22"/>
      <c r="I514" s="11">
        <f>Table1[[#This Row],[Qty]]*Table1[[#This Row],[Price]]</f>
        <v>0</v>
      </c>
    </row>
    <row r="515" spans="1:9" ht="13.5" customHeight="1" x14ac:dyDescent="0.25">
      <c r="A515" s="28">
        <v>6298043161695</v>
      </c>
      <c r="B515" s="29" t="s">
        <v>5495</v>
      </c>
      <c r="C515" s="30" t="s">
        <v>22</v>
      </c>
      <c r="D515" s="31" t="s">
        <v>5496</v>
      </c>
      <c r="E515" s="51">
        <v>15.5</v>
      </c>
      <c r="F515" s="32" t="s">
        <v>14</v>
      </c>
      <c r="G515" s="32" t="s">
        <v>6967</v>
      </c>
      <c r="H515" s="14"/>
      <c r="I515" s="11">
        <f>Table1[[#This Row],[Qty]]*Table1[[#This Row],[Price]]</f>
        <v>0</v>
      </c>
    </row>
    <row r="516" spans="1:9" ht="13.5" customHeight="1" x14ac:dyDescent="0.25">
      <c r="A516" s="48">
        <v>6298043161701</v>
      </c>
      <c r="B516" s="41" t="s">
        <v>5497</v>
      </c>
      <c r="C516" s="6" t="s">
        <v>22</v>
      </c>
      <c r="D516" t="s">
        <v>5498</v>
      </c>
      <c r="E516" s="52">
        <v>15.5</v>
      </c>
      <c r="F516" s="49" t="s">
        <v>14</v>
      </c>
      <c r="G516" s="49" t="s">
        <v>6968</v>
      </c>
      <c r="H516" s="22"/>
      <c r="I516" s="11">
        <f>Table1[[#This Row],[Qty]]*Table1[[#This Row],[Price]]</f>
        <v>0</v>
      </c>
    </row>
    <row r="517" spans="1:9" ht="13.5" customHeight="1" x14ac:dyDescent="0.25">
      <c r="A517" s="28">
        <v>6291106064001</v>
      </c>
      <c r="B517" s="29" t="s">
        <v>5504</v>
      </c>
      <c r="C517" s="30" t="s">
        <v>22</v>
      </c>
      <c r="D517" s="31" t="s">
        <v>5505</v>
      </c>
      <c r="E517" s="51">
        <v>10.5</v>
      </c>
      <c r="F517" s="32" t="s">
        <v>14</v>
      </c>
      <c r="G517" s="32" t="s">
        <v>6972</v>
      </c>
      <c r="H517" s="22"/>
      <c r="I517" s="11">
        <f>Table1[[#This Row],[Qty]]*Table1[[#This Row],[Price]]</f>
        <v>0</v>
      </c>
    </row>
    <row r="518" spans="1:9" ht="13.5" customHeight="1" x14ac:dyDescent="0.25">
      <c r="A518" s="28">
        <v>6290360595764</v>
      </c>
      <c r="B518" s="29" t="s">
        <v>4119</v>
      </c>
      <c r="C518" s="30" t="s">
        <v>22</v>
      </c>
      <c r="D518" s="31" t="s">
        <v>4120</v>
      </c>
      <c r="E518" s="51">
        <v>18.190000000000001</v>
      </c>
      <c r="F518" s="32" t="s">
        <v>14</v>
      </c>
      <c r="G518" s="32" t="s">
        <v>6979</v>
      </c>
      <c r="H518" s="12"/>
      <c r="I518" s="11">
        <f>Table1[[#This Row],[Qty]]*Table1[[#This Row],[Price]]</f>
        <v>0</v>
      </c>
    </row>
    <row r="519" spans="1:9" ht="13.5" customHeight="1" x14ac:dyDescent="0.25">
      <c r="A519" s="28">
        <v>6291108735589</v>
      </c>
      <c r="B519" s="29" t="s">
        <v>5530</v>
      </c>
      <c r="C519" s="30" t="s">
        <v>22</v>
      </c>
      <c r="D519" s="31" t="s">
        <v>5531</v>
      </c>
      <c r="E519" s="51">
        <v>12</v>
      </c>
      <c r="F519" s="32" t="s">
        <v>14</v>
      </c>
      <c r="G519" s="32" t="s">
        <v>6983</v>
      </c>
      <c r="H519" s="22"/>
      <c r="I519" s="11">
        <f>Table1[[#This Row],[Qty]]*Table1[[#This Row],[Price]]</f>
        <v>0</v>
      </c>
    </row>
    <row r="520" spans="1:9" ht="13.5" customHeight="1" x14ac:dyDescent="0.25">
      <c r="A520" s="28">
        <v>6290360591551</v>
      </c>
      <c r="B520" s="29" t="s">
        <v>5556</v>
      </c>
      <c r="C520" s="30" t="s">
        <v>22</v>
      </c>
      <c r="D520" s="31" t="s">
        <v>5557</v>
      </c>
      <c r="E520" s="51">
        <v>9.77</v>
      </c>
      <c r="F520" s="32" t="s">
        <v>14</v>
      </c>
      <c r="G520" s="32" t="s">
        <v>6985</v>
      </c>
      <c r="H520" s="22"/>
      <c r="I520" s="11">
        <f>Table1[[#This Row],[Qty]]*Table1[[#This Row],[Price]]</f>
        <v>0</v>
      </c>
    </row>
    <row r="521" spans="1:9" ht="13.5" customHeight="1" x14ac:dyDescent="0.25">
      <c r="A521" s="28">
        <v>3610400000677</v>
      </c>
      <c r="B521" s="29" t="s">
        <v>2171</v>
      </c>
      <c r="C521" s="30" t="s">
        <v>2164</v>
      </c>
      <c r="D521" s="31" t="s">
        <v>2172</v>
      </c>
      <c r="E521" s="51">
        <v>12.5</v>
      </c>
      <c r="F521" s="32" t="s">
        <v>14</v>
      </c>
      <c r="G521" s="32" t="s">
        <v>6391</v>
      </c>
      <c r="H521" s="12"/>
      <c r="I521" s="11">
        <f>Table1[[#This Row],[Qty]]*Table1[[#This Row],[Price]]</f>
        <v>0</v>
      </c>
    </row>
    <row r="522" spans="1:9" ht="13.5" customHeight="1" x14ac:dyDescent="0.25">
      <c r="A522" s="28">
        <v>6291107459363</v>
      </c>
      <c r="B522" s="29" t="s">
        <v>408</v>
      </c>
      <c r="C522" s="30" t="s">
        <v>46</v>
      </c>
      <c r="D522" s="31" t="s">
        <v>409</v>
      </c>
      <c r="E522" s="51">
        <v>13.56</v>
      </c>
      <c r="F522" s="32" t="s">
        <v>14</v>
      </c>
      <c r="G522" s="32" t="s">
        <v>5816</v>
      </c>
      <c r="H522" s="22"/>
      <c r="I522" s="11">
        <f>Table1[[#This Row],[Qty]]*Table1[[#This Row],[Price]]</f>
        <v>0</v>
      </c>
    </row>
    <row r="523" spans="1:9" ht="13.5" customHeight="1" x14ac:dyDescent="0.25">
      <c r="A523" s="28">
        <v>6291108737033</v>
      </c>
      <c r="B523" s="29" t="s">
        <v>2046</v>
      </c>
      <c r="C523" s="30" t="s">
        <v>2047</v>
      </c>
      <c r="D523" s="31" t="s">
        <v>2048</v>
      </c>
      <c r="E523" s="51">
        <v>10.9</v>
      </c>
      <c r="F523" s="32" t="s">
        <v>14</v>
      </c>
      <c r="G523" s="32" t="s">
        <v>6367</v>
      </c>
      <c r="H523" s="22"/>
      <c r="I523" s="11">
        <f>Table1[[#This Row],[Qty]]*Table1[[#This Row],[Price]]</f>
        <v>0</v>
      </c>
    </row>
    <row r="524" spans="1:9" ht="13.5" customHeight="1" x14ac:dyDescent="0.25">
      <c r="A524" s="28">
        <v>6291108730140</v>
      </c>
      <c r="B524" s="29" t="s">
        <v>2096</v>
      </c>
      <c r="C524" s="33" t="s">
        <v>46</v>
      </c>
      <c r="D524" s="31" t="s">
        <v>2097</v>
      </c>
      <c r="E524" s="51">
        <v>11.95</v>
      </c>
      <c r="F524" s="32" t="s">
        <v>14</v>
      </c>
      <c r="G524" s="32" t="s">
        <v>6376</v>
      </c>
      <c r="H524" s="22"/>
      <c r="I524" s="11">
        <f>Table1[[#This Row],[Qty]]*Table1[[#This Row],[Price]]</f>
        <v>0</v>
      </c>
    </row>
    <row r="525" spans="1:9" ht="13.5" customHeight="1" x14ac:dyDescent="0.25">
      <c r="A525" s="28">
        <v>6291108733486</v>
      </c>
      <c r="B525" s="29" t="s">
        <v>2157</v>
      </c>
      <c r="C525" s="30" t="s">
        <v>46</v>
      </c>
      <c r="D525" s="31" t="s">
        <v>2158</v>
      </c>
      <c r="E525" s="51">
        <v>14.5</v>
      </c>
      <c r="F525" s="32" t="s">
        <v>14</v>
      </c>
      <c r="G525" s="32" t="s">
        <v>6388</v>
      </c>
      <c r="H525" s="12"/>
      <c r="I525" s="11">
        <f>Table1[[#This Row],[Qty]]*Table1[[#This Row],[Price]]</f>
        <v>0</v>
      </c>
    </row>
    <row r="526" spans="1:9" ht="13.5" customHeight="1" x14ac:dyDescent="0.25">
      <c r="A526" s="28">
        <v>6290360591599</v>
      </c>
      <c r="B526" s="29" t="s">
        <v>2422</v>
      </c>
      <c r="C526" s="30" t="s">
        <v>46</v>
      </c>
      <c r="D526" s="31" t="s">
        <v>2423</v>
      </c>
      <c r="E526" s="51">
        <v>16.239999999999998</v>
      </c>
      <c r="F526" s="32" t="s">
        <v>14</v>
      </c>
      <c r="G526" s="32" t="s">
        <v>6453</v>
      </c>
      <c r="H526" s="12"/>
      <c r="I526" s="11">
        <f>Table1[[#This Row],[Qty]]*Table1[[#This Row],[Price]]</f>
        <v>0</v>
      </c>
    </row>
    <row r="527" spans="1:9" ht="13.5" customHeight="1" x14ac:dyDescent="0.25">
      <c r="A527" s="28">
        <v>6291108735558</v>
      </c>
      <c r="B527" s="29" t="s">
        <v>2643</v>
      </c>
      <c r="C527" s="33" t="s">
        <v>46</v>
      </c>
      <c r="D527" s="31" t="s">
        <v>2644</v>
      </c>
      <c r="E527" s="51">
        <v>14.08</v>
      </c>
      <c r="F527" s="32" t="s">
        <v>14</v>
      </c>
      <c r="G527" s="32" t="s">
        <v>6553</v>
      </c>
      <c r="H527" s="22"/>
      <c r="I527" s="11">
        <f>Table1[[#This Row],[Qty]]*Table1[[#This Row],[Price]]</f>
        <v>0</v>
      </c>
    </row>
    <row r="528" spans="1:9" ht="13.5" customHeight="1" x14ac:dyDescent="0.25">
      <c r="A528" s="28">
        <v>6290362344094</v>
      </c>
      <c r="B528" s="29" t="s">
        <v>2699</v>
      </c>
      <c r="C528" s="30" t="s">
        <v>46</v>
      </c>
      <c r="D528" s="31" t="s">
        <v>2700</v>
      </c>
      <c r="E528" s="51">
        <v>13.5</v>
      </c>
      <c r="F528" s="32" t="s">
        <v>14</v>
      </c>
      <c r="G528" s="32" t="s">
        <v>6578</v>
      </c>
      <c r="H528" s="12"/>
      <c r="I528" s="11">
        <f>Table1[[#This Row],[Qty]]*Table1[[#This Row],[Price]]</f>
        <v>0</v>
      </c>
    </row>
    <row r="529" spans="1:9" ht="13.5" customHeight="1" x14ac:dyDescent="0.25">
      <c r="A529" s="28">
        <v>6290360590707</v>
      </c>
      <c r="B529" s="29" t="s">
        <v>3279</v>
      </c>
      <c r="C529" s="30" t="s">
        <v>46</v>
      </c>
      <c r="D529" s="31" t="s">
        <v>3280</v>
      </c>
      <c r="E529" s="51">
        <v>10.77</v>
      </c>
      <c r="F529" s="32" t="s">
        <v>14</v>
      </c>
      <c r="G529" s="32" t="s">
        <v>6771</v>
      </c>
      <c r="H529" s="12"/>
      <c r="I529" s="11">
        <f>Table1[[#This Row],[Qty]]*Table1[[#This Row],[Price]]</f>
        <v>0</v>
      </c>
    </row>
    <row r="530" spans="1:9" ht="13.5" customHeight="1" x14ac:dyDescent="0.25">
      <c r="A530" s="28">
        <v>6298043160421</v>
      </c>
      <c r="B530" s="29" t="s">
        <v>3307</v>
      </c>
      <c r="C530" s="30" t="s">
        <v>46</v>
      </c>
      <c r="D530" s="31" t="s">
        <v>3308</v>
      </c>
      <c r="E530" s="51">
        <v>24.03</v>
      </c>
      <c r="F530" s="32" t="s">
        <v>14</v>
      </c>
      <c r="G530" s="32" t="s">
        <v>6784</v>
      </c>
      <c r="H530" s="22"/>
      <c r="I530" s="11">
        <f>Table1[[#This Row],[Qty]]*Table1[[#This Row],[Price]]</f>
        <v>0</v>
      </c>
    </row>
    <row r="531" spans="1:9" ht="13.5" customHeight="1" x14ac:dyDescent="0.25">
      <c r="A531" s="48">
        <v>6298043160407</v>
      </c>
      <c r="B531" s="41" t="s">
        <v>3311</v>
      </c>
      <c r="C531" s="6" t="s">
        <v>46</v>
      </c>
      <c r="D531" t="s">
        <v>3312</v>
      </c>
      <c r="E531" s="47">
        <v>24</v>
      </c>
      <c r="F531" s="6" t="s">
        <v>14</v>
      </c>
      <c r="G531" s="6" t="s">
        <v>6785</v>
      </c>
      <c r="H531" s="22"/>
      <c r="I531" s="11">
        <f>Table1[[#This Row],[Qty]]*Table1[[#This Row],[Price]]</f>
        <v>0</v>
      </c>
    </row>
    <row r="532" spans="1:9" ht="13.5" customHeight="1" x14ac:dyDescent="0.25">
      <c r="A532" s="28">
        <v>6290360590790</v>
      </c>
      <c r="B532" s="29" t="s">
        <v>3332</v>
      </c>
      <c r="C532" s="30" t="s">
        <v>46</v>
      </c>
      <c r="D532" s="31" t="s">
        <v>3333</v>
      </c>
      <c r="E532" s="51">
        <v>10</v>
      </c>
      <c r="F532" s="32" t="s">
        <v>14</v>
      </c>
      <c r="G532" s="32" t="s">
        <v>6795</v>
      </c>
      <c r="H532" s="12"/>
      <c r="I532" s="11">
        <f>Table1[[#This Row],[Qty]]*Table1[[#This Row],[Price]]</f>
        <v>0</v>
      </c>
    </row>
    <row r="533" spans="1:9" ht="13.5" customHeight="1" x14ac:dyDescent="0.25">
      <c r="A533" s="28">
        <v>6290362340515</v>
      </c>
      <c r="B533" s="29" t="s">
        <v>3540</v>
      </c>
      <c r="C533" s="30" t="s">
        <v>46</v>
      </c>
      <c r="D533" s="31" t="s">
        <v>3541</v>
      </c>
      <c r="E533" s="51">
        <v>14.62</v>
      </c>
      <c r="F533" s="32" t="s">
        <v>14</v>
      </c>
      <c r="G533" s="32" t="s">
        <v>6896</v>
      </c>
      <c r="H533" s="22"/>
      <c r="I533" s="11">
        <f>Table1[[#This Row],[Qty]]*Table1[[#This Row],[Price]]</f>
        <v>0</v>
      </c>
    </row>
    <row r="534" spans="1:9" ht="13.5" customHeight="1" x14ac:dyDescent="0.25">
      <c r="A534" s="28">
        <v>6290362340522</v>
      </c>
      <c r="B534" s="29" t="s">
        <v>3542</v>
      </c>
      <c r="C534" s="30" t="s">
        <v>46</v>
      </c>
      <c r="D534" s="31" t="s">
        <v>3543</v>
      </c>
      <c r="E534" s="51">
        <v>14.5</v>
      </c>
      <c r="F534" s="32" t="s">
        <v>14</v>
      </c>
      <c r="G534" s="32" t="s">
        <v>6897</v>
      </c>
      <c r="H534" s="22"/>
      <c r="I534" s="11">
        <f>Table1[[#This Row],[Qty]]*Table1[[#This Row],[Price]]</f>
        <v>0</v>
      </c>
    </row>
    <row r="535" spans="1:9" ht="13.5" customHeight="1" x14ac:dyDescent="0.25">
      <c r="A535" s="28">
        <v>6290362349013</v>
      </c>
      <c r="B535" s="29" t="s">
        <v>3544</v>
      </c>
      <c r="C535" s="30" t="s">
        <v>46</v>
      </c>
      <c r="D535" s="31" t="s">
        <v>5548</v>
      </c>
      <c r="E535" s="51">
        <v>8</v>
      </c>
      <c r="F535" s="32" t="s">
        <v>14</v>
      </c>
      <c r="G535" s="32" t="s">
        <v>6898</v>
      </c>
      <c r="H535" s="22"/>
      <c r="I535" s="11">
        <f>Table1[[#This Row],[Qty]]*Table1[[#This Row],[Price]]</f>
        <v>0</v>
      </c>
    </row>
    <row r="536" spans="1:9" ht="13.5" customHeight="1" x14ac:dyDescent="0.25">
      <c r="A536" s="28">
        <v>6290362349006</v>
      </c>
      <c r="B536" s="29" t="s">
        <v>3545</v>
      </c>
      <c r="C536" s="33" t="s">
        <v>46</v>
      </c>
      <c r="D536" s="31" t="s">
        <v>5549</v>
      </c>
      <c r="E536" s="51">
        <v>8.25</v>
      </c>
      <c r="F536" s="32" t="s">
        <v>14</v>
      </c>
      <c r="G536" s="32" t="s">
        <v>6899</v>
      </c>
      <c r="H536" s="22"/>
      <c r="I536" s="11">
        <f>Table1[[#This Row],[Qty]]*Table1[[#This Row],[Price]]</f>
        <v>0</v>
      </c>
    </row>
    <row r="537" spans="1:9" ht="13.5" customHeight="1" x14ac:dyDescent="0.25">
      <c r="A537" s="28">
        <v>810200670244</v>
      </c>
      <c r="B537" s="29" t="s">
        <v>7502</v>
      </c>
      <c r="C537" s="30" t="s">
        <v>3419</v>
      </c>
      <c r="D537" s="31" t="s">
        <v>7503</v>
      </c>
      <c r="E537" s="51">
        <v>16.8</v>
      </c>
      <c r="F537" s="32" t="s">
        <v>14</v>
      </c>
      <c r="G537" s="32" t="s">
        <v>7504</v>
      </c>
      <c r="H537" s="14"/>
      <c r="I537" s="11">
        <f>Table1[[#This Row],[Qty]]*Table1[[#This Row],[Price]]</f>
        <v>0</v>
      </c>
    </row>
    <row r="538" spans="1:9" ht="13.5" customHeight="1" x14ac:dyDescent="0.25">
      <c r="A538" s="28">
        <v>850050062660</v>
      </c>
      <c r="B538" s="29" t="s">
        <v>7505</v>
      </c>
      <c r="C538" s="30" t="s">
        <v>3419</v>
      </c>
      <c r="D538" s="31" t="s">
        <v>7506</v>
      </c>
      <c r="E538" s="51">
        <v>13.85</v>
      </c>
      <c r="F538" s="32" t="s">
        <v>14</v>
      </c>
      <c r="G538" s="32" t="s">
        <v>7507</v>
      </c>
      <c r="H538" s="12"/>
      <c r="I538" s="11">
        <f>Table1[[#This Row],[Qty]]*Table1[[#This Row],[Price]]</f>
        <v>0</v>
      </c>
    </row>
    <row r="539" spans="1:9" ht="13.5" customHeight="1" x14ac:dyDescent="0.25">
      <c r="A539" s="28">
        <v>850050062950</v>
      </c>
      <c r="B539" s="29" t="s">
        <v>7508</v>
      </c>
      <c r="C539" s="30" t="s">
        <v>3419</v>
      </c>
      <c r="D539" s="31" t="s">
        <v>7509</v>
      </c>
      <c r="E539" s="51">
        <v>16.8</v>
      </c>
      <c r="F539" s="32" t="s">
        <v>14</v>
      </c>
      <c r="G539" s="32" t="s">
        <v>7510</v>
      </c>
      <c r="H539" s="22"/>
      <c r="I539" s="11">
        <f>Table1[[#This Row],[Qty]]*Table1[[#This Row],[Price]]</f>
        <v>0</v>
      </c>
    </row>
    <row r="540" spans="1:9" ht="13.5" customHeight="1" x14ac:dyDescent="0.25">
      <c r="A540" s="28">
        <v>810200670251</v>
      </c>
      <c r="B540" s="29" t="s">
        <v>7514</v>
      </c>
      <c r="C540" s="30" t="s">
        <v>3419</v>
      </c>
      <c r="D540" s="31" t="s">
        <v>7515</v>
      </c>
      <c r="E540" s="51">
        <v>16.91</v>
      </c>
      <c r="F540" s="32" t="s">
        <v>14</v>
      </c>
      <c r="G540" s="32" t="s">
        <v>7516</v>
      </c>
      <c r="H540" s="22"/>
      <c r="I540" s="11">
        <f>Table1[[#This Row],[Qty]]*Table1[[#This Row],[Price]]</f>
        <v>0</v>
      </c>
    </row>
    <row r="541" spans="1:9" ht="13.5" customHeight="1" x14ac:dyDescent="0.25">
      <c r="A541" s="28">
        <v>810200670466</v>
      </c>
      <c r="B541" s="29" t="s">
        <v>5512</v>
      </c>
      <c r="C541" s="30" t="s">
        <v>3419</v>
      </c>
      <c r="D541" s="31" t="s">
        <v>5513</v>
      </c>
      <c r="E541" s="51">
        <v>19</v>
      </c>
      <c r="F541" s="32" t="s">
        <v>14</v>
      </c>
      <c r="G541" s="32" t="s">
        <v>7517</v>
      </c>
      <c r="H541" s="22"/>
      <c r="I541" s="11">
        <f>Table1[[#This Row],[Qty]]*Table1[[#This Row],[Price]]</f>
        <v>0</v>
      </c>
    </row>
    <row r="542" spans="1:9" ht="13.5" customHeight="1" x14ac:dyDescent="0.25">
      <c r="A542" s="28">
        <v>810200670473</v>
      </c>
      <c r="B542" s="29" t="s">
        <v>5514</v>
      </c>
      <c r="C542" s="30" t="s">
        <v>3419</v>
      </c>
      <c r="D542" s="31" t="s">
        <v>5515</v>
      </c>
      <c r="E542" s="51">
        <v>19</v>
      </c>
      <c r="F542" s="32" t="s">
        <v>14</v>
      </c>
      <c r="G542" s="32" t="s">
        <v>7518</v>
      </c>
      <c r="H542" s="12"/>
      <c r="I542" s="11">
        <f>Table1[[#This Row],[Qty]]*Table1[[#This Row],[Price]]</f>
        <v>0</v>
      </c>
    </row>
    <row r="543" spans="1:9" ht="13.5" customHeight="1" x14ac:dyDescent="0.25">
      <c r="A543" s="28">
        <v>3386460058728</v>
      </c>
      <c r="B543" s="29" t="s">
        <v>539</v>
      </c>
      <c r="C543" s="30" t="s">
        <v>109</v>
      </c>
      <c r="D543" s="31" t="s">
        <v>540</v>
      </c>
      <c r="E543" s="51">
        <v>26.65</v>
      </c>
      <c r="F543" s="32" t="s">
        <v>14</v>
      </c>
      <c r="G543" s="32" t="s">
        <v>5877</v>
      </c>
      <c r="H543" s="12"/>
      <c r="I543" s="11">
        <f>Table1[[#This Row],[Qty]]*Table1[[#This Row],[Price]]</f>
        <v>0</v>
      </c>
    </row>
    <row r="544" spans="1:9" ht="13.5" customHeight="1" x14ac:dyDescent="0.25">
      <c r="A544" s="28">
        <v>3386460118125</v>
      </c>
      <c r="B544" s="29" t="s">
        <v>807</v>
      </c>
      <c r="C544" s="30" t="s">
        <v>109</v>
      </c>
      <c r="D544" s="31" t="s">
        <v>808</v>
      </c>
      <c r="E544" s="51">
        <v>36.29</v>
      </c>
      <c r="F544" s="32" t="s">
        <v>14</v>
      </c>
      <c r="G544" s="32" t="s">
        <v>5998</v>
      </c>
      <c r="H544" s="12"/>
      <c r="I544" s="11">
        <f>Table1[[#This Row],[Qty]]*Table1[[#This Row],[Price]]</f>
        <v>0</v>
      </c>
    </row>
    <row r="545" spans="1:9" ht="13.5" customHeight="1" x14ac:dyDescent="0.25">
      <c r="A545" s="28">
        <v>3386460074827</v>
      </c>
      <c r="B545" s="29" t="s">
        <v>956</v>
      </c>
      <c r="C545" s="33" t="s">
        <v>109</v>
      </c>
      <c r="D545" s="31" t="s">
        <v>957</v>
      </c>
      <c r="E545" s="51">
        <v>30.38</v>
      </c>
      <c r="F545" s="32" t="s">
        <v>14</v>
      </c>
      <c r="G545" s="32" t="s">
        <v>6064</v>
      </c>
      <c r="H545" s="22"/>
      <c r="I545" s="11">
        <f>Table1[[#This Row],[Qty]]*Table1[[#This Row],[Price]]</f>
        <v>0</v>
      </c>
    </row>
    <row r="546" spans="1:9" ht="13.5" customHeight="1" x14ac:dyDescent="0.25">
      <c r="A546" s="28">
        <v>3386460028424</v>
      </c>
      <c r="B546" s="29" t="s">
        <v>1116</v>
      </c>
      <c r="C546" s="30" t="s">
        <v>109</v>
      </c>
      <c r="D546" s="31" t="s">
        <v>1117</v>
      </c>
      <c r="E546" s="51">
        <v>19.66</v>
      </c>
      <c r="F546" s="32" t="s">
        <v>14</v>
      </c>
      <c r="G546" s="32" t="s">
        <v>6132</v>
      </c>
      <c r="H546" s="22"/>
      <c r="I546" s="11">
        <f>Table1[[#This Row],[Qty]]*Table1[[#This Row],[Price]]</f>
        <v>0</v>
      </c>
    </row>
    <row r="547" spans="1:9" ht="13.5" customHeight="1" x14ac:dyDescent="0.25">
      <c r="A547" s="28">
        <v>3386460101035</v>
      </c>
      <c r="B547" s="29" t="s">
        <v>1498</v>
      </c>
      <c r="C547" s="30" t="s">
        <v>109</v>
      </c>
      <c r="D547" s="31" t="s">
        <v>1499</v>
      </c>
      <c r="E547" s="51">
        <v>42.23</v>
      </c>
      <c r="F547" s="32" t="s">
        <v>14</v>
      </c>
      <c r="G547" s="32" t="s">
        <v>6228</v>
      </c>
      <c r="H547" s="12"/>
      <c r="I547" s="11">
        <f>Table1[[#This Row],[Qty]]*Table1[[#This Row],[Price]]</f>
        <v>0</v>
      </c>
    </row>
    <row r="548" spans="1:9" ht="13.5" customHeight="1" x14ac:dyDescent="0.25">
      <c r="A548" s="28">
        <v>3386460135818</v>
      </c>
      <c r="B548" s="29" t="s">
        <v>1515</v>
      </c>
      <c r="C548" s="30" t="s">
        <v>109</v>
      </c>
      <c r="D548" s="31" t="s">
        <v>1516</v>
      </c>
      <c r="E548" s="51">
        <v>30.06</v>
      </c>
      <c r="F548" s="32" t="s">
        <v>14</v>
      </c>
      <c r="G548" s="32" t="s">
        <v>6234</v>
      </c>
      <c r="H548" s="12"/>
      <c r="I548" s="11">
        <f>Table1[[#This Row],[Qty]]*Table1[[#This Row],[Price]]</f>
        <v>0</v>
      </c>
    </row>
    <row r="549" spans="1:9" ht="13.5" customHeight="1" x14ac:dyDescent="0.25">
      <c r="A549" s="28">
        <v>3386460032681</v>
      </c>
      <c r="B549" s="29" t="s">
        <v>1590</v>
      </c>
      <c r="C549" s="30" t="s">
        <v>109</v>
      </c>
      <c r="D549" s="31" t="s">
        <v>1591</v>
      </c>
      <c r="E549" s="51">
        <v>32.94</v>
      </c>
      <c r="F549" s="32" t="s">
        <v>14</v>
      </c>
      <c r="G549" s="32" t="s">
        <v>6250</v>
      </c>
      <c r="H549" s="12"/>
      <c r="I549" s="11">
        <f>Table1[[#This Row],[Qty]]*Table1[[#This Row],[Price]]</f>
        <v>0</v>
      </c>
    </row>
    <row r="550" spans="1:9" ht="13.5" customHeight="1" x14ac:dyDescent="0.25">
      <c r="A550" s="28">
        <v>3386460028462</v>
      </c>
      <c r="B550" s="29" t="s">
        <v>1750</v>
      </c>
      <c r="C550" s="30" t="s">
        <v>109</v>
      </c>
      <c r="D550" s="31" t="s">
        <v>1751</v>
      </c>
      <c r="E550" s="51">
        <v>22.65</v>
      </c>
      <c r="F550" s="32" t="s">
        <v>14</v>
      </c>
      <c r="G550" s="32" t="s">
        <v>6294</v>
      </c>
      <c r="H550" s="22"/>
      <c r="I550" s="11">
        <f>Table1[[#This Row],[Qty]]*Table1[[#This Row],[Price]]</f>
        <v>0</v>
      </c>
    </row>
    <row r="551" spans="1:9" ht="13.5" customHeight="1" x14ac:dyDescent="0.25">
      <c r="A551" s="28">
        <v>3386460127950</v>
      </c>
      <c r="B551" s="29" t="s">
        <v>3661</v>
      </c>
      <c r="C551" s="30" t="s">
        <v>109</v>
      </c>
      <c r="D551" s="31" t="s">
        <v>3662</v>
      </c>
      <c r="E551" s="51">
        <v>26</v>
      </c>
      <c r="F551" s="32" t="s">
        <v>14</v>
      </c>
      <c r="G551" s="32" t="s">
        <v>6954</v>
      </c>
      <c r="H551" s="22"/>
      <c r="I551" s="11">
        <f>Table1[[#This Row],[Qty]]*Table1[[#This Row],[Price]]</f>
        <v>0</v>
      </c>
    </row>
    <row r="552" spans="1:9" ht="13.5" customHeight="1" x14ac:dyDescent="0.25">
      <c r="A552" s="28">
        <v>3386460144230</v>
      </c>
      <c r="B552" s="29" t="s">
        <v>3663</v>
      </c>
      <c r="C552" s="30" t="s">
        <v>109</v>
      </c>
      <c r="D552" s="31" t="s">
        <v>3664</v>
      </c>
      <c r="E552" s="51">
        <v>30.54</v>
      </c>
      <c r="F552" s="32" t="s">
        <v>14</v>
      </c>
      <c r="G552" s="32" t="s">
        <v>6955</v>
      </c>
      <c r="H552" s="22"/>
      <c r="I552" s="11">
        <f>Table1[[#This Row],[Qty]]*Table1[[#This Row],[Price]]</f>
        <v>0</v>
      </c>
    </row>
    <row r="553" spans="1:9" ht="13.5" customHeight="1" x14ac:dyDescent="0.25">
      <c r="A553" s="28">
        <v>8011003839308</v>
      </c>
      <c r="B553" s="29" t="s">
        <v>332</v>
      </c>
      <c r="C553" s="30" t="s">
        <v>57</v>
      </c>
      <c r="D553" s="31" t="s">
        <v>333</v>
      </c>
      <c r="E553" s="51">
        <v>33.299999999999997</v>
      </c>
      <c r="F553" s="32" t="s">
        <v>14</v>
      </c>
      <c r="G553" s="32" t="s">
        <v>5776</v>
      </c>
      <c r="H553" s="22"/>
      <c r="I553" s="11">
        <f>Table1[[#This Row],[Qty]]*Table1[[#This Row],[Price]]</f>
        <v>0</v>
      </c>
    </row>
    <row r="554" spans="1:9" ht="13.5" customHeight="1" x14ac:dyDescent="0.25">
      <c r="A554" s="28">
        <v>8011003845132</v>
      </c>
      <c r="B554" s="29" t="s">
        <v>387</v>
      </c>
      <c r="C554" s="30" t="s">
        <v>57</v>
      </c>
      <c r="D554" s="31" t="s">
        <v>388</v>
      </c>
      <c r="E554" s="51">
        <v>32.21</v>
      </c>
      <c r="F554" s="32" t="s">
        <v>14</v>
      </c>
      <c r="G554" s="32" t="s">
        <v>5806</v>
      </c>
      <c r="H554" s="12"/>
      <c r="I554" s="11">
        <f>Table1[[#This Row],[Qty]]*Table1[[#This Row],[Price]]</f>
        <v>0</v>
      </c>
    </row>
    <row r="555" spans="1:9" ht="13.5" customHeight="1" x14ac:dyDescent="0.25">
      <c r="A555" s="28">
        <v>8011003878611</v>
      </c>
      <c r="B555" s="29" t="s">
        <v>1082</v>
      </c>
      <c r="C555" s="30" t="s">
        <v>57</v>
      </c>
      <c r="D555" s="31" t="s">
        <v>1083</v>
      </c>
      <c r="E555" s="51">
        <v>33.049999999999997</v>
      </c>
      <c r="F555" s="32" t="s">
        <v>14</v>
      </c>
      <c r="G555" s="32" t="s">
        <v>6120</v>
      </c>
      <c r="H555" s="12"/>
      <c r="I555" s="11">
        <f>Table1[[#This Row],[Qty]]*Table1[[#This Row],[Price]]</f>
        <v>0</v>
      </c>
    </row>
    <row r="556" spans="1:9" ht="13.5" customHeight="1" x14ac:dyDescent="0.25">
      <c r="A556" s="28">
        <v>8011003864089</v>
      </c>
      <c r="B556" s="29" t="s">
        <v>1094</v>
      </c>
      <c r="C556" s="30" t="s">
        <v>57</v>
      </c>
      <c r="D556" s="31" t="s">
        <v>1095</v>
      </c>
      <c r="E556" s="51">
        <v>34.909999999999997</v>
      </c>
      <c r="F556" s="32" t="s">
        <v>14</v>
      </c>
      <c r="G556" s="32" t="s">
        <v>6126</v>
      </c>
      <c r="H556" s="12"/>
      <c r="I556" s="11">
        <f>Table1[[#This Row],[Qty]]*Table1[[#This Row],[Price]]</f>
        <v>0</v>
      </c>
    </row>
    <row r="557" spans="1:9" ht="13.5" customHeight="1" x14ac:dyDescent="0.25">
      <c r="A557" s="28">
        <v>8011003807871</v>
      </c>
      <c r="B557" s="29" t="s">
        <v>1122</v>
      </c>
      <c r="C557" s="30" t="s">
        <v>57</v>
      </c>
      <c r="D557" s="31" t="s">
        <v>1123</v>
      </c>
      <c r="E557" s="51">
        <v>20</v>
      </c>
      <c r="F557" s="32" t="s">
        <v>14</v>
      </c>
      <c r="G557" s="32" t="s">
        <v>6135</v>
      </c>
      <c r="H557" s="12"/>
      <c r="I557" s="11">
        <f>Table1[[#This Row],[Qty]]*Table1[[#This Row],[Price]]</f>
        <v>0</v>
      </c>
    </row>
    <row r="558" spans="1:9" ht="13.5" customHeight="1" x14ac:dyDescent="0.25">
      <c r="A558" s="28">
        <v>8011003900190</v>
      </c>
      <c r="B558" s="29" t="s">
        <v>2725</v>
      </c>
      <c r="C558" s="30" t="s">
        <v>57</v>
      </c>
      <c r="D558" s="31" t="s">
        <v>2726</v>
      </c>
      <c r="E558" s="51">
        <v>38.909999999999997</v>
      </c>
      <c r="F558" s="32" t="s">
        <v>14</v>
      </c>
      <c r="G558" s="32" t="s">
        <v>6589</v>
      </c>
      <c r="H558" s="12"/>
      <c r="I558" s="11">
        <f>Table1[[#This Row],[Qty]]*Table1[[#This Row],[Price]]</f>
        <v>0</v>
      </c>
    </row>
    <row r="559" spans="1:9" ht="13.5" customHeight="1" x14ac:dyDescent="0.25">
      <c r="A559" s="28">
        <v>8011003908134</v>
      </c>
      <c r="B559" s="29" t="s">
        <v>5599</v>
      </c>
      <c r="C559" s="30" t="s">
        <v>57</v>
      </c>
      <c r="D559" s="31" t="s">
        <v>5600</v>
      </c>
      <c r="E559" s="51">
        <v>47.7</v>
      </c>
      <c r="F559" s="32" t="s">
        <v>14</v>
      </c>
      <c r="G559" s="32" t="s">
        <v>6994</v>
      </c>
      <c r="H559" s="22"/>
      <c r="I559" s="11">
        <f>Table1[[#This Row],[Qty]]*Table1[[#This Row],[Price]]</f>
        <v>0</v>
      </c>
    </row>
    <row r="560" spans="1:9" ht="13.5" customHeight="1" x14ac:dyDescent="0.25">
      <c r="A560" s="28">
        <v>8011003906345</v>
      </c>
      <c r="B560" s="29" t="s">
        <v>7534</v>
      </c>
      <c r="C560" s="30" t="s">
        <v>57</v>
      </c>
      <c r="D560" s="31" t="s">
        <v>7535</v>
      </c>
      <c r="E560" s="51">
        <v>39</v>
      </c>
      <c r="F560" s="32" t="s">
        <v>14</v>
      </c>
      <c r="G560" s="32" t="s">
        <v>7536</v>
      </c>
      <c r="H560" s="12"/>
      <c r="I560" s="11">
        <f>Table1[[#This Row],[Qty]]*Table1[[#This Row],[Price]]</f>
        <v>0</v>
      </c>
    </row>
    <row r="561" spans="1:9" ht="13.5" customHeight="1" x14ac:dyDescent="0.25">
      <c r="A561" s="28">
        <v>3412242508027</v>
      </c>
      <c r="B561" s="29" t="s">
        <v>475</v>
      </c>
      <c r="C561" s="30" t="s">
        <v>476</v>
      </c>
      <c r="D561" s="31" t="s">
        <v>477</v>
      </c>
      <c r="E561" s="51">
        <v>10.19</v>
      </c>
      <c r="F561" s="32" t="s">
        <v>14</v>
      </c>
      <c r="G561" s="32" t="s">
        <v>5848</v>
      </c>
      <c r="H561" s="22"/>
      <c r="I561" s="11">
        <f>Table1[[#This Row],[Qty]]*Table1[[#This Row],[Price]]</f>
        <v>0</v>
      </c>
    </row>
    <row r="562" spans="1:9" ht="13.5" customHeight="1" x14ac:dyDescent="0.25">
      <c r="A562" s="28">
        <v>3661163904016</v>
      </c>
      <c r="B562" s="29" t="s">
        <v>614</v>
      </c>
      <c r="C562" s="30" t="s">
        <v>476</v>
      </c>
      <c r="D562" s="31" t="s">
        <v>615</v>
      </c>
      <c r="E562" s="51">
        <v>10.17</v>
      </c>
      <c r="F562" s="32" t="s">
        <v>14</v>
      </c>
      <c r="G562" s="32" t="s">
        <v>5909</v>
      </c>
      <c r="H562" s="14"/>
      <c r="I562" s="11">
        <f>Table1[[#This Row],[Qty]]*Table1[[#This Row],[Price]]</f>
        <v>0</v>
      </c>
    </row>
    <row r="563" spans="1:9" ht="13.5" customHeight="1" x14ac:dyDescent="0.25">
      <c r="A563" s="28">
        <v>3614223930722</v>
      </c>
      <c r="B563" s="29" t="s">
        <v>639</v>
      </c>
      <c r="C563" s="30" t="s">
        <v>476</v>
      </c>
      <c r="D563" s="31" t="s">
        <v>640</v>
      </c>
      <c r="E563" s="51">
        <v>12.46</v>
      </c>
      <c r="F563" s="32" t="s">
        <v>14</v>
      </c>
      <c r="G563" s="32" t="s">
        <v>5921</v>
      </c>
      <c r="H563" s="22"/>
      <c r="I563" s="11">
        <f>Table1[[#This Row],[Qty]]*Table1[[#This Row],[Price]]</f>
        <v>0</v>
      </c>
    </row>
    <row r="564" spans="1:9" ht="13.5" customHeight="1" x14ac:dyDescent="0.25">
      <c r="A564" s="28">
        <v>3607348938230</v>
      </c>
      <c r="B564" s="29" t="s">
        <v>641</v>
      </c>
      <c r="C564" s="30" t="s">
        <v>476</v>
      </c>
      <c r="D564" s="31" t="s">
        <v>642</v>
      </c>
      <c r="E564" s="51">
        <v>13.37</v>
      </c>
      <c r="F564" s="32" t="s">
        <v>14</v>
      </c>
      <c r="G564" s="32" t="s">
        <v>5922</v>
      </c>
      <c r="H564" s="12"/>
      <c r="I564" s="11">
        <f>Table1[[#This Row],[Qty]]*Table1[[#This Row],[Price]]</f>
        <v>0</v>
      </c>
    </row>
    <row r="565" spans="1:9" ht="13.5" customHeight="1" x14ac:dyDescent="0.25">
      <c r="A565" s="28">
        <v>3614228834032</v>
      </c>
      <c r="B565" s="29" t="s">
        <v>1006</v>
      </c>
      <c r="C565" s="30" t="s">
        <v>476</v>
      </c>
      <c r="D565" s="31" t="s">
        <v>1007</v>
      </c>
      <c r="E565" s="51">
        <v>19.91</v>
      </c>
      <c r="F565" s="32" t="s">
        <v>14</v>
      </c>
      <c r="G565" s="32" t="s">
        <v>6087</v>
      </c>
      <c r="H565" s="12"/>
      <c r="I565" s="11">
        <f>Table1[[#This Row],[Qty]]*Table1[[#This Row],[Price]]</f>
        <v>0</v>
      </c>
    </row>
    <row r="566" spans="1:9" ht="13.5" customHeight="1" x14ac:dyDescent="0.25">
      <c r="A566" s="28">
        <v>3614221758786</v>
      </c>
      <c r="B566" s="29" t="s">
        <v>1054</v>
      </c>
      <c r="C566" s="30" t="s">
        <v>476</v>
      </c>
      <c r="D566" s="31" t="s">
        <v>1055</v>
      </c>
      <c r="E566" s="51">
        <v>11.58</v>
      </c>
      <c r="F566" s="32" t="s">
        <v>14</v>
      </c>
      <c r="G566" s="32" t="s">
        <v>6107</v>
      </c>
      <c r="H566" s="22"/>
      <c r="I566" s="11">
        <f>Table1[[#This Row],[Qty]]*Table1[[#This Row],[Price]]</f>
        <v>0</v>
      </c>
    </row>
    <row r="567" spans="1:9" ht="13.5" customHeight="1" x14ac:dyDescent="0.25">
      <c r="A567" s="28">
        <v>3614224686833</v>
      </c>
      <c r="B567" s="29" t="s">
        <v>1138</v>
      </c>
      <c r="C567" s="30" t="s">
        <v>476</v>
      </c>
      <c r="D567" s="31" t="s">
        <v>1139</v>
      </c>
      <c r="E567" s="51">
        <v>13.99</v>
      </c>
      <c r="F567" s="32" t="s">
        <v>14</v>
      </c>
      <c r="G567" s="32" t="s">
        <v>6143</v>
      </c>
      <c r="H567" s="12"/>
      <c r="I567" s="11">
        <f>Table1[[#This Row],[Qty]]*Table1[[#This Row],[Price]]</f>
        <v>0</v>
      </c>
    </row>
    <row r="568" spans="1:9" ht="13.5" customHeight="1" x14ac:dyDescent="0.25">
      <c r="A568" s="28">
        <v>31655531908</v>
      </c>
      <c r="B568" s="29" t="s">
        <v>2084</v>
      </c>
      <c r="C568" s="30" t="s">
        <v>476</v>
      </c>
      <c r="D568" s="31" t="s">
        <v>2085</v>
      </c>
      <c r="E568" s="51">
        <v>11.71</v>
      </c>
      <c r="F568" s="32" t="s">
        <v>14</v>
      </c>
      <c r="G568" s="32" t="s">
        <v>6375</v>
      </c>
      <c r="H568" s="12"/>
      <c r="I568" s="11">
        <f>Table1[[#This Row],[Qty]]*Table1[[#This Row],[Price]]</f>
        <v>0</v>
      </c>
    </row>
    <row r="569" spans="1:9" ht="13.5" customHeight="1" x14ac:dyDescent="0.25">
      <c r="A569" s="28">
        <v>3616304248788</v>
      </c>
      <c r="B569" s="29" t="s">
        <v>5528</v>
      </c>
      <c r="C569" s="30" t="s">
        <v>476</v>
      </c>
      <c r="D569" s="31" t="s">
        <v>5529</v>
      </c>
      <c r="E569" s="51">
        <v>12.25</v>
      </c>
      <c r="F569" s="32" t="s">
        <v>14</v>
      </c>
      <c r="G569" s="32" t="s">
        <v>6982</v>
      </c>
      <c r="H569" s="12"/>
      <c r="I569" s="11">
        <f>Table1[[#This Row],[Qty]]*Table1[[#This Row],[Price]]</f>
        <v>0</v>
      </c>
    </row>
    <row r="570" spans="1:9" ht="13.5" customHeight="1" x14ac:dyDescent="0.25">
      <c r="A570" s="28">
        <v>6297001158227</v>
      </c>
      <c r="B570" s="29" t="s">
        <v>2494</v>
      </c>
      <c r="C570" s="30" t="s">
        <v>1031</v>
      </c>
      <c r="D570" s="31" t="s">
        <v>2495</v>
      </c>
      <c r="E570" s="51">
        <v>49.52</v>
      </c>
      <c r="F570" s="32" t="s">
        <v>14</v>
      </c>
      <c r="G570" s="32" t="s">
        <v>6489</v>
      </c>
      <c r="H570" s="12"/>
      <c r="I570" s="11">
        <f>Table1[[#This Row],[Qty]]*Table1[[#This Row],[Price]]</f>
        <v>0</v>
      </c>
    </row>
    <row r="571" spans="1:9" ht="13.5" customHeight="1" x14ac:dyDescent="0.25">
      <c r="A571" s="28">
        <v>3349666007921</v>
      </c>
      <c r="B571" s="29" t="s">
        <v>596</v>
      </c>
      <c r="C571" s="30" t="s">
        <v>49</v>
      </c>
      <c r="D571" s="31" t="s">
        <v>597</v>
      </c>
      <c r="E571" s="51">
        <v>56.23</v>
      </c>
      <c r="F571" s="32" t="s">
        <v>14</v>
      </c>
      <c r="G571" s="32" t="s">
        <v>5902</v>
      </c>
      <c r="H571" s="12"/>
      <c r="I571" s="11">
        <f>Table1[[#This Row],[Qty]]*Table1[[#This Row],[Price]]</f>
        <v>0</v>
      </c>
    </row>
    <row r="572" spans="1:9" ht="13.5" customHeight="1" x14ac:dyDescent="0.25">
      <c r="A572" s="28">
        <v>3349668515660</v>
      </c>
      <c r="B572" s="29" t="s">
        <v>626</v>
      </c>
      <c r="C572" s="30" t="s">
        <v>49</v>
      </c>
      <c r="D572" s="31" t="s">
        <v>627</v>
      </c>
      <c r="E572" s="51">
        <v>55.24</v>
      </c>
      <c r="F572" s="32" t="s">
        <v>14</v>
      </c>
      <c r="G572" s="32" t="s">
        <v>5915</v>
      </c>
      <c r="H572" s="12"/>
      <c r="I572" s="11">
        <f>Table1[[#This Row],[Qty]]*Table1[[#This Row],[Price]]</f>
        <v>0</v>
      </c>
    </row>
    <row r="573" spans="1:9" ht="13.5" customHeight="1" x14ac:dyDescent="0.25">
      <c r="A573" s="28">
        <v>3349668614523</v>
      </c>
      <c r="B573" s="29" t="s">
        <v>719</v>
      </c>
      <c r="C573" s="30" t="s">
        <v>49</v>
      </c>
      <c r="D573" s="31" t="s">
        <v>720</v>
      </c>
      <c r="E573" s="51">
        <v>74.06</v>
      </c>
      <c r="F573" s="32" t="s">
        <v>14</v>
      </c>
      <c r="G573" s="32" t="s">
        <v>7447</v>
      </c>
      <c r="H573" s="22"/>
      <c r="I573" s="11">
        <f>Table1[[#This Row],[Qty]]*Table1[[#This Row],[Price]]</f>
        <v>0</v>
      </c>
    </row>
    <row r="574" spans="1:9" ht="13.5" customHeight="1" x14ac:dyDescent="0.25">
      <c r="A574" s="48">
        <v>3349666010532</v>
      </c>
      <c r="B574" s="41" t="s">
        <v>886</v>
      </c>
      <c r="C574" s="6" t="s">
        <v>49</v>
      </c>
      <c r="D574" t="s">
        <v>887</v>
      </c>
      <c r="E574" s="52">
        <v>30.87</v>
      </c>
      <c r="F574" s="49" t="s">
        <v>14</v>
      </c>
      <c r="G574" s="49" t="s">
        <v>6032</v>
      </c>
      <c r="H574" s="22"/>
      <c r="I574" s="11">
        <f>Table1[[#This Row],[Qty]]*Table1[[#This Row],[Price]]</f>
        <v>0</v>
      </c>
    </row>
    <row r="575" spans="1:9" ht="13.5" customHeight="1" x14ac:dyDescent="0.25">
      <c r="A575" s="28">
        <v>3349668588626</v>
      </c>
      <c r="B575" s="29" t="s">
        <v>928</v>
      </c>
      <c r="C575" s="30" t="s">
        <v>49</v>
      </c>
      <c r="D575" s="31" t="s">
        <v>929</v>
      </c>
      <c r="E575" s="51">
        <v>44.44</v>
      </c>
      <c r="F575" s="32" t="s">
        <v>14</v>
      </c>
      <c r="G575" s="32" t="s">
        <v>6051</v>
      </c>
      <c r="H575" s="22"/>
      <c r="I575" s="11">
        <f>Table1[[#This Row],[Qty]]*Table1[[#This Row],[Price]]</f>
        <v>0</v>
      </c>
    </row>
    <row r="576" spans="1:9" ht="13.5" customHeight="1" x14ac:dyDescent="0.25">
      <c r="A576" s="28">
        <v>3349668612635</v>
      </c>
      <c r="B576" s="29" t="s">
        <v>977</v>
      </c>
      <c r="C576" s="30" t="s">
        <v>49</v>
      </c>
      <c r="D576" s="31" t="s">
        <v>978</v>
      </c>
      <c r="E576" s="51">
        <v>53.78</v>
      </c>
      <c r="F576" s="32" t="s">
        <v>14</v>
      </c>
      <c r="G576" s="32" t="s">
        <v>6073</v>
      </c>
      <c r="H576" s="22"/>
      <c r="I576" s="11">
        <f>Table1[[#This Row],[Qty]]*Table1[[#This Row],[Price]]</f>
        <v>0</v>
      </c>
    </row>
    <row r="577" spans="1:9" ht="13.5" customHeight="1" x14ac:dyDescent="0.25">
      <c r="A577" s="28">
        <v>3349668588732</v>
      </c>
      <c r="B577" s="29" t="s">
        <v>1289</v>
      </c>
      <c r="C577" s="30" t="s">
        <v>49</v>
      </c>
      <c r="D577" s="31" t="s">
        <v>1290</v>
      </c>
      <c r="E577" s="51">
        <v>68.59</v>
      </c>
      <c r="F577" s="32" t="s">
        <v>14</v>
      </c>
      <c r="G577" s="32" t="s">
        <v>6184</v>
      </c>
      <c r="H577" s="22"/>
      <c r="I577" s="11">
        <f>Table1[[#This Row],[Qty]]*Table1[[#This Row],[Price]]</f>
        <v>0</v>
      </c>
    </row>
    <row r="578" spans="1:9" ht="13.5" customHeight="1" x14ac:dyDescent="0.25">
      <c r="A578" s="28">
        <v>3349668582297</v>
      </c>
      <c r="B578" s="29" t="s">
        <v>1320</v>
      </c>
      <c r="C578" s="30" t="s">
        <v>49</v>
      </c>
      <c r="D578" s="31" t="s">
        <v>1321</v>
      </c>
      <c r="E578" s="51">
        <v>62.01</v>
      </c>
      <c r="F578" s="32" t="s">
        <v>14</v>
      </c>
      <c r="G578" s="32" t="s">
        <v>6190</v>
      </c>
      <c r="H578" s="12"/>
      <c r="I578" s="11">
        <f>Table1[[#This Row],[Qty]]*Table1[[#This Row],[Price]]</f>
        <v>0</v>
      </c>
    </row>
    <row r="579" spans="1:9" ht="13.5" customHeight="1" x14ac:dyDescent="0.25">
      <c r="A579" s="28">
        <v>3349668630448</v>
      </c>
      <c r="B579" s="29" t="s">
        <v>2418</v>
      </c>
      <c r="C579" s="30" t="s">
        <v>49</v>
      </c>
      <c r="D579" s="31" t="s">
        <v>2419</v>
      </c>
      <c r="E579" s="51">
        <v>66.8</v>
      </c>
      <c r="F579" s="32" t="s">
        <v>14</v>
      </c>
      <c r="G579" s="32" t="s">
        <v>6451</v>
      </c>
      <c r="H579" s="12"/>
      <c r="I579" s="11">
        <f>Table1[[#This Row],[Qty]]*Table1[[#This Row],[Price]]</f>
        <v>0</v>
      </c>
    </row>
    <row r="580" spans="1:9" ht="13.5" customHeight="1" x14ac:dyDescent="0.25">
      <c r="A580" s="28">
        <v>3349668579839</v>
      </c>
      <c r="B580" s="29" t="s">
        <v>2420</v>
      </c>
      <c r="C580" s="30" t="s">
        <v>49</v>
      </c>
      <c r="D580" s="31" t="s">
        <v>2421</v>
      </c>
      <c r="E580" s="51">
        <v>71.930000000000007</v>
      </c>
      <c r="F580" s="32" t="s">
        <v>14</v>
      </c>
      <c r="G580" s="32" t="s">
        <v>6452</v>
      </c>
      <c r="H580" s="13"/>
      <c r="I580" s="11">
        <f>Table1[[#This Row],[Qty]]*Table1[[#This Row],[Price]]</f>
        <v>0</v>
      </c>
    </row>
    <row r="581" spans="1:9" ht="13.5" customHeight="1" x14ac:dyDescent="0.25">
      <c r="A581" s="28">
        <v>3349668021345</v>
      </c>
      <c r="B581" s="29" t="s">
        <v>2472</v>
      </c>
      <c r="C581" s="30" t="s">
        <v>49</v>
      </c>
      <c r="D581" s="31" t="s">
        <v>2473</v>
      </c>
      <c r="E581" s="51">
        <v>25.72</v>
      </c>
      <c r="F581" s="32" t="s">
        <v>14</v>
      </c>
      <c r="G581" s="32" t="s">
        <v>6478</v>
      </c>
      <c r="H581" s="13"/>
      <c r="I581" s="11">
        <f>Table1[[#This Row],[Qty]]*Table1[[#This Row],[Price]]</f>
        <v>0</v>
      </c>
    </row>
    <row r="582" spans="1:9" ht="13.5" customHeight="1" x14ac:dyDescent="0.25">
      <c r="A582" s="28">
        <v>3349668161348</v>
      </c>
      <c r="B582" s="29" t="s">
        <v>2482</v>
      </c>
      <c r="C582" s="30" t="s">
        <v>49</v>
      </c>
      <c r="D582" s="31" t="s">
        <v>2483</v>
      </c>
      <c r="E582" s="51">
        <v>37.119999999999997</v>
      </c>
      <c r="F582" s="32" t="s">
        <v>14</v>
      </c>
      <c r="G582" s="32" t="s">
        <v>6483</v>
      </c>
      <c r="H582" s="22"/>
      <c r="I582" s="11">
        <f>Table1[[#This Row],[Qty]]*Table1[[#This Row],[Price]]</f>
        <v>0</v>
      </c>
    </row>
    <row r="583" spans="1:9" ht="13.5" customHeight="1" x14ac:dyDescent="0.25">
      <c r="A583" s="28">
        <v>3349668508587</v>
      </c>
      <c r="B583" s="29" t="s">
        <v>2506</v>
      </c>
      <c r="C583" s="30" t="s">
        <v>49</v>
      </c>
      <c r="D583" s="31" t="s">
        <v>2507</v>
      </c>
      <c r="E583" s="51">
        <v>54.95</v>
      </c>
      <c r="F583" s="32" t="s">
        <v>14</v>
      </c>
      <c r="G583" s="32" t="s">
        <v>6495</v>
      </c>
      <c r="H583" s="12"/>
      <c r="I583" s="11">
        <f>Table1[[#This Row],[Qty]]*Table1[[#This Row],[Price]]</f>
        <v>0</v>
      </c>
    </row>
    <row r="584" spans="1:9" ht="13.5" customHeight="1" x14ac:dyDescent="0.25">
      <c r="A584" s="28">
        <v>3349666010518</v>
      </c>
      <c r="B584" s="29" t="s">
        <v>2615</v>
      </c>
      <c r="C584" s="33" t="s">
        <v>49</v>
      </c>
      <c r="D584" s="31" t="s">
        <v>2616</v>
      </c>
      <c r="E584" s="51">
        <v>29.34</v>
      </c>
      <c r="F584" s="32" t="s">
        <v>14</v>
      </c>
      <c r="G584" s="32" t="s">
        <v>6540</v>
      </c>
      <c r="H584" s="22"/>
      <c r="I584" s="11">
        <f>Table1[[#This Row],[Qty]]*Table1[[#This Row],[Price]]</f>
        <v>0</v>
      </c>
    </row>
    <row r="585" spans="1:9" ht="13.5" customHeight="1" x14ac:dyDescent="0.25">
      <c r="A585" s="28">
        <v>3349668630264</v>
      </c>
      <c r="B585" s="29" t="s">
        <v>2659</v>
      </c>
      <c r="C585" s="30" t="s">
        <v>49</v>
      </c>
      <c r="D585" s="31" t="s">
        <v>2660</v>
      </c>
      <c r="E585" s="51">
        <v>80.400000000000006</v>
      </c>
      <c r="F585" s="32" t="s">
        <v>14</v>
      </c>
      <c r="G585" s="32" t="s">
        <v>6559</v>
      </c>
      <c r="H585" s="22"/>
      <c r="I585" s="11">
        <f>Table1[[#This Row],[Qty]]*Table1[[#This Row],[Price]]</f>
        <v>0</v>
      </c>
    </row>
    <row r="586" spans="1:9" ht="13.5" customHeight="1" x14ac:dyDescent="0.25">
      <c r="A586" s="48">
        <v>3349668545636</v>
      </c>
      <c r="B586" s="41" t="s">
        <v>3210</v>
      </c>
      <c r="C586" s="6" t="s">
        <v>49</v>
      </c>
      <c r="D586" t="s">
        <v>3211</v>
      </c>
      <c r="E586" s="47">
        <v>69.25</v>
      </c>
      <c r="F586" s="6" t="s">
        <v>14</v>
      </c>
      <c r="G586" s="6" t="s">
        <v>6741</v>
      </c>
      <c r="H586" s="22"/>
      <c r="I586" s="11">
        <f>Table1[[#This Row],[Qty]]*Table1[[#This Row],[Price]]</f>
        <v>0</v>
      </c>
    </row>
    <row r="587" spans="1:9" ht="13.5" customHeight="1" x14ac:dyDescent="0.25">
      <c r="A587" s="28">
        <v>3349668630417</v>
      </c>
      <c r="B587" s="29" t="s">
        <v>3230</v>
      </c>
      <c r="C587" s="33" t="s">
        <v>49</v>
      </c>
      <c r="D587" s="31" t="s">
        <v>3231</v>
      </c>
      <c r="E587" s="51">
        <v>81.430000000000007</v>
      </c>
      <c r="F587" s="32" t="s">
        <v>14</v>
      </c>
      <c r="G587" s="32" t="s">
        <v>6751</v>
      </c>
      <c r="H587" s="22"/>
      <c r="I587" s="11">
        <f>Table1[[#This Row],[Qty]]*Table1[[#This Row],[Price]]</f>
        <v>0</v>
      </c>
    </row>
    <row r="588" spans="1:9" ht="13.5" customHeight="1" x14ac:dyDescent="0.25">
      <c r="A588" s="28">
        <v>3349668656608</v>
      </c>
      <c r="B588" s="29" t="s">
        <v>3240</v>
      </c>
      <c r="C588" s="30" t="s">
        <v>49</v>
      </c>
      <c r="D588" s="31" t="s">
        <v>3241</v>
      </c>
      <c r="E588" s="51">
        <v>64.069999999999993</v>
      </c>
      <c r="F588" s="32" t="s">
        <v>14</v>
      </c>
      <c r="G588" s="32" t="s">
        <v>6754</v>
      </c>
      <c r="H588" s="22"/>
      <c r="I588" s="11">
        <f>Table1[[#This Row],[Qty]]*Table1[[#This Row],[Price]]</f>
        <v>0</v>
      </c>
    </row>
    <row r="589" spans="1:9" ht="13.5" customHeight="1" x14ac:dyDescent="0.25">
      <c r="A589" s="28">
        <v>3349668662388</v>
      </c>
      <c r="B589" s="29" t="s">
        <v>3297</v>
      </c>
      <c r="C589" s="30" t="s">
        <v>49</v>
      </c>
      <c r="D589" s="31" t="s">
        <v>3298</v>
      </c>
      <c r="E589" s="51">
        <v>117.95</v>
      </c>
      <c r="F589" s="32" t="s">
        <v>14</v>
      </c>
      <c r="G589" s="32" t="s">
        <v>6780</v>
      </c>
      <c r="H589" s="12"/>
      <c r="I589" s="11">
        <f>Table1[[#This Row],[Qty]]*Table1[[#This Row],[Price]]</f>
        <v>0</v>
      </c>
    </row>
    <row r="590" spans="1:9" ht="13.5" customHeight="1" x14ac:dyDescent="0.25">
      <c r="A590" s="28">
        <v>3349668627479</v>
      </c>
      <c r="B590" s="29" t="s">
        <v>3299</v>
      </c>
      <c r="C590" s="30" t="s">
        <v>49</v>
      </c>
      <c r="D590" s="31" t="s">
        <v>3300</v>
      </c>
      <c r="E590" s="51">
        <v>69.709999999999994</v>
      </c>
      <c r="F590" s="32" t="s">
        <v>14</v>
      </c>
      <c r="G590" s="32" t="s">
        <v>6781</v>
      </c>
      <c r="H590" s="22"/>
      <c r="I590" s="11">
        <f>Table1[[#This Row],[Qty]]*Table1[[#This Row],[Price]]</f>
        <v>0</v>
      </c>
    </row>
    <row r="591" spans="1:9" ht="13.5" customHeight="1" x14ac:dyDescent="0.25">
      <c r="A591" s="28">
        <v>3349668654819</v>
      </c>
      <c r="B591" s="29" t="s">
        <v>3482</v>
      </c>
      <c r="C591" s="30" t="s">
        <v>49</v>
      </c>
      <c r="D591" s="31" t="s">
        <v>3483</v>
      </c>
      <c r="E591" s="51">
        <v>89.49</v>
      </c>
      <c r="F591" s="32" t="s">
        <v>14</v>
      </c>
      <c r="G591" s="32" t="s">
        <v>6863</v>
      </c>
      <c r="H591" s="12"/>
      <c r="I591" s="11">
        <f>Table1[[#This Row],[Qty]]*Table1[[#This Row],[Price]]</f>
        <v>0</v>
      </c>
    </row>
    <row r="592" spans="1:9" ht="13.5" customHeight="1" x14ac:dyDescent="0.25">
      <c r="A592" s="28">
        <v>3349668641833</v>
      </c>
      <c r="B592" s="29" t="s">
        <v>3558</v>
      </c>
      <c r="C592" s="30" t="s">
        <v>49</v>
      </c>
      <c r="D592" s="31" t="s">
        <v>3559</v>
      </c>
      <c r="E592" s="51">
        <v>84.54</v>
      </c>
      <c r="F592" s="32" t="s">
        <v>14</v>
      </c>
      <c r="G592" s="32" t="s">
        <v>6906</v>
      </c>
      <c r="H592" s="12"/>
      <c r="I592" s="11">
        <f>Table1[[#This Row],[Qty]]*Table1[[#This Row],[Price]]</f>
        <v>0</v>
      </c>
    </row>
    <row r="593" spans="1:9" ht="13.5" customHeight="1" x14ac:dyDescent="0.25">
      <c r="A593" s="28">
        <v>3349668663187</v>
      </c>
      <c r="B593" s="29" t="s">
        <v>3566</v>
      </c>
      <c r="C593" s="30" t="s">
        <v>49</v>
      </c>
      <c r="D593" s="31" t="s">
        <v>3567</v>
      </c>
      <c r="E593" s="51">
        <v>104.5</v>
      </c>
      <c r="F593" s="32" t="s">
        <v>14</v>
      </c>
      <c r="G593" s="32" t="s">
        <v>6910</v>
      </c>
      <c r="H593" s="12"/>
      <c r="I593" s="11">
        <f>Table1[[#This Row],[Qty]]*Table1[[#This Row],[Price]]</f>
        <v>0</v>
      </c>
    </row>
    <row r="594" spans="1:9" ht="13.5" customHeight="1" x14ac:dyDescent="0.25">
      <c r="A594" s="28">
        <v>3349668656226</v>
      </c>
      <c r="B594" s="29" t="s">
        <v>3584</v>
      </c>
      <c r="C594" s="30" t="s">
        <v>49</v>
      </c>
      <c r="D594" s="31" t="s">
        <v>3585</v>
      </c>
      <c r="E594" s="51">
        <v>78.44</v>
      </c>
      <c r="F594" s="32" t="s">
        <v>14</v>
      </c>
      <c r="G594" s="32" t="s">
        <v>6919</v>
      </c>
      <c r="H594" s="22"/>
      <c r="I594" s="11">
        <f>Table1[[#This Row],[Qty]]*Table1[[#This Row],[Price]]</f>
        <v>0</v>
      </c>
    </row>
    <row r="595" spans="1:9" ht="13.5" customHeight="1" x14ac:dyDescent="0.25">
      <c r="A595" s="28">
        <v>3349668562671</v>
      </c>
      <c r="B595" s="29" t="s">
        <v>5582</v>
      </c>
      <c r="C595" s="30" t="s">
        <v>49</v>
      </c>
      <c r="D595" s="31" t="s">
        <v>5583</v>
      </c>
      <c r="E595" s="51">
        <v>93</v>
      </c>
      <c r="F595" s="32" t="s">
        <v>14</v>
      </c>
      <c r="G595" s="32" t="s">
        <v>6988</v>
      </c>
      <c r="H595" s="22"/>
      <c r="I595" s="11">
        <f>Table1[[#This Row],[Qty]]*Table1[[#This Row],[Price]]</f>
        <v>0</v>
      </c>
    </row>
    <row r="596" spans="1:9" ht="13.5" customHeight="1" x14ac:dyDescent="0.25">
      <c r="A596" s="28">
        <v>3349668661640</v>
      </c>
      <c r="B596" s="29" t="s">
        <v>7450</v>
      </c>
      <c r="C596" s="30" t="s">
        <v>49</v>
      </c>
      <c r="D596" s="31" t="s">
        <v>7451</v>
      </c>
      <c r="E596" s="51">
        <v>85.86</v>
      </c>
      <c r="F596" s="32" t="s">
        <v>14</v>
      </c>
      <c r="G596" s="32" t="s">
        <v>7482</v>
      </c>
      <c r="H596" s="22"/>
      <c r="I596" s="11">
        <f>Table1[[#This Row],[Qty]]*Table1[[#This Row],[Price]]</f>
        <v>0</v>
      </c>
    </row>
    <row r="597" spans="1:9" ht="13.5" customHeight="1" x14ac:dyDescent="0.25">
      <c r="A597" s="28">
        <v>3349668643929</v>
      </c>
      <c r="B597" s="29" t="s">
        <v>7537</v>
      </c>
      <c r="C597" s="30" t="s">
        <v>49</v>
      </c>
      <c r="D597" s="31" t="s">
        <v>7538</v>
      </c>
      <c r="E597" s="51">
        <v>85.86</v>
      </c>
      <c r="F597" s="32" t="s">
        <v>14</v>
      </c>
      <c r="G597" s="32" t="s">
        <v>7539</v>
      </c>
      <c r="H597" s="12"/>
      <c r="I597" s="11">
        <f>Table1[[#This Row],[Qty]]*Table1[[#This Row],[Price]]</f>
        <v>0</v>
      </c>
    </row>
    <row r="598" spans="1:9" ht="13.5" customHeight="1" x14ac:dyDescent="0.25">
      <c r="A598" s="28">
        <v>6291419205986</v>
      </c>
      <c r="B598" s="29" t="s">
        <v>1860</v>
      </c>
      <c r="C598" s="30" t="s">
        <v>963</v>
      </c>
      <c r="D598" s="31" t="s">
        <v>1861</v>
      </c>
      <c r="E598" s="51">
        <v>15.22</v>
      </c>
      <c r="F598" s="32" t="s">
        <v>14</v>
      </c>
      <c r="G598" s="32" t="s">
        <v>6316</v>
      </c>
      <c r="H598" s="12"/>
      <c r="I598" s="11">
        <f>Table1[[#This Row],[Qty]]*Table1[[#This Row],[Price]]</f>
        <v>0</v>
      </c>
    </row>
    <row r="599" spans="1:9" ht="13.5" customHeight="1" x14ac:dyDescent="0.25">
      <c r="A599" s="28">
        <v>608940521601</v>
      </c>
      <c r="B599" s="29" t="s">
        <v>496</v>
      </c>
      <c r="C599" s="30" t="s">
        <v>497</v>
      </c>
      <c r="D599" s="31" t="s">
        <v>498</v>
      </c>
      <c r="E599" s="51">
        <v>18.559999999999999</v>
      </c>
      <c r="F599" s="32" t="s">
        <v>14</v>
      </c>
      <c r="G599" s="32" t="s">
        <v>5857</v>
      </c>
      <c r="H599" s="12"/>
      <c r="I599" s="11">
        <f>Table1[[#This Row],[Qty]]*Table1[[#This Row],[Price]]</f>
        <v>0</v>
      </c>
    </row>
    <row r="600" spans="1:9" ht="13.5" customHeight="1" x14ac:dyDescent="0.25">
      <c r="A600" s="28">
        <v>608940581391</v>
      </c>
      <c r="B600" s="29" t="s">
        <v>527</v>
      </c>
      <c r="C600" s="30" t="s">
        <v>497</v>
      </c>
      <c r="D600" s="31" t="s">
        <v>528</v>
      </c>
      <c r="E600" s="51">
        <v>17.260000000000002</v>
      </c>
      <c r="F600" s="32" t="s">
        <v>14</v>
      </c>
      <c r="G600" s="32" t="s">
        <v>5871</v>
      </c>
      <c r="H600" s="12"/>
      <c r="I600" s="11">
        <f>Table1[[#This Row],[Qty]]*Table1[[#This Row],[Price]]</f>
        <v>0</v>
      </c>
    </row>
    <row r="601" spans="1:9" ht="13.5" customHeight="1" x14ac:dyDescent="0.25">
      <c r="A601" s="28">
        <v>608940580554</v>
      </c>
      <c r="B601" s="29" t="s">
        <v>588</v>
      </c>
      <c r="C601" s="33" t="s">
        <v>497</v>
      </c>
      <c r="D601" s="31" t="s">
        <v>589</v>
      </c>
      <c r="E601" s="51">
        <v>18.59</v>
      </c>
      <c r="F601" s="32" t="s">
        <v>14</v>
      </c>
      <c r="G601" s="32" t="s">
        <v>5898</v>
      </c>
      <c r="H601" s="22"/>
      <c r="I601" s="11">
        <f>Table1[[#This Row],[Qty]]*Table1[[#This Row],[Price]]</f>
        <v>0</v>
      </c>
    </row>
    <row r="602" spans="1:9" ht="13.5" customHeight="1" x14ac:dyDescent="0.25">
      <c r="A602" s="28">
        <v>608940533369</v>
      </c>
      <c r="B602" s="29" t="s">
        <v>592</v>
      </c>
      <c r="C602" s="30" t="s">
        <v>497</v>
      </c>
      <c r="D602" s="31" t="s">
        <v>593</v>
      </c>
      <c r="E602" s="51">
        <v>19.27</v>
      </c>
      <c r="F602" s="32" t="s">
        <v>14</v>
      </c>
      <c r="G602" s="32" t="s">
        <v>5900</v>
      </c>
      <c r="H602" s="22"/>
      <c r="I602" s="11">
        <f>Table1[[#This Row],[Qty]]*Table1[[#This Row],[Price]]</f>
        <v>0</v>
      </c>
    </row>
    <row r="603" spans="1:9" ht="13.5" customHeight="1" x14ac:dyDescent="0.25">
      <c r="A603" s="34">
        <v>608940517482</v>
      </c>
      <c r="B603" s="29" t="s">
        <v>616</v>
      </c>
      <c r="C603" s="30" t="s">
        <v>497</v>
      </c>
      <c r="D603" s="31" t="s">
        <v>617</v>
      </c>
      <c r="E603" s="51">
        <v>16.920000000000002</v>
      </c>
      <c r="F603" s="32" t="s">
        <v>14</v>
      </c>
      <c r="G603" s="32" t="s">
        <v>5910</v>
      </c>
      <c r="H603" s="22"/>
      <c r="I603" s="11">
        <f>Table1[[#This Row],[Qty]]*Table1[[#This Row],[Price]]</f>
        <v>0</v>
      </c>
    </row>
    <row r="604" spans="1:9" ht="13.5" customHeight="1" x14ac:dyDescent="0.25">
      <c r="A604" s="28">
        <v>608940519769</v>
      </c>
      <c r="B604" s="29" t="s">
        <v>663</v>
      </c>
      <c r="C604" s="30" t="s">
        <v>497</v>
      </c>
      <c r="D604" s="31" t="s">
        <v>664</v>
      </c>
      <c r="E604" s="51">
        <v>18.68</v>
      </c>
      <c r="F604" s="32" t="s">
        <v>14</v>
      </c>
      <c r="G604" s="32" t="s">
        <v>5931</v>
      </c>
      <c r="H604" s="22"/>
      <c r="I604" s="11">
        <f>Table1[[#This Row],[Qty]]*Table1[[#This Row],[Price]]</f>
        <v>0</v>
      </c>
    </row>
    <row r="605" spans="1:9" ht="13.5" customHeight="1" x14ac:dyDescent="0.25">
      <c r="A605" s="28">
        <v>608940566947</v>
      </c>
      <c r="B605" s="29" t="s">
        <v>711</v>
      </c>
      <c r="C605" s="30" t="s">
        <v>497</v>
      </c>
      <c r="D605" s="31" t="s">
        <v>712</v>
      </c>
      <c r="E605" s="51">
        <v>19.010000000000002</v>
      </c>
      <c r="F605" s="32" t="s">
        <v>14</v>
      </c>
      <c r="G605" s="32" t="s">
        <v>5954</v>
      </c>
      <c r="H605" s="22"/>
      <c r="I605" s="11">
        <f>Table1[[#This Row],[Qty]]*Table1[[#This Row],[Price]]</f>
        <v>0</v>
      </c>
    </row>
    <row r="606" spans="1:9" ht="13.5" customHeight="1" x14ac:dyDescent="0.25">
      <c r="A606" s="28">
        <v>608940525753</v>
      </c>
      <c r="B606" s="29" t="s">
        <v>781</v>
      </c>
      <c r="C606" s="30" t="s">
        <v>497</v>
      </c>
      <c r="D606" s="31" t="s">
        <v>782</v>
      </c>
      <c r="E606" s="51">
        <v>23.7</v>
      </c>
      <c r="F606" s="32" t="s">
        <v>14</v>
      </c>
      <c r="G606" s="32" t="s">
        <v>5987</v>
      </c>
      <c r="H606" s="22"/>
      <c r="I606" s="11">
        <f>Table1[[#This Row],[Qty]]*Table1[[#This Row],[Price]]</f>
        <v>0</v>
      </c>
    </row>
    <row r="607" spans="1:9" ht="13.5" customHeight="1" x14ac:dyDescent="0.25">
      <c r="A607" s="28">
        <v>608940557327</v>
      </c>
      <c r="B607" s="29" t="s">
        <v>813</v>
      </c>
      <c r="C607" s="30" t="s">
        <v>497</v>
      </c>
      <c r="D607" s="31" t="s">
        <v>814</v>
      </c>
      <c r="E607" s="51">
        <v>21.14</v>
      </c>
      <c r="F607" s="32" t="s">
        <v>14</v>
      </c>
      <c r="G607" s="32" t="s">
        <v>6000</v>
      </c>
      <c r="H607" s="12"/>
      <c r="I607" s="11">
        <f>Table1[[#This Row],[Qty]]*Table1[[#This Row],[Price]]</f>
        <v>0</v>
      </c>
    </row>
    <row r="608" spans="1:9" ht="13.5" customHeight="1" x14ac:dyDescent="0.25">
      <c r="A608" s="48">
        <v>608940565056</v>
      </c>
      <c r="B608" s="41" t="s">
        <v>969</v>
      </c>
      <c r="C608" s="6" t="s">
        <v>497</v>
      </c>
      <c r="D608" t="s">
        <v>970</v>
      </c>
      <c r="E608" s="47">
        <v>18.39</v>
      </c>
      <c r="F608" s="6" t="s">
        <v>14</v>
      </c>
      <c r="G608" s="6" t="s">
        <v>6069</v>
      </c>
      <c r="H608" s="22"/>
      <c r="I608" s="11">
        <f>Table1[[#This Row],[Qty]]*Table1[[#This Row],[Price]]</f>
        <v>0</v>
      </c>
    </row>
    <row r="609" spans="1:9" ht="13.5" customHeight="1" x14ac:dyDescent="0.25">
      <c r="A609" s="28">
        <v>844061000513</v>
      </c>
      <c r="B609" s="29" t="s">
        <v>567</v>
      </c>
      <c r="C609" s="30" t="s">
        <v>209</v>
      </c>
      <c r="D609" s="31" t="s">
        <v>568</v>
      </c>
      <c r="E609" s="51">
        <v>20.05</v>
      </c>
      <c r="F609" s="32" t="s">
        <v>14</v>
      </c>
      <c r="G609" s="32" t="s">
        <v>5888</v>
      </c>
      <c r="H609" s="22"/>
      <c r="I609" s="11">
        <f>Table1[[#This Row],[Qty]]*Table1[[#This Row],[Price]]</f>
        <v>0</v>
      </c>
    </row>
    <row r="610" spans="1:9" ht="13.5" customHeight="1" x14ac:dyDescent="0.25">
      <c r="A610" s="28">
        <v>844061000575</v>
      </c>
      <c r="B610" s="29" t="s">
        <v>687</v>
      </c>
      <c r="C610" s="30" t="s">
        <v>209</v>
      </c>
      <c r="D610" s="31" t="s">
        <v>688</v>
      </c>
      <c r="E610" s="51">
        <v>20.41</v>
      </c>
      <c r="F610" s="32" t="s">
        <v>14</v>
      </c>
      <c r="G610" s="32" t="s">
        <v>5943</v>
      </c>
      <c r="H610" s="12"/>
      <c r="I610" s="11">
        <f>Table1[[#This Row],[Qty]]*Table1[[#This Row],[Price]]</f>
        <v>0</v>
      </c>
    </row>
    <row r="611" spans="1:9" ht="13.5" customHeight="1" x14ac:dyDescent="0.25">
      <c r="A611" s="28">
        <v>844061000551</v>
      </c>
      <c r="B611" s="29" t="s">
        <v>707</v>
      </c>
      <c r="C611" s="30" t="s">
        <v>209</v>
      </c>
      <c r="D611" s="31" t="s">
        <v>708</v>
      </c>
      <c r="E611" s="51">
        <v>18.88</v>
      </c>
      <c r="F611" s="32" t="s">
        <v>14</v>
      </c>
      <c r="G611" s="32" t="s">
        <v>5952</v>
      </c>
      <c r="H611" s="22"/>
      <c r="I611" s="11">
        <f>Table1[[#This Row],[Qty]]*Table1[[#This Row],[Price]]</f>
        <v>0</v>
      </c>
    </row>
    <row r="612" spans="1:9" ht="13.5" customHeight="1" x14ac:dyDescent="0.25">
      <c r="A612" s="28">
        <v>844061002302</v>
      </c>
      <c r="B612" s="29" t="s">
        <v>733</v>
      </c>
      <c r="C612" s="30" t="s">
        <v>209</v>
      </c>
      <c r="D612" s="31" t="s">
        <v>734</v>
      </c>
      <c r="E612" s="51">
        <v>28.65</v>
      </c>
      <c r="F612" s="32" t="s">
        <v>14</v>
      </c>
      <c r="G612" s="32" t="s">
        <v>5964</v>
      </c>
      <c r="H612" s="12"/>
      <c r="I612" s="11">
        <f>Table1[[#This Row],[Qty]]*Table1[[#This Row],[Price]]</f>
        <v>0</v>
      </c>
    </row>
    <row r="613" spans="1:9" ht="13.5" customHeight="1" x14ac:dyDescent="0.25">
      <c r="A613" s="28">
        <v>844061007963</v>
      </c>
      <c r="B613" s="29" t="s">
        <v>753</v>
      </c>
      <c r="C613" s="30" t="s">
        <v>209</v>
      </c>
      <c r="D613" s="31" t="s">
        <v>754</v>
      </c>
      <c r="E613" s="51">
        <v>20.89</v>
      </c>
      <c r="F613" s="32" t="s">
        <v>14</v>
      </c>
      <c r="G613" s="32" t="s">
        <v>5974</v>
      </c>
      <c r="H613" s="12"/>
      <c r="I613" s="11">
        <f>Table1[[#This Row],[Qty]]*Table1[[#This Row],[Price]]</f>
        <v>0</v>
      </c>
    </row>
    <row r="614" spans="1:9" ht="13.5" customHeight="1" x14ac:dyDescent="0.25">
      <c r="A614" s="28">
        <v>844061001176</v>
      </c>
      <c r="B614" s="29" t="s">
        <v>793</v>
      </c>
      <c r="C614" s="30" t="s">
        <v>209</v>
      </c>
      <c r="D614" s="31" t="s">
        <v>794</v>
      </c>
      <c r="E614" s="51">
        <v>18.690000000000001</v>
      </c>
      <c r="F614" s="32" t="s">
        <v>14</v>
      </c>
      <c r="G614" s="32" t="s">
        <v>5992</v>
      </c>
      <c r="H614" s="12"/>
      <c r="I614" s="11">
        <f>Table1[[#This Row],[Qty]]*Table1[[#This Row],[Price]]</f>
        <v>0</v>
      </c>
    </row>
    <row r="615" spans="1:9" ht="13.5" customHeight="1" x14ac:dyDescent="0.25">
      <c r="A615" s="28">
        <v>844061000599</v>
      </c>
      <c r="B615" s="29" t="s">
        <v>1768</v>
      </c>
      <c r="C615" s="30" t="s">
        <v>209</v>
      </c>
      <c r="D615" s="31" t="s">
        <v>1769</v>
      </c>
      <c r="E615" s="51">
        <v>20.61</v>
      </c>
      <c r="F615" s="32" t="s">
        <v>14</v>
      </c>
      <c r="G615" s="32" t="s">
        <v>6299</v>
      </c>
      <c r="H615" s="12"/>
      <c r="I615" s="11">
        <f>Table1[[#This Row],[Qty]]*Table1[[#This Row],[Price]]</f>
        <v>0</v>
      </c>
    </row>
    <row r="616" spans="1:9" ht="13.5" customHeight="1" x14ac:dyDescent="0.25">
      <c r="A616" s="28">
        <v>844061000612</v>
      </c>
      <c r="B616" s="29" t="s">
        <v>2609</v>
      </c>
      <c r="C616" s="30" t="s">
        <v>209</v>
      </c>
      <c r="D616" s="31" t="s">
        <v>2610</v>
      </c>
      <c r="E616" s="51">
        <v>18.5</v>
      </c>
      <c r="F616" s="32" t="s">
        <v>14</v>
      </c>
      <c r="G616" s="32" t="s">
        <v>6537</v>
      </c>
      <c r="H616" s="22"/>
      <c r="I616" s="11">
        <f>Table1[[#This Row],[Qty]]*Table1[[#This Row],[Price]]</f>
        <v>0</v>
      </c>
    </row>
    <row r="617" spans="1:9" ht="13.5" customHeight="1" x14ac:dyDescent="0.25">
      <c r="A617" s="28">
        <v>3614273768832</v>
      </c>
      <c r="B617" s="29" t="s">
        <v>884</v>
      </c>
      <c r="C617" s="30" t="s">
        <v>839</v>
      </c>
      <c r="D617" s="31" t="s">
        <v>885</v>
      </c>
      <c r="E617" s="51">
        <v>78.239999999999995</v>
      </c>
      <c r="F617" s="32" t="s">
        <v>14</v>
      </c>
      <c r="G617" s="32" t="s">
        <v>6031</v>
      </c>
      <c r="H617" s="12"/>
      <c r="I617" s="11">
        <f>Table1[[#This Row],[Qty]]*Table1[[#This Row],[Price]]</f>
        <v>0</v>
      </c>
    </row>
    <row r="618" spans="1:9" ht="13.5" customHeight="1" x14ac:dyDescent="0.25">
      <c r="A618" s="28">
        <v>3614273760164</v>
      </c>
      <c r="B618" s="29" t="s">
        <v>950</v>
      </c>
      <c r="C618" s="30" t="s">
        <v>839</v>
      </c>
      <c r="D618" s="31" t="s">
        <v>951</v>
      </c>
      <c r="E618" s="51">
        <v>94.24</v>
      </c>
      <c r="F618" s="32" t="s">
        <v>14</v>
      </c>
      <c r="G618" s="32" t="s">
        <v>6061</v>
      </c>
      <c r="H618" s="12"/>
      <c r="I618" s="11">
        <f>Table1[[#This Row],[Qty]]*Table1[[#This Row],[Price]]</f>
        <v>0</v>
      </c>
    </row>
    <row r="619" spans="1:9" ht="13.5" customHeight="1" x14ac:dyDescent="0.25">
      <c r="A619" s="28">
        <v>3614273961707</v>
      </c>
      <c r="B619" s="29" t="s">
        <v>1187</v>
      </c>
      <c r="C619" s="30" t="s">
        <v>839</v>
      </c>
      <c r="D619" s="31" t="s">
        <v>1188</v>
      </c>
      <c r="E619" s="51">
        <v>109.06</v>
      </c>
      <c r="F619" s="32" t="s">
        <v>14</v>
      </c>
      <c r="G619" s="32" t="s">
        <v>6159</v>
      </c>
      <c r="H619" s="12"/>
      <c r="I619" s="11">
        <f>Table1[[#This Row],[Qty]]*Table1[[#This Row],[Price]]</f>
        <v>0</v>
      </c>
    </row>
    <row r="620" spans="1:9" ht="13.5" customHeight="1" x14ac:dyDescent="0.25">
      <c r="A620" s="28">
        <v>3614273478755</v>
      </c>
      <c r="B620" s="29" t="s">
        <v>1352</v>
      </c>
      <c r="C620" s="30" t="s">
        <v>839</v>
      </c>
      <c r="D620" s="31" t="s">
        <v>1353</v>
      </c>
      <c r="E620" s="51">
        <v>62.46</v>
      </c>
      <c r="F620" s="32" t="s">
        <v>14</v>
      </c>
      <c r="G620" s="32" t="s">
        <v>6197</v>
      </c>
      <c r="H620" s="12"/>
      <c r="I620" s="11">
        <f>Table1[[#This Row],[Qty]]*Table1[[#This Row],[Price]]</f>
        <v>0</v>
      </c>
    </row>
    <row r="621" spans="1:9" ht="13.5" customHeight="1" x14ac:dyDescent="0.25">
      <c r="A621" s="28">
        <v>3614274172997</v>
      </c>
      <c r="B621" s="29" t="s">
        <v>3665</v>
      </c>
      <c r="C621" s="30" t="s">
        <v>839</v>
      </c>
      <c r="D621" s="31" t="s">
        <v>3666</v>
      </c>
      <c r="E621" s="51">
        <v>98.45</v>
      </c>
      <c r="F621" s="32" t="s">
        <v>14</v>
      </c>
      <c r="G621" s="32" t="s">
        <v>7521</v>
      </c>
      <c r="H621" s="22"/>
      <c r="I621" s="11">
        <f>Table1[[#This Row],[Qty]]*Table1[[#This Row],[Price]]</f>
        <v>0</v>
      </c>
    </row>
    <row r="622" spans="1:9" ht="13.5" customHeight="1" x14ac:dyDescent="0.25">
      <c r="A622" s="28">
        <v>3605972321794</v>
      </c>
      <c r="B622" s="29" t="s">
        <v>965</v>
      </c>
      <c r="C622" s="30" t="s">
        <v>97</v>
      </c>
      <c r="D622" s="31" t="s">
        <v>966</v>
      </c>
      <c r="E622" s="51">
        <v>43.5</v>
      </c>
      <c r="F622" s="32" t="s">
        <v>14</v>
      </c>
      <c r="G622" s="32" t="s">
        <v>6067</v>
      </c>
      <c r="H622" s="12"/>
      <c r="I622" s="11">
        <f>Table1[[#This Row],[Qty]]*Table1[[#This Row],[Price]]</f>
        <v>0</v>
      </c>
    </row>
    <row r="623" spans="1:9" ht="13.5" customHeight="1" x14ac:dyDescent="0.25">
      <c r="A623" s="28">
        <v>3360377032767</v>
      </c>
      <c r="B623" s="29" t="s">
        <v>1000</v>
      </c>
      <c r="C623" s="30" t="s">
        <v>97</v>
      </c>
      <c r="D623" s="31" t="s">
        <v>1001</v>
      </c>
      <c r="E623" s="51">
        <v>35.840000000000003</v>
      </c>
      <c r="F623" s="32" t="s">
        <v>14</v>
      </c>
      <c r="G623" s="32" t="s">
        <v>6084</v>
      </c>
      <c r="H623" s="12"/>
      <c r="I623" s="11">
        <f>Table1[[#This Row],[Qty]]*Table1[[#This Row],[Price]]</f>
        <v>0</v>
      </c>
    </row>
    <row r="624" spans="1:9" ht="13.5" customHeight="1" x14ac:dyDescent="0.25">
      <c r="A624" s="28">
        <v>3360372055402</v>
      </c>
      <c r="B624" s="29" t="s">
        <v>2474</v>
      </c>
      <c r="C624" s="30" t="s">
        <v>97</v>
      </c>
      <c r="D624" s="31" t="s">
        <v>2475</v>
      </c>
      <c r="E624" s="51">
        <v>21.22</v>
      </c>
      <c r="F624" s="32" t="s">
        <v>14</v>
      </c>
      <c r="G624" s="32" t="s">
        <v>6479</v>
      </c>
      <c r="H624" s="22"/>
      <c r="I624" s="11">
        <f>Table1[[#This Row],[Qty]]*Table1[[#This Row],[Price]]</f>
        <v>0</v>
      </c>
    </row>
    <row r="625" spans="1:9" ht="13.5" customHeight="1" x14ac:dyDescent="0.25">
      <c r="A625" s="28">
        <v>3360377009363</v>
      </c>
      <c r="B625" s="29" t="s">
        <v>2793</v>
      </c>
      <c r="C625" s="30" t="s">
        <v>97</v>
      </c>
      <c r="D625" s="31" t="s">
        <v>2794</v>
      </c>
      <c r="E625" s="51">
        <v>38.42</v>
      </c>
      <c r="F625" s="32" t="s">
        <v>14</v>
      </c>
      <c r="G625" s="32" t="s">
        <v>6609</v>
      </c>
      <c r="H625" s="22"/>
      <c r="I625" s="11">
        <f>Table1[[#This Row],[Qty]]*Table1[[#This Row],[Price]]</f>
        <v>0</v>
      </c>
    </row>
    <row r="626" spans="1:9" ht="13.5" customHeight="1" x14ac:dyDescent="0.25">
      <c r="A626" s="28">
        <v>614514331040</v>
      </c>
      <c r="B626" s="29" t="s">
        <v>334</v>
      </c>
      <c r="C626" s="30" t="s">
        <v>335</v>
      </c>
      <c r="D626" s="31" t="s">
        <v>336</v>
      </c>
      <c r="E626" s="51">
        <v>31</v>
      </c>
      <c r="F626" s="32" t="s">
        <v>14</v>
      </c>
      <c r="G626" s="32" t="s">
        <v>5777</v>
      </c>
      <c r="H626" s="12"/>
      <c r="I626" s="11">
        <f>Table1[[#This Row],[Qty]]*Table1[[#This Row],[Price]]</f>
        <v>0</v>
      </c>
    </row>
    <row r="627" spans="1:9" ht="13.5" customHeight="1" x14ac:dyDescent="0.25">
      <c r="A627" s="28">
        <v>614514331057</v>
      </c>
      <c r="B627" s="29" t="s">
        <v>514</v>
      </c>
      <c r="C627" s="30" t="s">
        <v>335</v>
      </c>
      <c r="D627" s="31" t="s">
        <v>515</v>
      </c>
      <c r="E627" s="51">
        <v>25.95</v>
      </c>
      <c r="F627" s="32" t="s">
        <v>14</v>
      </c>
      <c r="G627" s="32" t="s">
        <v>5865</v>
      </c>
      <c r="H627" s="14"/>
      <c r="I627" s="11">
        <f>Table1[[#This Row],[Qty]]*Table1[[#This Row],[Price]]</f>
        <v>0</v>
      </c>
    </row>
    <row r="628" spans="1:9" ht="13.5" customHeight="1" x14ac:dyDescent="0.25">
      <c r="A628" s="28">
        <v>614514178065</v>
      </c>
      <c r="B628" s="29" t="s">
        <v>1596</v>
      </c>
      <c r="C628" s="30" t="s">
        <v>335</v>
      </c>
      <c r="D628" s="31" t="s">
        <v>1597</v>
      </c>
      <c r="E628" s="51">
        <v>30.94</v>
      </c>
      <c r="F628" s="32" t="s">
        <v>14</v>
      </c>
      <c r="G628" s="32" t="s">
        <v>6253</v>
      </c>
      <c r="H628" s="22"/>
      <c r="I628" s="11">
        <f>Table1[[#This Row],[Qty]]*Table1[[#This Row],[Price]]</f>
        <v>0</v>
      </c>
    </row>
    <row r="629" spans="1:9" ht="13.5" customHeight="1" x14ac:dyDescent="0.25">
      <c r="A629" s="28">
        <v>614514331026</v>
      </c>
      <c r="B629" s="29" t="s">
        <v>1870</v>
      </c>
      <c r="C629" s="30" t="s">
        <v>335</v>
      </c>
      <c r="D629" s="31" t="s">
        <v>1871</v>
      </c>
      <c r="E629" s="51">
        <v>24.95</v>
      </c>
      <c r="F629" s="32" t="s">
        <v>14</v>
      </c>
      <c r="G629" s="32" t="s">
        <v>6319</v>
      </c>
      <c r="H629" s="22"/>
      <c r="I629" s="11">
        <f>Table1[[#This Row],[Qty]]*Table1[[#This Row],[Price]]</f>
        <v>0</v>
      </c>
    </row>
    <row r="630" spans="1:9" ht="13.5" customHeight="1" x14ac:dyDescent="0.25">
      <c r="A630" s="28">
        <v>614514331064</v>
      </c>
      <c r="B630" s="29" t="s">
        <v>2436</v>
      </c>
      <c r="C630" s="30" t="s">
        <v>335</v>
      </c>
      <c r="D630" s="31" t="s">
        <v>2437</v>
      </c>
      <c r="E630" s="51">
        <v>26.69</v>
      </c>
      <c r="F630" s="32" t="s">
        <v>14</v>
      </c>
      <c r="G630" s="32" t="s">
        <v>6460</v>
      </c>
      <c r="H630" s="12"/>
      <c r="I630" s="11">
        <f>Table1[[#This Row],[Qty]]*Table1[[#This Row],[Price]]</f>
        <v>0</v>
      </c>
    </row>
    <row r="631" spans="1:9" ht="13.5" customHeight="1" x14ac:dyDescent="0.25">
      <c r="A631" s="28">
        <v>614514331071</v>
      </c>
      <c r="B631" s="29" t="s">
        <v>2438</v>
      </c>
      <c r="C631" s="30" t="s">
        <v>335</v>
      </c>
      <c r="D631" s="31" t="s">
        <v>2439</v>
      </c>
      <c r="E631" s="51">
        <v>28.26</v>
      </c>
      <c r="F631" s="32" t="s">
        <v>14</v>
      </c>
      <c r="G631" s="32" t="s">
        <v>6461</v>
      </c>
      <c r="H631" s="22"/>
      <c r="I631" s="11">
        <f>Table1[[#This Row],[Qty]]*Table1[[#This Row],[Price]]</f>
        <v>0</v>
      </c>
    </row>
    <row r="632" spans="1:9" ht="13.5" customHeight="1" x14ac:dyDescent="0.25">
      <c r="A632" s="48">
        <v>614514331088</v>
      </c>
      <c r="B632" s="41" t="s">
        <v>2450</v>
      </c>
      <c r="C632" s="6" t="s">
        <v>335</v>
      </c>
      <c r="D632" t="s">
        <v>2451</v>
      </c>
      <c r="E632" s="47">
        <v>26.51</v>
      </c>
      <c r="F632" s="6" t="s">
        <v>14</v>
      </c>
      <c r="G632" s="6" t="s">
        <v>6467</v>
      </c>
      <c r="H632" s="22"/>
      <c r="I632" s="11">
        <f>Table1[[#This Row],[Qty]]*Table1[[#This Row],[Price]]</f>
        <v>0</v>
      </c>
    </row>
    <row r="633" spans="1:9" ht="13.5" customHeight="1" x14ac:dyDescent="0.25">
      <c r="A633" s="28">
        <v>614514464441</v>
      </c>
      <c r="B633" s="29" t="s">
        <v>2540</v>
      </c>
      <c r="C633" s="30" t="s">
        <v>335</v>
      </c>
      <c r="D633" s="31" t="s">
        <v>2541</v>
      </c>
      <c r="E633" s="51">
        <v>29.72</v>
      </c>
      <c r="F633" s="32" t="s">
        <v>14</v>
      </c>
      <c r="G633" s="32" t="s">
        <v>6511</v>
      </c>
      <c r="H633" s="12"/>
      <c r="I633" s="11">
        <f>Table1[[#This Row],[Qty]]*Table1[[#This Row],[Price]]</f>
        <v>0</v>
      </c>
    </row>
    <row r="634" spans="1:9" ht="13.5" customHeight="1" x14ac:dyDescent="0.25">
      <c r="A634" s="28">
        <v>614514555125</v>
      </c>
      <c r="B634" s="29" t="s">
        <v>2647</v>
      </c>
      <c r="C634" s="30" t="s">
        <v>335</v>
      </c>
      <c r="D634" s="31" t="s">
        <v>2648</v>
      </c>
      <c r="E634" s="51">
        <v>31.81</v>
      </c>
      <c r="F634" s="32" t="s">
        <v>14</v>
      </c>
      <c r="G634" s="32" t="s">
        <v>6555</v>
      </c>
      <c r="H634" s="22"/>
      <c r="I634" s="11">
        <f>Table1[[#This Row],[Qty]]*Table1[[#This Row],[Price]]</f>
        <v>0</v>
      </c>
    </row>
    <row r="635" spans="1:9" ht="13.5" customHeight="1" x14ac:dyDescent="0.25">
      <c r="A635" s="28">
        <v>614514465059</v>
      </c>
      <c r="B635" s="29" t="s">
        <v>3258</v>
      </c>
      <c r="C635" s="30" t="s">
        <v>335</v>
      </c>
      <c r="D635" s="31" t="s">
        <v>3259</v>
      </c>
      <c r="E635" s="51">
        <v>30.4</v>
      </c>
      <c r="F635" s="32" t="s">
        <v>14</v>
      </c>
      <c r="G635" s="32" t="s">
        <v>6763</v>
      </c>
      <c r="H635" s="12"/>
      <c r="I635" s="11">
        <f>Table1[[#This Row],[Qty]]*Table1[[#This Row],[Price]]</f>
        <v>0</v>
      </c>
    </row>
    <row r="636" spans="1:9" ht="13.5" customHeight="1" x14ac:dyDescent="0.25">
      <c r="A636" s="28">
        <v>614514555347</v>
      </c>
      <c r="B636" s="29" t="s">
        <v>3453</v>
      </c>
      <c r="C636" s="30" t="s">
        <v>335</v>
      </c>
      <c r="D636" s="31" t="s">
        <v>3454</v>
      </c>
      <c r="E636" s="51">
        <v>28.69</v>
      </c>
      <c r="F636" s="32" t="s">
        <v>14</v>
      </c>
      <c r="G636" s="32" t="s">
        <v>6850</v>
      </c>
      <c r="H636" s="22"/>
      <c r="I636" s="11">
        <f>Table1[[#This Row],[Qty]]*Table1[[#This Row],[Price]]</f>
        <v>0</v>
      </c>
    </row>
    <row r="637" spans="1:9" ht="13.5" customHeight="1" x14ac:dyDescent="0.25">
      <c r="A637" s="28">
        <v>614514178072</v>
      </c>
      <c r="B637" s="29" t="s">
        <v>3496</v>
      </c>
      <c r="C637" s="30" t="s">
        <v>335</v>
      </c>
      <c r="D637" s="31" t="s">
        <v>3497</v>
      </c>
      <c r="E637" s="51">
        <v>30.17</v>
      </c>
      <c r="F637" s="32" t="s">
        <v>14</v>
      </c>
      <c r="G637" s="32" t="s">
        <v>6870</v>
      </c>
      <c r="H637" s="22"/>
      <c r="I637" s="11">
        <f>Table1[[#This Row],[Qty]]*Table1[[#This Row],[Price]]</f>
        <v>0</v>
      </c>
    </row>
    <row r="638" spans="1:9" ht="13.5" customHeight="1" x14ac:dyDescent="0.25">
      <c r="A638" s="28">
        <v>614514555460</v>
      </c>
      <c r="B638" s="29" t="s">
        <v>3596</v>
      </c>
      <c r="C638" s="30" t="s">
        <v>335</v>
      </c>
      <c r="D638" s="31" t="s">
        <v>3597</v>
      </c>
      <c r="E638" s="51">
        <v>41.25</v>
      </c>
      <c r="F638" s="32" t="s">
        <v>14</v>
      </c>
      <c r="G638" s="32" t="s">
        <v>6924</v>
      </c>
      <c r="H638" s="14"/>
      <c r="I638" s="11">
        <f>Table1[[#This Row],[Qty]]*Table1[[#This Row],[Price]]</f>
        <v>0</v>
      </c>
    </row>
    <row r="639" spans="1:9" ht="13.5" customHeight="1" x14ac:dyDescent="0.25">
      <c r="A639" s="28">
        <v>6297001571361</v>
      </c>
      <c r="B639" s="29" t="s">
        <v>3504</v>
      </c>
      <c r="C639" s="30" t="s">
        <v>3505</v>
      </c>
      <c r="D639" s="31" t="s">
        <v>3506</v>
      </c>
      <c r="E639" s="51">
        <v>24.57</v>
      </c>
      <c r="F639" s="32" t="s">
        <v>14</v>
      </c>
      <c r="G639" s="32" t="s">
        <v>6874</v>
      </c>
      <c r="H639" s="22"/>
      <c r="I639" s="11">
        <f>Table1[[#This Row],[Qty]]*Table1[[#This Row],[Price]]</f>
        <v>0</v>
      </c>
    </row>
    <row r="640" spans="1:9" ht="13.5" customHeight="1" x14ac:dyDescent="0.25">
      <c r="A640" s="48">
        <v>6297001571002</v>
      </c>
      <c r="B640" s="41" t="s">
        <v>3507</v>
      </c>
      <c r="C640" s="6" t="s">
        <v>3505</v>
      </c>
      <c r="D640" t="s">
        <v>3508</v>
      </c>
      <c r="E640" s="47">
        <v>21.5</v>
      </c>
      <c r="F640" s="6" t="s">
        <v>14</v>
      </c>
      <c r="G640" s="6" t="s">
        <v>6875</v>
      </c>
      <c r="H640" s="22"/>
      <c r="I640" s="11">
        <f>Table1[[#This Row],[Qty]]*Table1[[#This Row],[Price]]</f>
        <v>0</v>
      </c>
    </row>
    <row r="641" spans="1:9" ht="13.5" customHeight="1" x14ac:dyDescent="0.25">
      <c r="A641" s="28">
        <v>6297001571026</v>
      </c>
      <c r="B641" s="29" t="s">
        <v>3509</v>
      </c>
      <c r="C641" s="30" t="s">
        <v>3505</v>
      </c>
      <c r="D641" s="31" t="s">
        <v>3510</v>
      </c>
      <c r="E641" s="51">
        <v>25.7</v>
      </c>
      <c r="F641" s="32" t="s">
        <v>14</v>
      </c>
      <c r="G641" s="32" t="s">
        <v>6876</v>
      </c>
      <c r="H641" s="22"/>
      <c r="I641" s="11">
        <f>Table1[[#This Row],[Qty]]*Table1[[#This Row],[Price]]</f>
        <v>0</v>
      </c>
    </row>
    <row r="642" spans="1:9" ht="13.5" customHeight="1" x14ac:dyDescent="0.25">
      <c r="A642" s="28">
        <v>6297001571347</v>
      </c>
      <c r="B642" s="29" t="s">
        <v>3511</v>
      </c>
      <c r="C642" s="30" t="s">
        <v>3505</v>
      </c>
      <c r="D642" s="31" t="s">
        <v>3512</v>
      </c>
      <c r="E642" s="51">
        <v>26.49</v>
      </c>
      <c r="F642" s="32" t="s">
        <v>14</v>
      </c>
      <c r="G642" s="32" t="s">
        <v>6877</v>
      </c>
      <c r="H642" s="12"/>
      <c r="I642" s="11">
        <f>Table1[[#This Row],[Qty]]*Table1[[#This Row],[Price]]</f>
        <v>0</v>
      </c>
    </row>
    <row r="643" spans="1:9" ht="13.5" customHeight="1" x14ac:dyDescent="0.25">
      <c r="A643" s="28">
        <v>6297001571170</v>
      </c>
      <c r="B643" s="29" t="s">
        <v>3513</v>
      </c>
      <c r="C643" s="33" t="s">
        <v>3505</v>
      </c>
      <c r="D643" s="31" t="s">
        <v>3514</v>
      </c>
      <c r="E643" s="51">
        <v>23.73</v>
      </c>
      <c r="F643" s="32" t="s">
        <v>14</v>
      </c>
      <c r="G643" s="32" t="s">
        <v>6878</v>
      </c>
      <c r="H643" s="22"/>
      <c r="I643" s="11">
        <f>Table1[[#This Row],[Qty]]*Table1[[#This Row],[Price]]</f>
        <v>0</v>
      </c>
    </row>
    <row r="644" spans="1:9" ht="13.5" customHeight="1" x14ac:dyDescent="0.25">
      <c r="A644" s="28">
        <v>309979057993</v>
      </c>
      <c r="B644" s="29" t="s">
        <v>830</v>
      </c>
      <c r="C644" s="30" t="s">
        <v>831</v>
      </c>
      <c r="D644" s="31" t="s">
        <v>832</v>
      </c>
      <c r="E644" s="51">
        <v>8</v>
      </c>
      <c r="F644" s="32" t="s">
        <v>14</v>
      </c>
      <c r="G644" s="32" t="s">
        <v>6008</v>
      </c>
      <c r="H644" s="22"/>
      <c r="I644" s="11">
        <f>Table1[[#This Row],[Qty]]*Table1[[#This Row],[Price]]</f>
        <v>0</v>
      </c>
    </row>
    <row r="645" spans="1:9" ht="13.5" customHeight="1" x14ac:dyDescent="0.25">
      <c r="A645" s="28">
        <v>810023672913</v>
      </c>
      <c r="B645" s="29" t="s">
        <v>3166</v>
      </c>
      <c r="C645" s="33" t="s">
        <v>3167</v>
      </c>
      <c r="D645" s="31" t="s">
        <v>3168</v>
      </c>
      <c r="E645" s="51">
        <v>23.98</v>
      </c>
      <c r="F645" s="32" t="s">
        <v>14</v>
      </c>
      <c r="G645" s="32" t="s">
        <v>6722</v>
      </c>
      <c r="H645" s="22"/>
      <c r="I645" s="11">
        <f>Table1[[#This Row],[Qty]]*Table1[[#This Row],[Price]]</f>
        <v>0</v>
      </c>
    </row>
    <row r="646" spans="1:9" ht="13.5" customHeight="1" x14ac:dyDescent="0.25">
      <c r="A646" s="28">
        <v>810023677451</v>
      </c>
      <c r="B646" s="29" t="s">
        <v>3169</v>
      </c>
      <c r="C646" s="30" t="s">
        <v>3167</v>
      </c>
      <c r="D646" s="31" t="s">
        <v>3170</v>
      </c>
      <c r="E646" s="51">
        <v>28.11</v>
      </c>
      <c r="F646" s="32" t="s">
        <v>14</v>
      </c>
      <c r="G646" s="32" t="s">
        <v>6723</v>
      </c>
      <c r="H646" s="12"/>
      <c r="I646" s="11">
        <f>Table1[[#This Row],[Qty]]*Table1[[#This Row],[Price]]</f>
        <v>0</v>
      </c>
    </row>
    <row r="647" spans="1:9" ht="13.5" customHeight="1" x14ac:dyDescent="0.25">
      <c r="A647" s="28">
        <v>810023678649</v>
      </c>
      <c r="B647" s="29" t="s">
        <v>3171</v>
      </c>
      <c r="C647" s="30" t="s">
        <v>3167</v>
      </c>
      <c r="D647" s="31" t="s">
        <v>3172</v>
      </c>
      <c r="E647" s="51">
        <v>25.05</v>
      </c>
      <c r="F647" s="32" t="s">
        <v>14</v>
      </c>
      <c r="G647" s="32" t="s">
        <v>6724</v>
      </c>
      <c r="H647" s="12"/>
      <c r="I647" s="11">
        <f>Table1[[#This Row],[Qty]]*Table1[[#This Row],[Price]]</f>
        <v>0</v>
      </c>
    </row>
    <row r="648" spans="1:9" ht="13.5" customHeight="1" x14ac:dyDescent="0.25">
      <c r="A648" s="48">
        <v>8052464896547</v>
      </c>
      <c r="B648" s="41" t="s">
        <v>1557</v>
      </c>
      <c r="C648" s="6" t="s">
        <v>842</v>
      </c>
      <c r="D648" t="s">
        <v>1558</v>
      </c>
      <c r="E648" s="47">
        <v>29.78</v>
      </c>
      <c r="F648" s="6" t="s">
        <v>14</v>
      </c>
      <c r="G648" s="6" t="s">
        <v>6244</v>
      </c>
      <c r="H648" s="22"/>
      <c r="I648" s="11">
        <f>Table1[[#This Row],[Qty]]*Table1[[#This Row],[Price]]</f>
        <v>0</v>
      </c>
    </row>
    <row r="649" spans="1:9" ht="13.5" customHeight="1" x14ac:dyDescent="0.25">
      <c r="A649" s="28">
        <v>888066075138</v>
      </c>
      <c r="B649" s="29" t="s">
        <v>2655</v>
      </c>
      <c r="C649" s="30" t="s">
        <v>1200</v>
      </c>
      <c r="D649" s="31" t="s">
        <v>2656</v>
      </c>
      <c r="E649" s="51">
        <v>93.21</v>
      </c>
      <c r="F649" s="32" t="s">
        <v>14</v>
      </c>
      <c r="G649" s="32" t="s">
        <v>6557</v>
      </c>
      <c r="H649" s="14"/>
      <c r="I649" s="11">
        <f>Table1[[#This Row],[Qty]]*Table1[[#This Row],[Price]]</f>
        <v>0</v>
      </c>
    </row>
    <row r="650" spans="1:9" ht="13.5" customHeight="1" x14ac:dyDescent="0.25">
      <c r="A650" s="28">
        <v>22548408032</v>
      </c>
      <c r="B650" s="29" t="s">
        <v>1013</v>
      </c>
      <c r="C650" s="30" t="s">
        <v>1014</v>
      </c>
      <c r="D650" s="31" t="s">
        <v>1015</v>
      </c>
      <c r="E650" s="51">
        <v>22.58</v>
      </c>
      <c r="F650" s="32" t="s">
        <v>14</v>
      </c>
      <c r="G650" s="32" t="s">
        <v>6090</v>
      </c>
      <c r="H650" s="22"/>
      <c r="I650" s="11">
        <f>Table1[[#This Row],[Qty]]*Table1[[#This Row],[Price]]</f>
        <v>0</v>
      </c>
    </row>
    <row r="651" spans="1:9" ht="13.5" customHeight="1" x14ac:dyDescent="0.25">
      <c r="A651" s="28">
        <v>22548040126</v>
      </c>
      <c r="B651" s="29" t="s">
        <v>1694</v>
      </c>
      <c r="C651" s="30" t="s">
        <v>1014</v>
      </c>
      <c r="D651" s="31" t="s">
        <v>1695</v>
      </c>
      <c r="E651" s="51">
        <v>21</v>
      </c>
      <c r="F651" s="32" t="s">
        <v>14</v>
      </c>
      <c r="G651" s="32" t="s">
        <v>6274</v>
      </c>
      <c r="H651" s="22"/>
      <c r="I651" s="11">
        <f>Table1[[#This Row],[Qty]]*Table1[[#This Row],[Price]]</f>
        <v>0</v>
      </c>
    </row>
    <row r="652" spans="1:9" ht="13.5" customHeight="1" x14ac:dyDescent="0.25">
      <c r="A652" s="28">
        <v>22548024324</v>
      </c>
      <c r="B652" s="29" t="s">
        <v>1752</v>
      </c>
      <c r="C652" s="30" t="s">
        <v>1014</v>
      </c>
      <c r="D652" s="31" t="s">
        <v>1753</v>
      </c>
      <c r="E652" s="51">
        <v>20.059999999999999</v>
      </c>
      <c r="F652" s="32" t="s">
        <v>14</v>
      </c>
      <c r="G652" s="32" t="s">
        <v>6295</v>
      </c>
      <c r="H652" s="22"/>
      <c r="I652" s="11">
        <f>Table1[[#This Row],[Qty]]*Table1[[#This Row],[Price]]</f>
        <v>0</v>
      </c>
    </row>
    <row r="653" spans="1:9" ht="13.5" customHeight="1" x14ac:dyDescent="0.25">
      <c r="A653" s="28">
        <v>7640496670252</v>
      </c>
      <c r="B653" s="29" t="s">
        <v>2532</v>
      </c>
      <c r="C653" s="30" t="s">
        <v>1014</v>
      </c>
      <c r="D653" s="31" t="s">
        <v>2533</v>
      </c>
      <c r="E653" s="51">
        <v>23.07</v>
      </c>
      <c r="F653" s="32" t="s">
        <v>14</v>
      </c>
      <c r="G653" s="32" t="s">
        <v>6507</v>
      </c>
      <c r="H653" s="22"/>
      <c r="I653" s="11">
        <f>Table1[[#This Row],[Qty]]*Table1[[#This Row],[Price]]</f>
        <v>0</v>
      </c>
    </row>
    <row r="654" spans="1:9" ht="13.5" customHeight="1" x14ac:dyDescent="0.25">
      <c r="A654" s="28">
        <v>22548435649</v>
      </c>
      <c r="B654" s="29" t="s">
        <v>6998</v>
      </c>
      <c r="C654" s="30" t="s">
        <v>1014</v>
      </c>
      <c r="D654" s="31" t="s">
        <v>6999</v>
      </c>
      <c r="E654" s="51">
        <v>26.5</v>
      </c>
      <c r="F654" s="32" t="s">
        <v>14</v>
      </c>
      <c r="G654" s="32" t="s">
        <v>7000</v>
      </c>
      <c r="H654" s="22"/>
      <c r="I654" s="11">
        <f>Table1[[#This Row],[Qty]]*Table1[[#This Row],[Price]]</f>
        <v>0</v>
      </c>
    </row>
    <row r="655" spans="1:9" ht="13.5" customHeight="1" x14ac:dyDescent="0.25">
      <c r="A655" s="28">
        <v>7640496670191</v>
      </c>
      <c r="B655" s="29" t="s">
        <v>7001</v>
      </c>
      <c r="C655" s="30" t="s">
        <v>1014</v>
      </c>
      <c r="D655" s="31" t="s">
        <v>7456</v>
      </c>
      <c r="E655" s="51">
        <v>28.5</v>
      </c>
      <c r="F655" s="32" t="s">
        <v>14</v>
      </c>
      <c r="G655" s="32" t="s">
        <v>7002</v>
      </c>
      <c r="H655" s="22"/>
      <c r="I655" s="11">
        <f>Table1[[#This Row],[Qty]]*Table1[[#This Row],[Price]]</f>
        <v>0</v>
      </c>
    </row>
    <row r="656" spans="1:9" ht="13.5" customHeight="1" x14ac:dyDescent="0.25">
      <c r="A656" s="28">
        <v>8436550505870</v>
      </c>
      <c r="B656" s="29" t="s">
        <v>2809</v>
      </c>
      <c r="C656" s="30" t="s">
        <v>183</v>
      </c>
      <c r="D656" s="31" t="s">
        <v>2810</v>
      </c>
      <c r="E656" s="51">
        <v>27.5</v>
      </c>
      <c r="F656" s="32" t="s">
        <v>14</v>
      </c>
      <c r="G656" s="32" t="s">
        <v>6613</v>
      </c>
      <c r="H656" s="22"/>
      <c r="I656" s="11">
        <f>Table1[[#This Row],[Qty]]*Table1[[#This Row],[Price]]</f>
        <v>0</v>
      </c>
    </row>
    <row r="657" spans="1:9" ht="13.5" customHeight="1" x14ac:dyDescent="0.25">
      <c r="A657" s="28">
        <v>715387003017</v>
      </c>
      <c r="B657" s="29" t="s">
        <v>516</v>
      </c>
      <c r="C657" s="30" t="s">
        <v>517</v>
      </c>
      <c r="D657" s="31" t="s">
        <v>518</v>
      </c>
      <c r="E657" s="51">
        <v>7.24</v>
      </c>
      <c r="F657" s="32" t="s">
        <v>14</v>
      </c>
      <c r="G657" s="32" t="s">
        <v>5866</v>
      </c>
      <c r="H657" s="22"/>
      <c r="I657" s="11">
        <f>Table1[[#This Row],[Qty]]*Table1[[#This Row],[Price]]</f>
        <v>0</v>
      </c>
    </row>
    <row r="658" spans="1:9" ht="13.5" customHeight="1" x14ac:dyDescent="0.25">
      <c r="A658" s="28">
        <v>8433982018756</v>
      </c>
      <c r="B658" s="29" t="s">
        <v>2118</v>
      </c>
      <c r="C658" s="30" t="s">
        <v>517</v>
      </c>
      <c r="D658" s="31" t="s">
        <v>2119</v>
      </c>
      <c r="E658" s="51">
        <v>13</v>
      </c>
      <c r="F658" s="32" t="s">
        <v>14</v>
      </c>
      <c r="G658" s="32" t="s">
        <v>6382</v>
      </c>
      <c r="H658" s="12"/>
      <c r="I658" s="11">
        <f>Table1[[#This Row],[Qty]]*Table1[[#This Row],[Price]]</f>
        <v>0</v>
      </c>
    </row>
    <row r="659" spans="1:9" ht="13.5" customHeight="1" x14ac:dyDescent="0.25">
      <c r="A659" s="28">
        <v>8433982018749</v>
      </c>
      <c r="B659" s="29" t="s">
        <v>2140</v>
      </c>
      <c r="C659" s="30" t="s">
        <v>517</v>
      </c>
      <c r="D659" s="31" t="s">
        <v>2141</v>
      </c>
      <c r="E659" s="51">
        <v>11.75</v>
      </c>
      <c r="F659" s="32" t="s">
        <v>14</v>
      </c>
      <c r="G659" s="32" t="s">
        <v>6383</v>
      </c>
      <c r="H659" s="22"/>
      <c r="I659" s="11">
        <f>Table1[[#This Row],[Qty]]*Table1[[#This Row],[Price]]</f>
        <v>0</v>
      </c>
    </row>
    <row r="660" spans="1:9" ht="13.5" customHeight="1" x14ac:dyDescent="0.25">
      <c r="A660" s="28">
        <v>8433982018718</v>
      </c>
      <c r="B660" s="29" t="s">
        <v>2148</v>
      </c>
      <c r="C660" s="30" t="s">
        <v>517</v>
      </c>
      <c r="D660" s="31" t="s">
        <v>2149</v>
      </c>
      <c r="E660" s="51">
        <v>10.25</v>
      </c>
      <c r="F660" s="32" t="s">
        <v>14</v>
      </c>
      <c r="G660" s="32" t="s">
        <v>6386</v>
      </c>
      <c r="H660" s="12"/>
      <c r="I660" s="11">
        <f>Table1[[#This Row],[Qty]]*Table1[[#This Row],[Price]]</f>
        <v>0</v>
      </c>
    </row>
    <row r="661" spans="1:9" ht="13.5" customHeight="1" x14ac:dyDescent="0.25">
      <c r="A661" s="28">
        <v>715387003000</v>
      </c>
      <c r="B661" s="29" t="s">
        <v>2268</v>
      </c>
      <c r="C661" s="30" t="s">
        <v>517</v>
      </c>
      <c r="D661" s="31" t="s">
        <v>2269</v>
      </c>
      <c r="E661" s="51">
        <v>7.19</v>
      </c>
      <c r="F661" s="32" t="s">
        <v>14</v>
      </c>
      <c r="G661" s="32" t="s">
        <v>6400</v>
      </c>
      <c r="H661" s="12"/>
      <c r="I661" s="11">
        <f>Table1[[#This Row],[Qty]]*Table1[[#This Row],[Price]]</f>
        <v>0</v>
      </c>
    </row>
    <row r="662" spans="1:9" ht="13.5" customHeight="1" x14ac:dyDescent="0.25">
      <c r="A662" s="28">
        <v>3614272732209</v>
      </c>
      <c r="B662" s="29" t="s">
        <v>628</v>
      </c>
      <c r="C662" s="30" t="s">
        <v>629</v>
      </c>
      <c r="D662" s="31" t="s">
        <v>630</v>
      </c>
      <c r="E662" s="51">
        <v>57.77</v>
      </c>
      <c r="F662" s="32" t="s">
        <v>14</v>
      </c>
      <c r="G662" s="32" t="s">
        <v>5916</v>
      </c>
      <c r="H662" s="22"/>
      <c r="I662" s="11">
        <f>Table1[[#This Row],[Qty]]*Table1[[#This Row],[Price]]</f>
        <v>0</v>
      </c>
    </row>
    <row r="663" spans="1:9" ht="13.5" customHeight="1" x14ac:dyDescent="0.25">
      <c r="A663" s="28">
        <v>3614272761445</v>
      </c>
      <c r="B663" s="29" t="s">
        <v>637</v>
      </c>
      <c r="C663" s="30" t="s">
        <v>629</v>
      </c>
      <c r="D663" s="31" t="s">
        <v>638</v>
      </c>
      <c r="E663" s="51">
        <v>100.51</v>
      </c>
      <c r="F663" s="32" t="s">
        <v>14</v>
      </c>
      <c r="G663" s="32" t="s">
        <v>5920</v>
      </c>
      <c r="H663" s="22"/>
      <c r="I663" s="11">
        <f>Table1[[#This Row],[Qty]]*Table1[[#This Row],[Price]]</f>
        <v>0</v>
      </c>
    </row>
    <row r="664" spans="1:9" ht="13.5" customHeight="1" x14ac:dyDescent="0.25">
      <c r="A664" s="28">
        <v>3614273672054</v>
      </c>
      <c r="B664" s="29" t="s">
        <v>725</v>
      </c>
      <c r="C664" s="30" t="s">
        <v>629</v>
      </c>
      <c r="D664" s="31" t="s">
        <v>726</v>
      </c>
      <c r="E664" s="51">
        <v>99.38</v>
      </c>
      <c r="F664" s="32" t="s">
        <v>14</v>
      </c>
      <c r="G664" s="32" t="s">
        <v>5960</v>
      </c>
      <c r="H664" s="12"/>
      <c r="I664" s="11">
        <f>Table1[[#This Row],[Qty]]*Table1[[#This Row],[Price]]</f>
        <v>0</v>
      </c>
    </row>
    <row r="665" spans="1:9" ht="13.5" customHeight="1" x14ac:dyDescent="0.25">
      <c r="A665" s="28">
        <v>3614272732308</v>
      </c>
      <c r="B665" s="29" t="s">
        <v>921</v>
      </c>
      <c r="C665" s="30" t="s">
        <v>629</v>
      </c>
      <c r="D665" s="31" t="s">
        <v>922</v>
      </c>
      <c r="E665" s="51">
        <v>82.9</v>
      </c>
      <c r="F665" s="32" t="s">
        <v>14</v>
      </c>
      <c r="G665" s="32" t="s">
        <v>6048</v>
      </c>
      <c r="H665" s="22"/>
      <c r="I665" s="11">
        <f>Table1[[#This Row],[Qty]]*Table1[[#This Row],[Price]]</f>
        <v>0</v>
      </c>
    </row>
    <row r="666" spans="1:9" ht="13.5" customHeight="1" x14ac:dyDescent="0.25">
      <c r="A666" s="28">
        <v>3614273790826</v>
      </c>
      <c r="B666" s="29" t="s">
        <v>1191</v>
      </c>
      <c r="C666" s="30" t="s">
        <v>629</v>
      </c>
      <c r="D666" s="31" t="s">
        <v>1192</v>
      </c>
      <c r="E666" s="51">
        <v>103.26</v>
      </c>
      <c r="F666" s="32" t="s">
        <v>14</v>
      </c>
      <c r="G666" s="32" t="s">
        <v>6161</v>
      </c>
      <c r="H666" s="22"/>
      <c r="I666" s="11">
        <f>Table1[[#This Row],[Qty]]*Table1[[#This Row],[Price]]</f>
        <v>0</v>
      </c>
    </row>
    <row r="667" spans="1:9" ht="13.5" customHeight="1" x14ac:dyDescent="0.25">
      <c r="A667" s="48">
        <v>3614273790840</v>
      </c>
      <c r="B667" s="41" t="s">
        <v>1193</v>
      </c>
      <c r="C667" s="6" t="s">
        <v>629</v>
      </c>
      <c r="D667" t="s">
        <v>1194</v>
      </c>
      <c r="E667" s="52">
        <v>111.45</v>
      </c>
      <c r="F667" s="49" t="s">
        <v>14</v>
      </c>
      <c r="G667" s="49" t="s">
        <v>6162</v>
      </c>
      <c r="H667" s="22"/>
      <c r="I667" s="11">
        <f>Table1[[#This Row],[Qty]]*Table1[[#This Row],[Price]]</f>
        <v>0</v>
      </c>
    </row>
    <row r="668" spans="1:9" ht="13.5" customHeight="1" x14ac:dyDescent="0.25">
      <c r="A668" s="28">
        <v>3614272761469</v>
      </c>
      <c r="B668" s="29" t="s">
        <v>1218</v>
      </c>
      <c r="C668" s="30" t="s">
        <v>629</v>
      </c>
      <c r="D668" s="31" t="s">
        <v>1219</v>
      </c>
      <c r="E668" s="51">
        <v>77.400000000000006</v>
      </c>
      <c r="F668" s="32" t="s">
        <v>14</v>
      </c>
      <c r="G668" s="32" t="s">
        <v>6171</v>
      </c>
      <c r="H668" s="22"/>
      <c r="I668" s="11">
        <f>Table1[[#This Row],[Qty]]*Table1[[#This Row],[Price]]</f>
        <v>0</v>
      </c>
    </row>
    <row r="669" spans="1:9" ht="13.5" customHeight="1" x14ac:dyDescent="0.25">
      <c r="A669" s="28">
        <v>3614273672412</v>
      </c>
      <c r="B669" s="29" t="s">
        <v>1230</v>
      </c>
      <c r="C669" s="30" t="s">
        <v>629</v>
      </c>
      <c r="D669" s="31" t="s">
        <v>1231</v>
      </c>
      <c r="E669" s="51">
        <v>82.16</v>
      </c>
      <c r="F669" s="32" t="s">
        <v>14</v>
      </c>
      <c r="G669" s="32" t="s">
        <v>6173</v>
      </c>
      <c r="H669" s="22"/>
      <c r="I669" s="11">
        <f>Table1[[#This Row],[Qty]]*Table1[[#This Row],[Price]]</f>
        <v>0</v>
      </c>
    </row>
    <row r="670" spans="1:9" ht="13.5" customHeight="1" x14ac:dyDescent="0.25">
      <c r="A670" s="28">
        <v>3614274350739</v>
      </c>
      <c r="B670" s="29" t="s">
        <v>2375</v>
      </c>
      <c r="C670" s="30" t="s">
        <v>629</v>
      </c>
      <c r="D670" s="31" t="s">
        <v>2376</v>
      </c>
      <c r="E670" s="51">
        <v>107.31</v>
      </c>
      <c r="F670" s="32" t="s">
        <v>14</v>
      </c>
      <c r="G670" s="32" t="s">
        <v>6434</v>
      </c>
      <c r="H670" s="12"/>
      <c r="I670" s="11">
        <f>Table1[[#This Row],[Qty]]*Table1[[#This Row],[Price]]</f>
        <v>0</v>
      </c>
    </row>
    <row r="671" spans="1:9" ht="13.5" customHeight="1" x14ac:dyDescent="0.25">
      <c r="A671" s="28">
        <v>3614274350753</v>
      </c>
      <c r="B671" s="29" t="s">
        <v>2476</v>
      </c>
      <c r="C671" s="30" t="s">
        <v>629</v>
      </c>
      <c r="D671" s="31" t="s">
        <v>2477</v>
      </c>
      <c r="E671" s="51">
        <v>121.35</v>
      </c>
      <c r="F671" s="32" t="s">
        <v>14</v>
      </c>
      <c r="G671" s="32" t="s">
        <v>6480</v>
      </c>
      <c r="H671" s="12"/>
      <c r="I671" s="11">
        <f>Table1[[#This Row],[Qty]]*Table1[[#This Row],[Price]]</f>
        <v>0</v>
      </c>
    </row>
    <row r="672" spans="1:9" ht="13.5" customHeight="1" x14ac:dyDescent="0.25">
      <c r="A672" s="28">
        <v>3614274024760</v>
      </c>
      <c r="B672" s="29" t="s">
        <v>2498</v>
      </c>
      <c r="C672" s="30" t="s">
        <v>629</v>
      </c>
      <c r="D672" s="31" t="s">
        <v>2499</v>
      </c>
      <c r="E672" s="51">
        <v>98.49</v>
      </c>
      <c r="F672" s="32" t="s">
        <v>14</v>
      </c>
      <c r="G672" s="32" t="s">
        <v>6491</v>
      </c>
      <c r="H672" s="12"/>
      <c r="I672" s="11">
        <f>Table1[[#This Row],[Qty]]*Table1[[#This Row],[Price]]</f>
        <v>0</v>
      </c>
    </row>
    <row r="673" spans="1:9" ht="13.5" customHeight="1" x14ac:dyDescent="0.25">
      <c r="A673" s="28">
        <v>3660732673032</v>
      </c>
      <c r="B673" s="29" t="s">
        <v>3254</v>
      </c>
      <c r="C673" s="30" t="s">
        <v>629</v>
      </c>
      <c r="D673" s="31" t="s">
        <v>3255</v>
      </c>
      <c r="E673" s="51">
        <v>91.38</v>
      </c>
      <c r="F673" s="32" t="s">
        <v>14</v>
      </c>
      <c r="G673" s="32" t="s">
        <v>6761</v>
      </c>
      <c r="H673" s="22"/>
      <c r="I673" s="11">
        <f>Table1[[#This Row],[Qty]]*Table1[[#This Row],[Price]]</f>
        <v>0</v>
      </c>
    </row>
    <row r="674" spans="1:9" ht="13.5" customHeight="1" x14ac:dyDescent="0.25">
      <c r="A674" s="28">
        <v>3614274626841</v>
      </c>
      <c r="B674" s="29" t="s">
        <v>3480</v>
      </c>
      <c r="C674" s="30" t="s">
        <v>629</v>
      </c>
      <c r="D674" s="31" t="s">
        <v>3481</v>
      </c>
      <c r="E674" s="51">
        <v>101.88</v>
      </c>
      <c r="F674" s="32" t="s">
        <v>14</v>
      </c>
      <c r="G674" s="32" t="s">
        <v>6862</v>
      </c>
      <c r="H674" s="22"/>
      <c r="I674" s="11">
        <f>Table1[[#This Row],[Qty]]*Table1[[#This Row],[Price]]</f>
        <v>0</v>
      </c>
    </row>
    <row r="675" spans="1:9" ht="13.5" customHeight="1" x14ac:dyDescent="0.25">
      <c r="A675" s="28">
        <v>3660732673070</v>
      </c>
      <c r="B675" s="29" t="s">
        <v>3523</v>
      </c>
      <c r="C675" s="30" t="s">
        <v>629</v>
      </c>
      <c r="D675" s="31" t="s">
        <v>3524</v>
      </c>
      <c r="E675" s="51">
        <v>116</v>
      </c>
      <c r="F675" s="32" t="s">
        <v>14</v>
      </c>
      <c r="G675" s="32" t="s">
        <v>6882</v>
      </c>
      <c r="H675" s="12"/>
      <c r="I675" s="11">
        <f>Table1[[#This Row],[Qty]]*Table1[[#This Row],[Price]]</f>
        <v>0</v>
      </c>
    </row>
    <row r="676" spans="1:9" ht="13.5" customHeight="1" x14ac:dyDescent="0.25">
      <c r="A676" s="28">
        <v>3614274626872</v>
      </c>
      <c r="B676" s="29" t="s">
        <v>3606</v>
      </c>
      <c r="C676" s="30" t="s">
        <v>629</v>
      </c>
      <c r="D676" s="31" t="s">
        <v>3607</v>
      </c>
      <c r="E676" s="51">
        <v>110.02</v>
      </c>
      <c r="F676" s="32" t="s">
        <v>14</v>
      </c>
      <c r="G676" s="32" t="s">
        <v>6928</v>
      </c>
      <c r="H676" s="12"/>
      <c r="I676" s="11">
        <f>Table1[[#This Row],[Qty]]*Table1[[#This Row],[Price]]</f>
        <v>0</v>
      </c>
    </row>
    <row r="677" spans="1:9" ht="13.5" customHeight="1" x14ac:dyDescent="0.25">
      <c r="A677" s="28">
        <v>8011003845354</v>
      </c>
      <c r="B677" s="29" t="s">
        <v>499</v>
      </c>
      <c r="C677" s="30" t="s">
        <v>100</v>
      </c>
      <c r="D677" s="31" t="s">
        <v>500</v>
      </c>
      <c r="E677" s="51">
        <v>51.62</v>
      </c>
      <c r="F677" s="32" t="s">
        <v>14</v>
      </c>
      <c r="G677" s="32" t="s">
        <v>5858</v>
      </c>
      <c r="H677" s="14"/>
      <c r="I677" s="11">
        <f>Table1[[#This Row],[Qty]]*Table1[[#This Row],[Price]]</f>
        <v>0</v>
      </c>
    </row>
    <row r="678" spans="1:9" ht="13.5" customHeight="1" x14ac:dyDescent="0.25">
      <c r="A678" s="28">
        <v>8018365270756</v>
      </c>
      <c r="B678" s="29" t="s">
        <v>745</v>
      </c>
      <c r="C678" s="30" t="s">
        <v>100</v>
      </c>
      <c r="D678" s="31" t="s">
        <v>746</v>
      </c>
      <c r="E678" s="51">
        <v>17.47</v>
      </c>
      <c r="F678" s="32" t="s">
        <v>14</v>
      </c>
      <c r="G678" s="32" t="s">
        <v>5970</v>
      </c>
      <c r="H678" s="12"/>
      <c r="I678" s="11">
        <f>Table1[[#This Row],[Qty]]*Table1[[#This Row],[Price]]</f>
        <v>0</v>
      </c>
    </row>
    <row r="679" spans="1:9" ht="13.5" customHeight="1" x14ac:dyDescent="0.25">
      <c r="A679" s="28">
        <v>8011003872077</v>
      </c>
      <c r="B679" s="29" t="s">
        <v>861</v>
      </c>
      <c r="C679" s="30" t="s">
        <v>100</v>
      </c>
      <c r="D679" s="31" t="s">
        <v>862</v>
      </c>
      <c r="E679" s="51">
        <v>60.07</v>
      </c>
      <c r="F679" s="32" t="s">
        <v>14</v>
      </c>
      <c r="G679" s="32" t="s">
        <v>6020</v>
      </c>
      <c r="H679" s="22"/>
      <c r="I679" s="11">
        <f>Table1[[#This Row],[Qty]]*Table1[[#This Row],[Price]]</f>
        <v>0</v>
      </c>
    </row>
    <row r="680" spans="1:9" ht="13.5" customHeight="1" x14ac:dyDescent="0.25">
      <c r="A680" s="28">
        <v>8018365260757</v>
      </c>
      <c r="B680" s="29" t="s">
        <v>903</v>
      </c>
      <c r="C680" s="33" t="s">
        <v>100</v>
      </c>
      <c r="D680" s="31" t="s">
        <v>904</v>
      </c>
      <c r="E680" s="51">
        <v>16.41</v>
      </c>
      <c r="F680" s="32" t="s">
        <v>14</v>
      </c>
      <c r="G680" s="32" t="s">
        <v>6039</v>
      </c>
      <c r="H680" s="22"/>
      <c r="I680" s="11">
        <f>Table1[[#This Row],[Qty]]*Table1[[#This Row],[Price]]</f>
        <v>0</v>
      </c>
    </row>
    <row r="681" spans="1:9" ht="13.5" customHeight="1" x14ac:dyDescent="0.25">
      <c r="A681" s="28">
        <v>8011003993802</v>
      </c>
      <c r="B681" s="29" t="s">
        <v>958</v>
      </c>
      <c r="C681" s="30" t="s">
        <v>100</v>
      </c>
      <c r="D681" s="31" t="s">
        <v>959</v>
      </c>
      <c r="E681" s="51">
        <v>30.5</v>
      </c>
      <c r="F681" s="32" t="s">
        <v>14</v>
      </c>
      <c r="G681" s="32" t="s">
        <v>6065</v>
      </c>
      <c r="H681" s="12"/>
      <c r="I681" s="11">
        <f>Table1[[#This Row],[Qty]]*Table1[[#This Row],[Price]]</f>
        <v>0</v>
      </c>
    </row>
    <row r="682" spans="1:9" ht="13.5" customHeight="1" x14ac:dyDescent="0.25">
      <c r="A682" s="28">
        <v>8011003813858</v>
      </c>
      <c r="B682" s="29" t="s">
        <v>1035</v>
      </c>
      <c r="C682" s="30" t="s">
        <v>100</v>
      </c>
      <c r="D682" s="31" t="s">
        <v>1036</v>
      </c>
      <c r="E682" s="51">
        <v>65.39</v>
      </c>
      <c r="F682" s="32" t="s">
        <v>14</v>
      </c>
      <c r="G682" s="32" t="s">
        <v>6100</v>
      </c>
      <c r="H682" s="22"/>
      <c r="I682" s="11">
        <f>Table1[[#This Row],[Qty]]*Table1[[#This Row],[Price]]</f>
        <v>0</v>
      </c>
    </row>
    <row r="683" spans="1:9" ht="13.5" customHeight="1" x14ac:dyDescent="0.25">
      <c r="A683" s="28">
        <v>8011003846627</v>
      </c>
      <c r="B683" s="29" t="s">
        <v>1297</v>
      </c>
      <c r="C683" s="30" t="s">
        <v>100</v>
      </c>
      <c r="D683" s="31" t="s">
        <v>1298</v>
      </c>
      <c r="E683" s="51">
        <v>66.58</v>
      </c>
      <c r="F683" s="32" t="s">
        <v>14</v>
      </c>
      <c r="G683" s="32" t="s">
        <v>6186</v>
      </c>
      <c r="H683" s="12"/>
      <c r="I683" s="11">
        <f>Table1[[#This Row],[Qty]]*Table1[[#This Row],[Price]]</f>
        <v>0</v>
      </c>
    </row>
    <row r="684" spans="1:9" ht="13.5" customHeight="1" x14ac:dyDescent="0.25">
      <c r="A684" s="28">
        <v>8011003861224</v>
      </c>
      <c r="B684" s="29" t="s">
        <v>1405</v>
      </c>
      <c r="C684" s="30" t="s">
        <v>100</v>
      </c>
      <c r="D684" s="31" t="s">
        <v>1406</v>
      </c>
      <c r="E684" s="51">
        <v>54.69</v>
      </c>
      <c r="F684" s="32" t="s">
        <v>14</v>
      </c>
      <c r="G684" s="32" t="s">
        <v>6204</v>
      </c>
      <c r="H684" s="22"/>
      <c r="I684" s="11">
        <f>Table1[[#This Row],[Qty]]*Table1[[#This Row],[Price]]</f>
        <v>0</v>
      </c>
    </row>
    <row r="685" spans="1:9" ht="13.5" customHeight="1" x14ac:dyDescent="0.25">
      <c r="A685" s="28">
        <v>8011003809219</v>
      </c>
      <c r="B685" s="29" t="s">
        <v>1435</v>
      </c>
      <c r="C685" s="30" t="s">
        <v>100</v>
      </c>
      <c r="D685" s="31" t="s">
        <v>1436</v>
      </c>
      <c r="E685" s="51">
        <v>51.28</v>
      </c>
      <c r="F685" s="32" t="s">
        <v>14</v>
      </c>
      <c r="G685" s="32" t="s">
        <v>6210</v>
      </c>
      <c r="H685" s="14"/>
      <c r="I685" s="11">
        <f>Table1[[#This Row],[Qty]]*Table1[[#This Row],[Price]]</f>
        <v>0</v>
      </c>
    </row>
    <row r="686" spans="1:9" ht="13.5" customHeight="1" x14ac:dyDescent="0.25">
      <c r="A686" s="28">
        <v>8011003996766</v>
      </c>
      <c r="B686" s="29" t="s">
        <v>1675</v>
      </c>
      <c r="C686" s="30" t="s">
        <v>100</v>
      </c>
      <c r="D686" s="31" t="s">
        <v>1676</v>
      </c>
      <c r="E686" s="51">
        <v>29.43</v>
      </c>
      <c r="F686" s="32" t="s">
        <v>14</v>
      </c>
      <c r="G686" s="32" t="s">
        <v>6269</v>
      </c>
      <c r="H686" s="12"/>
      <c r="I686" s="11">
        <f>Table1[[#This Row],[Qty]]*Table1[[#This Row],[Price]]</f>
        <v>0</v>
      </c>
    </row>
    <row r="687" spans="1:9" ht="13.5" customHeight="1" x14ac:dyDescent="0.25">
      <c r="A687" s="28">
        <v>8011003825745</v>
      </c>
      <c r="B687" s="29" t="s">
        <v>2520</v>
      </c>
      <c r="C687" s="30" t="s">
        <v>100</v>
      </c>
      <c r="D687" s="31" t="s">
        <v>2521</v>
      </c>
      <c r="E687" s="51">
        <v>45.79</v>
      </c>
      <c r="F687" s="32" t="s">
        <v>14</v>
      </c>
      <c r="G687" s="32" t="s">
        <v>6502</v>
      </c>
      <c r="H687" s="22"/>
      <c r="I687" s="11">
        <f>Table1[[#This Row],[Qty]]*Table1[[#This Row],[Price]]</f>
        <v>0</v>
      </c>
    </row>
    <row r="688" spans="1:9" ht="13.5" customHeight="1" x14ac:dyDescent="0.25">
      <c r="A688" s="28">
        <v>8011003891092</v>
      </c>
      <c r="B688" s="29" t="s">
        <v>2597</v>
      </c>
      <c r="C688" s="30" t="s">
        <v>100</v>
      </c>
      <c r="D688" s="31" t="s">
        <v>2598</v>
      </c>
      <c r="E688" s="51">
        <v>63.1</v>
      </c>
      <c r="F688" s="32" t="s">
        <v>14</v>
      </c>
      <c r="G688" s="32" t="s">
        <v>6532</v>
      </c>
      <c r="H688" s="22"/>
      <c r="I688" s="11">
        <f>Table1[[#This Row],[Qty]]*Table1[[#This Row],[Price]]</f>
        <v>0</v>
      </c>
    </row>
    <row r="689" spans="1:9" ht="13.5" customHeight="1" x14ac:dyDescent="0.25">
      <c r="A689" s="28">
        <v>8011003901647</v>
      </c>
      <c r="B689" s="29" t="s">
        <v>5603</v>
      </c>
      <c r="C689" s="30" t="s">
        <v>100</v>
      </c>
      <c r="D689" s="31" t="s">
        <v>5604</v>
      </c>
      <c r="E689" s="51">
        <v>90</v>
      </c>
      <c r="F689" s="32" t="s">
        <v>14</v>
      </c>
      <c r="G689" s="32" t="s">
        <v>6996</v>
      </c>
      <c r="H689" s="12"/>
      <c r="I689" s="11">
        <f>Table1[[#This Row],[Qty]]*Table1[[#This Row],[Price]]</f>
        <v>0</v>
      </c>
    </row>
    <row r="690" spans="1:9" ht="13.5" customHeight="1" x14ac:dyDescent="0.25">
      <c r="A690" s="28">
        <v>8011003903122</v>
      </c>
      <c r="B690" s="29" t="s">
        <v>7492</v>
      </c>
      <c r="C690" s="30" t="s">
        <v>100</v>
      </c>
      <c r="D690" s="31" t="s">
        <v>7493</v>
      </c>
      <c r="E690" s="51">
        <v>63.07</v>
      </c>
      <c r="F690" s="32" t="s">
        <v>14</v>
      </c>
      <c r="G690" s="32" t="s">
        <v>7494</v>
      </c>
      <c r="H690" s="22"/>
      <c r="I690" s="11">
        <f>Table1[[#This Row],[Qty]]*Table1[[#This Row],[Price]]</f>
        <v>0</v>
      </c>
    </row>
    <row r="691" spans="1:9" ht="13.5" customHeight="1" x14ac:dyDescent="0.25">
      <c r="A691" s="28">
        <v>3614270659706</v>
      </c>
      <c r="B691" s="29" t="s">
        <v>1004</v>
      </c>
      <c r="C691" s="30" t="s">
        <v>64</v>
      </c>
      <c r="D691" s="31" t="s">
        <v>1005</v>
      </c>
      <c r="E691" s="51">
        <v>56.02</v>
      </c>
      <c r="F691" s="32" t="s">
        <v>14</v>
      </c>
      <c r="G691" s="32" t="s">
        <v>6086</v>
      </c>
      <c r="H691" s="12"/>
      <c r="I691" s="11">
        <f>Table1[[#This Row],[Qty]]*Table1[[#This Row],[Price]]</f>
        <v>0</v>
      </c>
    </row>
    <row r="692" spans="1:9" ht="13.5" customHeight="1" x14ac:dyDescent="0.25">
      <c r="A692" s="28">
        <v>8054320902584</v>
      </c>
      <c r="B692" s="29" t="s">
        <v>303</v>
      </c>
      <c r="C692" s="33" t="s">
        <v>304</v>
      </c>
      <c r="D692" s="31" t="s">
        <v>305</v>
      </c>
      <c r="E692" s="51">
        <v>164.88</v>
      </c>
      <c r="F692" s="32" t="s">
        <v>14</v>
      </c>
      <c r="G692" s="32" t="s">
        <v>5762</v>
      </c>
      <c r="H692" s="22"/>
      <c r="I692" s="11">
        <f>Table1[[#This Row],[Qty]]*Table1[[#This Row],[Price]]</f>
        <v>0</v>
      </c>
    </row>
    <row r="693" spans="1:9" ht="13.5" customHeight="1" x14ac:dyDescent="0.25">
      <c r="A693" s="28">
        <v>3614272648425</v>
      </c>
      <c r="B693" s="29" t="s">
        <v>643</v>
      </c>
      <c r="C693" s="30" t="s">
        <v>644</v>
      </c>
      <c r="D693" s="31" t="s">
        <v>645</v>
      </c>
      <c r="E693" s="51">
        <v>99.84</v>
      </c>
      <c r="F693" s="32" t="s">
        <v>14</v>
      </c>
      <c r="G693" s="32" t="s">
        <v>5923</v>
      </c>
      <c r="H693" s="22"/>
      <c r="I693" s="11">
        <f>Table1[[#This Row],[Qty]]*Table1[[#This Row],[Price]]</f>
        <v>0</v>
      </c>
    </row>
    <row r="694" spans="1:9" ht="13.5" customHeight="1" x14ac:dyDescent="0.25">
      <c r="A694" s="28">
        <v>3614273898478</v>
      </c>
      <c r="B694" s="29" t="s">
        <v>1142</v>
      </c>
      <c r="C694" s="30" t="s">
        <v>644</v>
      </c>
      <c r="D694" s="31" t="s">
        <v>1143</v>
      </c>
      <c r="E694" s="51">
        <v>92.39</v>
      </c>
      <c r="F694" s="32" t="s">
        <v>14</v>
      </c>
      <c r="G694" s="32" t="s">
        <v>6145</v>
      </c>
      <c r="H694" s="14"/>
      <c r="I694" s="11">
        <f>Table1[[#This Row],[Qty]]*Table1[[#This Row],[Price]]</f>
        <v>0</v>
      </c>
    </row>
    <row r="695" spans="1:9" ht="13.5" customHeight="1" x14ac:dyDescent="0.25">
      <c r="A695" s="28">
        <v>3614272050358</v>
      </c>
      <c r="B695" s="29" t="s">
        <v>1220</v>
      </c>
      <c r="C695" s="30" t="s">
        <v>644</v>
      </c>
      <c r="D695" s="31" t="s">
        <v>1221</v>
      </c>
      <c r="E695" s="51">
        <v>88.63</v>
      </c>
      <c r="F695" s="32" t="s">
        <v>14</v>
      </c>
      <c r="G695" s="32" t="s">
        <v>6172</v>
      </c>
      <c r="H695" s="22"/>
      <c r="I695" s="11">
        <f>Table1[[#This Row],[Qty]]*Table1[[#This Row],[Price]]</f>
        <v>0</v>
      </c>
    </row>
    <row r="696" spans="1:9" ht="13.5" customHeight="1" x14ac:dyDescent="0.25">
      <c r="A696" s="28">
        <v>3614274492347</v>
      </c>
      <c r="B696" s="29" t="s">
        <v>3265</v>
      </c>
      <c r="C696" s="30" t="s">
        <v>644</v>
      </c>
      <c r="D696" s="31" t="s">
        <v>3266</v>
      </c>
      <c r="E696" s="51">
        <v>78.42</v>
      </c>
      <c r="F696" s="32" t="s">
        <v>14</v>
      </c>
      <c r="G696" s="32" t="s">
        <v>6764</v>
      </c>
      <c r="H696" s="22"/>
      <c r="I696" s="11">
        <f>Table1[[#This Row],[Qty]]*Table1[[#This Row],[Price]]</f>
        <v>0</v>
      </c>
    </row>
    <row r="697" spans="1:9" ht="13.5" customHeight="1" x14ac:dyDescent="0.25">
      <c r="A697" s="28">
        <v>3614274521238</v>
      </c>
      <c r="B697" s="29" t="s">
        <v>3361</v>
      </c>
      <c r="C697" s="30" t="s">
        <v>644</v>
      </c>
      <c r="D697" s="31" t="s">
        <v>3362</v>
      </c>
      <c r="E697" s="51">
        <v>149</v>
      </c>
      <c r="F697" s="32" t="s">
        <v>14</v>
      </c>
      <c r="G697" s="32" t="s">
        <v>6810</v>
      </c>
      <c r="H697" s="12"/>
      <c r="I697" s="11">
        <f>Table1[[#This Row],[Qty]]*Table1[[#This Row],[Price]]</f>
        <v>0</v>
      </c>
    </row>
    <row r="698" spans="1:9" ht="13.5" customHeight="1" x14ac:dyDescent="0.25">
      <c r="A698" s="48">
        <v>3614273852746</v>
      </c>
      <c r="B698" s="41" t="s">
        <v>3420</v>
      </c>
      <c r="C698" s="6" t="s">
        <v>644</v>
      </c>
      <c r="D698" t="s">
        <v>3421</v>
      </c>
      <c r="E698" s="52">
        <v>90.8</v>
      </c>
      <c r="F698" s="49" t="s">
        <v>14</v>
      </c>
      <c r="G698" s="49" t="s">
        <v>6836</v>
      </c>
      <c r="H698" s="22"/>
      <c r="I698" s="11">
        <f>Table1[[#This Row],[Qty]]*Table1[[#This Row],[Price]]</f>
        <v>0</v>
      </c>
    </row>
    <row r="699" spans="1:9" ht="13.5" customHeight="1" x14ac:dyDescent="0.25">
      <c r="A699" s="28">
        <v>3614274241006</v>
      </c>
      <c r="B699" s="29" t="s">
        <v>3425</v>
      </c>
      <c r="C699" s="30" t="s">
        <v>644</v>
      </c>
      <c r="D699" s="31" t="s">
        <v>3426</v>
      </c>
      <c r="E699" s="51">
        <v>96</v>
      </c>
      <c r="F699" s="32" t="s">
        <v>14</v>
      </c>
      <c r="G699" s="32" t="s">
        <v>6838</v>
      </c>
      <c r="H699" s="12"/>
      <c r="I699" s="11">
        <f>Table1[[#This Row],[Qty]]*Table1[[#This Row],[Price]]</f>
        <v>0</v>
      </c>
    </row>
    <row r="700" spans="1:9" ht="13.5" customHeight="1" x14ac:dyDescent="0.25">
      <c r="A700" s="28">
        <v>3614274329384</v>
      </c>
      <c r="B700" s="29" t="s">
        <v>3449</v>
      </c>
      <c r="C700" s="30" t="s">
        <v>644</v>
      </c>
      <c r="D700" s="31" t="s">
        <v>3450</v>
      </c>
      <c r="E700" s="51">
        <v>132</v>
      </c>
      <c r="F700" s="32" t="s">
        <v>14</v>
      </c>
      <c r="G700" s="32" t="s">
        <v>6848</v>
      </c>
      <c r="H700" s="12"/>
      <c r="I700" s="11">
        <f>Table1[[#This Row],[Qty]]*Table1[[#This Row],[Price]]</f>
        <v>0</v>
      </c>
    </row>
    <row r="701" spans="1:9" ht="13.5" customHeight="1" x14ac:dyDescent="0.25">
      <c r="A701" s="28">
        <v>3614274114645</v>
      </c>
      <c r="B701" s="29" t="s">
        <v>3667</v>
      </c>
      <c r="C701" s="30" t="s">
        <v>644</v>
      </c>
      <c r="D701" s="31" t="s">
        <v>3668</v>
      </c>
      <c r="E701" s="51">
        <v>107.7</v>
      </c>
      <c r="F701" s="32" t="s">
        <v>14</v>
      </c>
      <c r="G701" s="32" t="s">
        <v>6956</v>
      </c>
      <c r="H701" s="12"/>
      <c r="I701" s="11">
        <f>Table1[[#This Row],[Qty]]*Table1[[#This Row],[Price]]</f>
        <v>0</v>
      </c>
    </row>
    <row r="702" spans="1:9" ht="13.5" customHeight="1" x14ac:dyDescent="0.25">
      <c r="A702" s="28">
        <v>3614273069557</v>
      </c>
      <c r="B702" s="29" t="s">
        <v>3669</v>
      </c>
      <c r="C702" s="30" t="s">
        <v>644</v>
      </c>
      <c r="D702" s="31" t="s">
        <v>3670</v>
      </c>
      <c r="E702" s="51">
        <v>106.71</v>
      </c>
      <c r="F702" s="32" t="s">
        <v>14</v>
      </c>
      <c r="G702" s="32" t="s">
        <v>7448</v>
      </c>
      <c r="H702" s="22"/>
      <c r="I702" s="11">
        <f>Table1[[#This Row],[Qty]]*Table1[[#This Row],[Price]]</f>
        <v>0</v>
      </c>
    </row>
    <row r="703" spans="1:9" ht="13.5" customHeight="1" x14ac:dyDescent="0.25">
      <c r="A703" s="28">
        <v>6290171075646</v>
      </c>
      <c r="B703" s="29" t="s">
        <v>1825</v>
      </c>
      <c r="C703" s="30" t="s">
        <v>127</v>
      </c>
      <c r="D703" s="31" t="s">
        <v>1826</v>
      </c>
      <c r="E703" s="51">
        <v>17</v>
      </c>
      <c r="F703" s="32" t="s">
        <v>14</v>
      </c>
      <c r="G703" s="32" t="s">
        <v>6308</v>
      </c>
      <c r="H703" s="22"/>
      <c r="I703" s="11">
        <f>Table1[[#This Row],[Qty]]*Table1[[#This Row],[Price]]</f>
        <v>0</v>
      </c>
    </row>
    <row r="704" spans="1:9" ht="13.5" customHeight="1" x14ac:dyDescent="0.25">
      <c r="A704" s="28">
        <v>6290171071051</v>
      </c>
      <c r="B704" s="29" t="s">
        <v>3636</v>
      </c>
      <c r="C704" s="30" t="s">
        <v>127</v>
      </c>
      <c r="D704" s="31" t="s">
        <v>3637</v>
      </c>
      <c r="E704" s="51">
        <v>13.78</v>
      </c>
      <c r="F704" s="32" t="s">
        <v>14</v>
      </c>
      <c r="G704" s="32" t="s">
        <v>6943</v>
      </c>
      <c r="H704" s="12"/>
      <c r="I704" s="11">
        <f>Table1[[#This Row],[Qty]]*Table1[[#This Row],[Price]]</f>
        <v>0</v>
      </c>
    </row>
    <row r="705" spans="1:9" ht="13.5" customHeight="1" x14ac:dyDescent="0.25">
      <c r="A705" s="28">
        <v>6290171071013</v>
      </c>
      <c r="B705" s="29" t="s">
        <v>7018</v>
      </c>
      <c r="C705" s="30" t="s">
        <v>127</v>
      </c>
      <c r="D705" s="31" t="s">
        <v>7449</v>
      </c>
      <c r="E705" s="51">
        <v>14.75</v>
      </c>
      <c r="F705" s="32" t="s">
        <v>14</v>
      </c>
      <c r="G705" s="32" t="s">
        <v>7019</v>
      </c>
      <c r="H705" s="14"/>
      <c r="I705" s="11">
        <f>Table1[[#This Row],[Qty]]*Table1[[#This Row],[Price]]</f>
        <v>0</v>
      </c>
    </row>
    <row r="706" spans="1:9" ht="13.5" customHeight="1" x14ac:dyDescent="0.25">
      <c r="A706" s="28">
        <v>85715167019</v>
      </c>
      <c r="B706" s="29" t="s">
        <v>4260</v>
      </c>
      <c r="C706" s="30" t="s">
        <v>2918</v>
      </c>
      <c r="D706" s="31" t="s">
        <v>4261</v>
      </c>
      <c r="E706" s="51">
        <v>22</v>
      </c>
      <c r="F706" s="32" t="s">
        <v>13</v>
      </c>
      <c r="G706" s="32" t="s">
        <v>7264</v>
      </c>
      <c r="H706" s="12"/>
      <c r="I706" s="11">
        <f>Table1[[#This Row],[Qty]]*Table1[[#This Row],[Price]]</f>
        <v>0</v>
      </c>
    </row>
    <row r="707" spans="1:9" ht="13.5" customHeight="1" x14ac:dyDescent="0.25">
      <c r="A707" s="28">
        <v>6290171070597</v>
      </c>
      <c r="B707" s="29" t="s">
        <v>111</v>
      </c>
      <c r="C707" s="30" t="s">
        <v>112</v>
      </c>
      <c r="D707" s="31" t="s">
        <v>113</v>
      </c>
      <c r="E707" s="51">
        <v>16</v>
      </c>
      <c r="F707" s="32" t="s">
        <v>13</v>
      </c>
      <c r="G707" s="32" t="s">
        <v>5645</v>
      </c>
      <c r="H707" s="12"/>
      <c r="I707" s="11">
        <f>Table1[[#This Row],[Qty]]*Table1[[#This Row],[Price]]</f>
        <v>0</v>
      </c>
    </row>
    <row r="708" spans="1:9" ht="13.5" customHeight="1" x14ac:dyDescent="0.25">
      <c r="A708" s="28">
        <v>6291100130146</v>
      </c>
      <c r="B708" s="29" t="s">
        <v>90</v>
      </c>
      <c r="C708" s="30" t="s">
        <v>91</v>
      </c>
      <c r="D708" s="31" t="s">
        <v>92</v>
      </c>
      <c r="E708" s="51">
        <v>32</v>
      </c>
      <c r="F708" s="32" t="s">
        <v>13</v>
      </c>
      <c r="G708" s="32" t="s">
        <v>5637</v>
      </c>
      <c r="H708" s="22"/>
      <c r="I708" s="11">
        <f>Table1[[#This Row],[Qty]]*Table1[[#This Row],[Price]]</f>
        <v>0</v>
      </c>
    </row>
    <row r="709" spans="1:9" ht="13.5" customHeight="1" x14ac:dyDescent="0.25">
      <c r="A709" s="28">
        <v>6291100130467</v>
      </c>
      <c r="B709" s="29" t="s">
        <v>104</v>
      </c>
      <c r="C709" s="30" t="s">
        <v>91</v>
      </c>
      <c r="D709" s="31" t="s">
        <v>105</v>
      </c>
      <c r="E709" s="51">
        <v>28</v>
      </c>
      <c r="F709" s="32" t="s">
        <v>13</v>
      </c>
      <c r="G709" s="32" t="s">
        <v>5642</v>
      </c>
      <c r="H709" s="12"/>
      <c r="I709" s="11">
        <f>Table1[[#This Row],[Qty]]*Table1[[#This Row],[Price]]</f>
        <v>0</v>
      </c>
    </row>
    <row r="710" spans="1:9" ht="13.5" customHeight="1" x14ac:dyDescent="0.25">
      <c r="A710" s="28">
        <v>6291100131693</v>
      </c>
      <c r="B710" s="29" t="s">
        <v>196</v>
      </c>
      <c r="C710" s="30" t="s">
        <v>91</v>
      </c>
      <c r="D710" s="31" t="s">
        <v>197</v>
      </c>
      <c r="E710" s="51">
        <v>42.44</v>
      </c>
      <c r="F710" s="32" t="s">
        <v>13</v>
      </c>
      <c r="G710" s="32" t="s">
        <v>5681</v>
      </c>
      <c r="H710" s="12"/>
      <c r="I710" s="11">
        <f>Table1[[#This Row],[Qty]]*Table1[[#This Row],[Price]]</f>
        <v>0</v>
      </c>
    </row>
    <row r="711" spans="1:9" ht="13.5" customHeight="1" x14ac:dyDescent="0.25">
      <c r="A711" s="28">
        <v>6291100130092</v>
      </c>
      <c r="B711" s="29" t="s">
        <v>4073</v>
      </c>
      <c r="C711" s="30" t="s">
        <v>91</v>
      </c>
      <c r="D711" s="31" t="s">
        <v>4074</v>
      </c>
      <c r="E711" s="51">
        <v>19</v>
      </c>
      <c r="F711" s="32" t="s">
        <v>13</v>
      </c>
      <c r="G711" s="32" t="s">
        <v>5742</v>
      </c>
      <c r="H711" s="12"/>
      <c r="I711" s="11">
        <f>Table1[[#This Row],[Qty]]*Table1[[#This Row],[Price]]</f>
        <v>0</v>
      </c>
    </row>
    <row r="712" spans="1:9" ht="13.5" customHeight="1" x14ac:dyDescent="0.25">
      <c r="A712" s="28">
        <v>6291100130153</v>
      </c>
      <c r="B712" s="29" t="s">
        <v>3947</v>
      </c>
      <c r="C712" s="30" t="s">
        <v>91</v>
      </c>
      <c r="D712" s="31" t="s">
        <v>3948</v>
      </c>
      <c r="E712" s="51">
        <v>27</v>
      </c>
      <c r="F712" s="32" t="s">
        <v>13</v>
      </c>
      <c r="G712" s="32" t="s">
        <v>7139</v>
      </c>
      <c r="H712" s="22"/>
      <c r="I712" s="11">
        <f>Table1[[#This Row],[Qty]]*Table1[[#This Row],[Price]]</f>
        <v>0</v>
      </c>
    </row>
    <row r="713" spans="1:9" ht="13.5" customHeight="1" x14ac:dyDescent="0.25">
      <c r="A713" s="28">
        <v>6291106812787</v>
      </c>
      <c r="B713" s="29" t="s">
        <v>3989</v>
      </c>
      <c r="C713" s="30" t="s">
        <v>91</v>
      </c>
      <c r="D713" s="31" t="s">
        <v>3990</v>
      </c>
      <c r="E713" s="51">
        <v>44.67</v>
      </c>
      <c r="F713" s="32" t="s">
        <v>13</v>
      </c>
      <c r="G713" s="32" t="s">
        <v>7155</v>
      </c>
      <c r="H713" s="22"/>
      <c r="I713" s="11">
        <f>Table1[[#This Row],[Qty]]*Table1[[#This Row],[Price]]</f>
        <v>0</v>
      </c>
    </row>
    <row r="714" spans="1:9" ht="13.5" customHeight="1" x14ac:dyDescent="0.25">
      <c r="A714" s="28">
        <v>6291106813579</v>
      </c>
      <c r="B714" s="29" t="s">
        <v>4065</v>
      </c>
      <c r="C714" s="30" t="s">
        <v>91</v>
      </c>
      <c r="D714" s="31" t="s">
        <v>4066</v>
      </c>
      <c r="E714" s="51">
        <v>22.41</v>
      </c>
      <c r="F714" s="32" t="s">
        <v>13</v>
      </c>
      <c r="G714" s="32" t="s">
        <v>7190</v>
      </c>
      <c r="H714" s="22"/>
      <c r="I714" s="11">
        <f>Table1[[#This Row],[Qty]]*Table1[[#This Row],[Price]]</f>
        <v>0</v>
      </c>
    </row>
    <row r="715" spans="1:9" ht="13.5" customHeight="1" x14ac:dyDescent="0.25">
      <c r="A715" s="28">
        <v>6291100131747</v>
      </c>
      <c r="B715" s="29" t="s">
        <v>4129</v>
      </c>
      <c r="C715" s="30" t="s">
        <v>91</v>
      </c>
      <c r="D715" s="31" t="s">
        <v>4130</v>
      </c>
      <c r="E715" s="51">
        <v>23.64</v>
      </c>
      <c r="F715" s="32" t="s">
        <v>13</v>
      </c>
      <c r="G715" s="32" t="s">
        <v>7213</v>
      </c>
      <c r="H715" s="12"/>
      <c r="I715" s="11">
        <f>Table1[[#This Row],[Qty]]*Table1[[#This Row],[Price]]</f>
        <v>0</v>
      </c>
    </row>
    <row r="716" spans="1:9" ht="13.5" customHeight="1" x14ac:dyDescent="0.25">
      <c r="A716" s="28">
        <v>6291100130559</v>
      </c>
      <c r="B716" s="29" t="s">
        <v>4139</v>
      </c>
      <c r="C716" s="30" t="s">
        <v>91</v>
      </c>
      <c r="D716" s="31" t="s">
        <v>4140</v>
      </c>
      <c r="E716" s="51">
        <v>37.36</v>
      </c>
      <c r="F716" s="32" t="s">
        <v>13</v>
      </c>
      <c r="G716" s="32" t="s">
        <v>7217</v>
      </c>
      <c r="H716" s="22"/>
      <c r="I716" s="11">
        <f>Table1[[#This Row],[Qty]]*Table1[[#This Row],[Price]]</f>
        <v>0</v>
      </c>
    </row>
    <row r="717" spans="1:9" ht="13.5" customHeight="1" x14ac:dyDescent="0.25">
      <c r="A717" s="28">
        <v>6291106814859</v>
      </c>
      <c r="B717" s="29" t="s">
        <v>4145</v>
      </c>
      <c r="C717" s="30" t="s">
        <v>91</v>
      </c>
      <c r="D717" s="31" t="s">
        <v>4146</v>
      </c>
      <c r="E717" s="51">
        <v>32.18</v>
      </c>
      <c r="F717" s="32" t="s">
        <v>13</v>
      </c>
      <c r="G717" s="32" t="s">
        <v>7220</v>
      </c>
      <c r="H717" s="22"/>
      <c r="I717" s="11">
        <f>Table1[[#This Row],[Qty]]*Table1[[#This Row],[Price]]</f>
        <v>0</v>
      </c>
    </row>
    <row r="718" spans="1:9" ht="13.5" customHeight="1" x14ac:dyDescent="0.25">
      <c r="A718" s="28">
        <v>6291106814323</v>
      </c>
      <c r="B718" s="29" t="s">
        <v>3176</v>
      </c>
      <c r="C718" s="30" t="s">
        <v>91</v>
      </c>
      <c r="D718" s="31" t="s">
        <v>3177</v>
      </c>
      <c r="E718" s="51">
        <v>36.36</v>
      </c>
      <c r="F718" s="32" t="s">
        <v>13</v>
      </c>
      <c r="G718" s="32" t="s">
        <v>7374</v>
      </c>
      <c r="H718" s="22"/>
      <c r="I718" s="11">
        <f>Table1[[#This Row],[Qty]]*Table1[[#This Row],[Price]]</f>
        <v>0</v>
      </c>
    </row>
    <row r="719" spans="1:9" ht="13.5" customHeight="1" x14ac:dyDescent="0.25">
      <c r="A719" s="28">
        <v>812256028475</v>
      </c>
      <c r="B719" s="29" t="s">
        <v>74</v>
      </c>
      <c r="C719" s="30" t="s">
        <v>75</v>
      </c>
      <c r="D719" s="31" t="s">
        <v>76</v>
      </c>
      <c r="E719" s="51">
        <v>27</v>
      </c>
      <c r="F719" s="32" t="s">
        <v>13</v>
      </c>
      <c r="G719" s="32" t="s">
        <v>5630</v>
      </c>
      <c r="H719" s="22"/>
      <c r="I719" s="11">
        <f>Table1[[#This Row],[Qty]]*Table1[[#This Row],[Price]]</f>
        <v>0</v>
      </c>
    </row>
    <row r="720" spans="1:9" ht="13.5" customHeight="1" x14ac:dyDescent="0.25">
      <c r="A720" s="28">
        <v>810101500060</v>
      </c>
      <c r="B720" s="29" t="s">
        <v>610</v>
      </c>
      <c r="C720" s="30" t="s">
        <v>75</v>
      </c>
      <c r="D720" s="31" t="s">
        <v>611</v>
      </c>
      <c r="E720" s="51">
        <v>35.119999999999997</v>
      </c>
      <c r="F720" s="32" t="s">
        <v>13</v>
      </c>
      <c r="G720" s="32" t="s">
        <v>7372</v>
      </c>
      <c r="H720" s="12"/>
      <c r="I720" s="11">
        <f>Table1[[#This Row],[Qty]]*Table1[[#This Row],[Price]]</f>
        <v>0</v>
      </c>
    </row>
    <row r="721" spans="1:9" ht="13.5" customHeight="1" x14ac:dyDescent="0.25">
      <c r="A721" s="28">
        <v>6295199807712</v>
      </c>
      <c r="B721" s="29" t="s">
        <v>18</v>
      </c>
      <c r="C721" s="30" t="s">
        <v>19</v>
      </c>
      <c r="D721" s="31" t="s">
        <v>20</v>
      </c>
      <c r="E721" s="51">
        <v>15</v>
      </c>
      <c r="F721" s="32" t="s">
        <v>13</v>
      </c>
      <c r="G721" s="32" t="s">
        <v>5608</v>
      </c>
      <c r="H721" s="12"/>
      <c r="I721" s="11">
        <f>Table1[[#This Row],[Qty]]*Table1[[#This Row],[Price]]</f>
        <v>0</v>
      </c>
    </row>
    <row r="722" spans="1:9" ht="13.5" customHeight="1" x14ac:dyDescent="0.25">
      <c r="A722" s="28">
        <v>6295199807705</v>
      </c>
      <c r="B722" s="29" t="s">
        <v>24</v>
      </c>
      <c r="C722" s="30" t="s">
        <v>19</v>
      </c>
      <c r="D722" s="31" t="s">
        <v>25</v>
      </c>
      <c r="E722" s="51">
        <v>17.5</v>
      </c>
      <c r="F722" s="32" t="s">
        <v>13</v>
      </c>
      <c r="G722" s="32" t="s">
        <v>5610</v>
      </c>
      <c r="H722" s="22"/>
      <c r="I722" s="11">
        <f>Table1[[#This Row],[Qty]]*Table1[[#This Row],[Price]]</f>
        <v>0</v>
      </c>
    </row>
    <row r="723" spans="1:9" ht="13.5" customHeight="1" x14ac:dyDescent="0.25">
      <c r="A723" s="28">
        <v>6295199804179</v>
      </c>
      <c r="B723" s="29" t="s">
        <v>40</v>
      </c>
      <c r="C723" s="30" t="s">
        <v>19</v>
      </c>
      <c r="D723" s="31" t="s">
        <v>41</v>
      </c>
      <c r="E723" s="51">
        <v>27</v>
      </c>
      <c r="F723" s="32" t="s">
        <v>13</v>
      </c>
      <c r="G723" s="32" t="s">
        <v>5617</v>
      </c>
      <c r="H723" s="22"/>
      <c r="I723" s="11">
        <f>Table1[[#This Row],[Qty]]*Table1[[#This Row],[Price]]</f>
        <v>0</v>
      </c>
    </row>
    <row r="724" spans="1:9" ht="13.5" customHeight="1" x14ac:dyDescent="0.25">
      <c r="A724" s="28">
        <v>6295199808665</v>
      </c>
      <c r="B724" s="29" t="s">
        <v>72</v>
      </c>
      <c r="C724" s="33" t="s">
        <v>19</v>
      </c>
      <c r="D724" s="31" t="s">
        <v>73</v>
      </c>
      <c r="E724" s="51">
        <v>16</v>
      </c>
      <c r="F724" s="32" t="s">
        <v>13</v>
      </c>
      <c r="G724" s="32" t="s">
        <v>5629</v>
      </c>
      <c r="H724" s="22"/>
      <c r="I724" s="11">
        <f>Table1[[#This Row],[Qty]]*Table1[[#This Row],[Price]]</f>
        <v>0</v>
      </c>
    </row>
    <row r="725" spans="1:9" ht="13.5" customHeight="1" x14ac:dyDescent="0.25">
      <c r="A725" s="28">
        <v>6294015199475</v>
      </c>
      <c r="B725" s="29" t="s">
        <v>2548</v>
      </c>
      <c r="C725" s="30" t="s">
        <v>19</v>
      </c>
      <c r="D725" s="31" t="s">
        <v>2549</v>
      </c>
      <c r="E725" s="51">
        <v>20</v>
      </c>
      <c r="F725" s="32" t="s">
        <v>13</v>
      </c>
      <c r="G725" s="32" t="s">
        <v>5733</v>
      </c>
      <c r="H725" s="12"/>
      <c r="I725" s="11">
        <f>Table1[[#This Row],[Qty]]*Table1[[#This Row],[Price]]</f>
        <v>0</v>
      </c>
    </row>
    <row r="726" spans="1:9" ht="13.5" customHeight="1" x14ac:dyDescent="0.25">
      <c r="A726" s="28">
        <v>6294015136838</v>
      </c>
      <c r="B726" s="29" t="s">
        <v>4185</v>
      </c>
      <c r="C726" s="30" t="s">
        <v>19</v>
      </c>
      <c r="D726" s="31" t="s">
        <v>4186</v>
      </c>
      <c r="E726" s="51">
        <v>30</v>
      </c>
      <c r="F726" s="32" t="s">
        <v>13</v>
      </c>
      <c r="G726" s="32" t="s">
        <v>5750</v>
      </c>
      <c r="H726" s="14"/>
      <c r="I726" s="11">
        <f>Table1[[#This Row],[Qty]]*Table1[[#This Row],[Price]]</f>
        <v>0</v>
      </c>
    </row>
    <row r="727" spans="1:9" ht="13.5" customHeight="1" x14ac:dyDescent="0.25">
      <c r="A727" s="28">
        <v>6294015168143</v>
      </c>
      <c r="B727" s="29" t="s">
        <v>4022</v>
      </c>
      <c r="C727" s="30" t="s">
        <v>19</v>
      </c>
      <c r="D727" s="31" t="s">
        <v>4023</v>
      </c>
      <c r="E727" s="51">
        <v>20.5</v>
      </c>
      <c r="F727" s="32" t="s">
        <v>13</v>
      </c>
      <c r="G727" s="32" t="s">
        <v>7170</v>
      </c>
      <c r="H727" s="22"/>
      <c r="I727" s="11">
        <f>Table1[[#This Row],[Qty]]*Table1[[#This Row],[Price]]</f>
        <v>0</v>
      </c>
    </row>
    <row r="728" spans="1:9" ht="13.5" customHeight="1" x14ac:dyDescent="0.25">
      <c r="A728" s="28">
        <v>6295199812068</v>
      </c>
      <c r="B728" s="29" t="s">
        <v>4057</v>
      </c>
      <c r="C728" s="30" t="s">
        <v>19</v>
      </c>
      <c r="D728" s="31" t="s">
        <v>4058</v>
      </c>
      <c r="E728" s="51">
        <v>18.52</v>
      </c>
      <c r="F728" s="32" t="s">
        <v>13</v>
      </c>
      <c r="G728" s="32" t="s">
        <v>7186</v>
      </c>
      <c r="H728" s="22"/>
      <c r="I728" s="11">
        <f>Table1[[#This Row],[Qty]]*Table1[[#This Row],[Price]]</f>
        <v>0</v>
      </c>
    </row>
    <row r="729" spans="1:9" ht="13.5" customHeight="1" x14ac:dyDescent="0.25">
      <c r="A729" s="28">
        <v>6295199804162</v>
      </c>
      <c r="B729" s="29" t="s">
        <v>4103</v>
      </c>
      <c r="C729" s="30" t="s">
        <v>19</v>
      </c>
      <c r="D729" s="31" t="s">
        <v>4104</v>
      </c>
      <c r="E729" s="51">
        <v>28.79</v>
      </c>
      <c r="F729" s="32" t="s">
        <v>13</v>
      </c>
      <c r="G729" s="32" t="s">
        <v>7203</v>
      </c>
      <c r="H729" s="22"/>
      <c r="I729" s="11">
        <f>Table1[[#This Row],[Qty]]*Table1[[#This Row],[Price]]</f>
        <v>0</v>
      </c>
    </row>
    <row r="730" spans="1:9" ht="13.5" customHeight="1" x14ac:dyDescent="0.25">
      <c r="A730" s="28">
        <v>6294015199413</v>
      </c>
      <c r="B730" s="29" t="s">
        <v>4112</v>
      </c>
      <c r="C730" s="30" t="s">
        <v>19</v>
      </c>
      <c r="D730" s="31" t="s">
        <v>4113</v>
      </c>
      <c r="E730" s="51">
        <v>30.5</v>
      </c>
      <c r="F730" s="32" t="s">
        <v>13</v>
      </c>
      <c r="G730" s="32" t="s">
        <v>7207</v>
      </c>
      <c r="H730" s="12"/>
      <c r="I730" s="11">
        <f>Table1[[#This Row],[Qty]]*Table1[[#This Row],[Price]]</f>
        <v>0</v>
      </c>
    </row>
    <row r="731" spans="1:9" ht="13.5" customHeight="1" x14ac:dyDescent="0.25">
      <c r="A731" s="28">
        <v>6294015166163</v>
      </c>
      <c r="B731" s="29" t="s">
        <v>4127</v>
      </c>
      <c r="C731" s="30" t="s">
        <v>19</v>
      </c>
      <c r="D731" s="31" t="s">
        <v>4128</v>
      </c>
      <c r="E731" s="51">
        <v>16.5</v>
      </c>
      <c r="F731" s="32" t="s">
        <v>13</v>
      </c>
      <c r="G731" s="32" t="s">
        <v>7212</v>
      </c>
      <c r="H731" s="12"/>
      <c r="I731" s="11">
        <f>Table1[[#This Row],[Qty]]*Table1[[#This Row],[Price]]</f>
        <v>0</v>
      </c>
    </row>
    <row r="732" spans="1:9" ht="13.5" customHeight="1" x14ac:dyDescent="0.25">
      <c r="A732" s="28">
        <v>6295199810613</v>
      </c>
      <c r="B732" s="29" t="s">
        <v>4131</v>
      </c>
      <c r="C732" s="30" t="s">
        <v>19</v>
      </c>
      <c r="D732" s="31" t="s">
        <v>4132</v>
      </c>
      <c r="E732" s="51">
        <v>27.46</v>
      </c>
      <c r="F732" s="32" t="s">
        <v>13</v>
      </c>
      <c r="G732" s="32" t="s">
        <v>7214</v>
      </c>
      <c r="H732" s="22"/>
      <c r="I732" s="11">
        <f>Table1[[#This Row],[Qty]]*Table1[[#This Row],[Price]]</f>
        <v>0</v>
      </c>
    </row>
    <row r="733" spans="1:9" ht="13.5" customHeight="1" x14ac:dyDescent="0.25">
      <c r="A733" s="28">
        <v>6294015175523</v>
      </c>
      <c r="B733" s="29" t="s">
        <v>4143</v>
      </c>
      <c r="C733" s="33" t="s">
        <v>19</v>
      </c>
      <c r="D733" s="31" t="s">
        <v>4144</v>
      </c>
      <c r="E733" s="51">
        <v>26.41</v>
      </c>
      <c r="F733" s="32" t="s">
        <v>13</v>
      </c>
      <c r="G733" s="32" t="s">
        <v>7219</v>
      </c>
      <c r="H733" s="22"/>
      <c r="I733" s="11">
        <f>Table1[[#This Row],[Qty]]*Table1[[#This Row],[Price]]</f>
        <v>0</v>
      </c>
    </row>
    <row r="734" spans="1:9" ht="13.5" customHeight="1" x14ac:dyDescent="0.25">
      <c r="A734" s="28">
        <v>6295199809280</v>
      </c>
      <c r="B734" s="29" t="s">
        <v>4153</v>
      </c>
      <c r="C734" s="30" t="s">
        <v>19</v>
      </c>
      <c r="D734" s="31" t="s">
        <v>4154</v>
      </c>
      <c r="E734" s="51">
        <v>30</v>
      </c>
      <c r="F734" s="32" t="s">
        <v>13</v>
      </c>
      <c r="G734" s="32" t="s">
        <v>7222</v>
      </c>
      <c r="H734" s="22"/>
      <c r="I734" s="11">
        <f>Table1[[#This Row],[Qty]]*Table1[[#This Row],[Price]]</f>
        <v>0</v>
      </c>
    </row>
    <row r="735" spans="1:9" ht="13.5" customHeight="1" x14ac:dyDescent="0.25">
      <c r="A735" s="28">
        <v>6295199810378</v>
      </c>
      <c r="B735" s="29" t="s">
        <v>4177</v>
      </c>
      <c r="C735" s="30" t="s">
        <v>19</v>
      </c>
      <c r="D735" s="31" t="s">
        <v>4178</v>
      </c>
      <c r="E735" s="51">
        <v>19.5</v>
      </c>
      <c r="F735" s="32" t="s">
        <v>13</v>
      </c>
      <c r="G735" s="32" t="s">
        <v>7231</v>
      </c>
      <c r="H735" s="12"/>
      <c r="I735" s="11">
        <f>Table1[[#This Row],[Qty]]*Table1[[#This Row],[Price]]</f>
        <v>0</v>
      </c>
    </row>
    <row r="736" spans="1:9" ht="13.5" customHeight="1" x14ac:dyDescent="0.25">
      <c r="A736" s="28">
        <v>6295199815038</v>
      </c>
      <c r="B736" s="29" t="s">
        <v>4183</v>
      </c>
      <c r="C736" s="30" t="s">
        <v>19</v>
      </c>
      <c r="D736" s="31" t="s">
        <v>4184</v>
      </c>
      <c r="E736" s="51">
        <v>20.49</v>
      </c>
      <c r="F736" s="32" t="s">
        <v>13</v>
      </c>
      <c r="G736" s="32" t="s">
        <v>7234</v>
      </c>
      <c r="H736" s="22"/>
      <c r="I736" s="11">
        <f>Table1[[#This Row],[Qty]]*Table1[[#This Row],[Price]]</f>
        <v>0</v>
      </c>
    </row>
    <row r="737" spans="1:9" ht="13.5" customHeight="1" x14ac:dyDescent="0.25">
      <c r="A737" s="28">
        <v>6294015196412</v>
      </c>
      <c r="B737" s="29" t="s">
        <v>4214</v>
      </c>
      <c r="C737" s="33" t="s">
        <v>19</v>
      </c>
      <c r="D737" s="31" t="s">
        <v>4215</v>
      </c>
      <c r="E737" s="51">
        <v>21</v>
      </c>
      <c r="F737" s="32" t="s">
        <v>13</v>
      </c>
      <c r="G737" s="32" t="s">
        <v>7244</v>
      </c>
      <c r="H737" s="22"/>
      <c r="I737" s="11">
        <f>Table1[[#This Row],[Qty]]*Table1[[#This Row],[Price]]</f>
        <v>0</v>
      </c>
    </row>
    <row r="738" spans="1:9" ht="13.5" customHeight="1" x14ac:dyDescent="0.25">
      <c r="A738" s="28">
        <v>6294015163919</v>
      </c>
      <c r="B738" s="29" t="s">
        <v>4220</v>
      </c>
      <c r="C738" s="30" t="s">
        <v>19</v>
      </c>
      <c r="D738" s="31" t="s">
        <v>4221</v>
      </c>
      <c r="E738" s="51">
        <v>13.3</v>
      </c>
      <c r="F738" s="32" t="s">
        <v>13</v>
      </c>
      <c r="G738" s="32" t="s">
        <v>7246</v>
      </c>
      <c r="H738" s="22"/>
      <c r="I738" s="11">
        <f>Table1[[#This Row],[Qty]]*Table1[[#This Row],[Price]]</f>
        <v>0</v>
      </c>
    </row>
    <row r="739" spans="1:9" ht="13.5" customHeight="1" x14ac:dyDescent="0.25">
      <c r="A739" s="28">
        <v>6294015148343</v>
      </c>
      <c r="B739" s="29" t="s">
        <v>2705</v>
      </c>
      <c r="C739" s="30" t="s">
        <v>19</v>
      </c>
      <c r="D739" s="31" t="s">
        <v>2706</v>
      </c>
      <c r="E739" s="51">
        <v>45.5</v>
      </c>
      <c r="F739" s="32" t="s">
        <v>13</v>
      </c>
      <c r="G739" s="32" t="s">
        <v>7371</v>
      </c>
      <c r="H739" s="22"/>
      <c r="I739" s="11">
        <f>Table1[[#This Row],[Qty]]*Table1[[#This Row],[Price]]</f>
        <v>0</v>
      </c>
    </row>
    <row r="740" spans="1:9" ht="13.5" customHeight="1" x14ac:dyDescent="0.25">
      <c r="A740" s="28">
        <v>3351500016617</v>
      </c>
      <c r="B740" s="29" t="s">
        <v>4157</v>
      </c>
      <c r="C740" s="30" t="s">
        <v>924</v>
      </c>
      <c r="D740" s="31" t="s">
        <v>4158</v>
      </c>
      <c r="E740" s="51">
        <v>31.51</v>
      </c>
      <c r="F740" s="32" t="s">
        <v>13</v>
      </c>
      <c r="G740" s="32" t="s">
        <v>7224</v>
      </c>
      <c r="H740" s="22"/>
      <c r="I740" s="11">
        <f>Table1[[#This Row],[Qty]]*Table1[[#This Row],[Price]]</f>
        <v>0</v>
      </c>
    </row>
    <row r="741" spans="1:9" ht="13.5" customHeight="1" x14ac:dyDescent="0.25">
      <c r="A741" s="28">
        <v>888874008441</v>
      </c>
      <c r="B741" s="29" t="s">
        <v>3975</v>
      </c>
      <c r="C741" s="30" t="s">
        <v>239</v>
      </c>
      <c r="D741" s="31" t="s">
        <v>3976</v>
      </c>
      <c r="E741" s="51">
        <v>150</v>
      </c>
      <c r="F741" s="32" t="s">
        <v>13</v>
      </c>
      <c r="G741" s="32" t="s">
        <v>5753</v>
      </c>
      <c r="H741" s="22"/>
      <c r="I741" s="11">
        <f>Table1[[#This Row],[Qty]]*Table1[[#This Row],[Price]]</f>
        <v>0</v>
      </c>
    </row>
    <row r="742" spans="1:9" ht="13.5" customHeight="1" x14ac:dyDescent="0.25">
      <c r="A742" s="28">
        <v>719346258111</v>
      </c>
      <c r="B742" s="29" t="s">
        <v>4061</v>
      </c>
      <c r="C742" s="30" t="s">
        <v>158</v>
      </c>
      <c r="D742" s="31" t="s">
        <v>4062</v>
      </c>
      <c r="E742" s="51">
        <v>13.13</v>
      </c>
      <c r="F742" s="32" t="s">
        <v>13</v>
      </c>
      <c r="G742" s="32" t="s">
        <v>7188</v>
      </c>
      <c r="H742" s="12"/>
      <c r="I742" s="11">
        <f>Table1[[#This Row],[Qty]]*Table1[[#This Row],[Price]]</f>
        <v>0</v>
      </c>
    </row>
    <row r="743" spans="1:9" ht="13.5" customHeight="1" x14ac:dyDescent="0.25">
      <c r="A743" s="28">
        <v>719346228992</v>
      </c>
      <c r="B743" s="29" t="s">
        <v>4085</v>
      </c>
      <c r="C743" s="30" t="s">
        <v>158</v>
      </c>
      <c r="D743" s="31" t="s">
        <v>4086</v>
      </c>
      <c r="E743" s="51">
        <v>10.62</v>
      </c>
      <c r="F743" s="32" t="s">
        <v>13</v>
      </c>
      <c r="G743" s="32" t="s">
        <v>7196</v>
      </c>
      <c r="H743" s="22"/>
      <c r="I743" s="11">
        <f>Table1[[#This Row],[Qty]]*Table1[[#This Row],[Price]]</f>
        <v>0</v>
      </c>
    </row>
    <row r="744" spans="1:9" ht="13.5" customHeight="1" x14ac:dyDescent="0.25">
      <c r="A744" s="28">
        <v>88300162581</v>
      </c>
      <c r="B744" s="29" t="s">
        <v>42</v>
      </c>
      <c r="C744" s="30" t="s">
        <v>43</v>
      </c>
      <c r="D744" s="31" t="s">
        <v>44</v>
      </c>
      <c r="E744" s="51">
        <v>8</v>
      </c>
      <c r="F744" s="32" t="s">
        <v>13</v>
      </c>
      <c r="G744" s="32" t="s">
        <v>5618</v>
      </c>
      <c r="H744" s="22"/>
      <c r="I744" s="11">
        <f>Table1[[#This Row],[Qty]]*Table1[[#This Row],[Price]]</f>
        <v>0</v>
      </c>
    </row>
    <row r="745" spans="1:9" ht="13.5" customHeight="1" x14ac:dyDescent="0.25">
      <c r="A745" s="28">
        <v>88300000319</v>
      </c>
      <c r="B745" s="29" t="s">
        <v>3949</v>
      </c>
      <c r="C745" s="30" t="s">
        <v>43</v>
      </c>
      <c r="D745" s="31" t="s">
        <v>3950</v>
      </c>
      <c r="E745" s="51">
        <v>15.51</v>
      </c>
      <c r="F745" s="32" t="s">
        <v>13</v>
      </c>
      <c r="G745" s="32" t="s">
        <v>7140</v>
      </c>
      <c r="H745" s="22"/>
      <c r="I745" s="11">
        <f>Table1[[#This Row],[Qty]]*Table1[[#This Row],[Price]]</f>
        <v>0</v>
      </c>
    </row>
    <row r="746" spans="1:9" ht="13.5" customHeight="1" x14ac:dyDescent="0.25">
      <c r="A746" s="28">
        <v>88300049189</v>
      </c>
      <c r="B746" s="29" t="s">
        <v>4050</v>
      </c>
      <c r="C746" s="30" t="s">
        <v>43</v>
      </c>
      <c r="D746" s="31" t="s">
        <v>4051</v>
      </c>
      <c r="E746" s="51">
        <v>6</v>
      </c>
      <c r="F746" s="32" t="s">
        <v>13</v>
      </c>
      <c r="G746" s="32" t="s">
        <v>7182</v>
      </c>
      <c r="H746" s="22"/>
      <c r="I746" s="11">
        <f>Table1[[#This Row],[Qty]]*Table1[[#This Row],[Price]]</f>
        <v>0</v>
      </c>
    </row>
    <row r="747" spans="1:9" ht="13.5" customHeight="1" x14ac:dyDescent="0.25">
      <c r="A747" s="28">
        <v>88300150410</v>
      </c>
      <c r="B747" s="29" t="s">
        <v>4055</v>
      </c>
      <c r="C747" s="30" t="s">
        <v>43</v>
      </c>
      <c r="D747" s="31" t="s">
        <v>4056</v>
      </c>
      <c r="E747" s="51">
        <v>15.68</v>
      </c>
      <c r="F747" s="32" t="s">
        <v>13</v>
      </c>
      <c r="G747" s="32" t="s">
        <v>7185</v>
      </c>
      <c r="H747" s="22"/>
      <c r="I747" s="11">
        <f>Table1[[#This Row],[Qty]]*Table1[[#This Row],[Price]]</f>
        <v>0</v>
      </c>
    </row>
    <row r="748" spans="1:9" ht="13.5" customHeight="1" x14ac:dyDescent="0.25">
      <c r="A748" s="28">
        <v>88300178278</v>
      </c>
      <c r="B748" s="29" t="s">
        <v>2605</v>
      </c>
      <c r="C748" s="30" t="s">
        <v>43</v>
      </c>
      <c r="D748" s="31" t="s">
        <v>2606</v>
      </c>
      <c r="E748" s="51">
        <v>21.8</v>
      </c>
      <c r="F748" s="32" t="s">
        <v>13</v>
      </c>
      <c r="G748" s="32" t="s">
        <v>7378</v>
      </c>
      <c r="H748" s="12"/>
      <c r="I748" s="11">
        <f>Table1[[#This Row],[Qty]]*Table1[[#This Row],[Price]]</f>
        <v>0</v>
      </c>
    </row>
    <row r="749" spans="1:9" ht="13.5" customHeight="1" x14ac:dyDescent="0.25">
      <c r="A749" s="48">
        <v>8411061026243</v>
      </c>
      <c r="B749" s="41" t="s">
        <v>4175</v>
      </c>
      <c r="C749" s="6" t="s">
        <v>186</v>
      </c>
      <c r="D749" t="s">
        <v>4176</v>
      </c>
      <c r="E749" s="47">
        <v>80.98</v>
      </c>
      <c r="F749" s="6" t="s">
        <v>13</v>
      </c>
      <c r="G749" s="6" t="s">
        <v>5748</v>
      </c>
      <c r="H749" s="22"/>
      <c r="I749" s="11">
        <f>Table1[[#This Row],[Qty]]*Table1[[#This Row],[Price]]</f>
        <v>0</v>
      </c>
    </row>
    <row r="750" spans="1:9" ht="13.5" customHeight="1" x14ac:dyDescent="0.25">
      <c r="A750" s="28">
        <v>8411061122617</v>
      </c>
      <c r="B750" s="29" t="s">
        <v>3234</v>
      </c>
      <c r="C750" s="30" t="s">
        <v>186</v>
      </c>
      <c r="D750" s="31" t="s">
        <v>3235</v>
      </c>
      <c r="E750" s="51">
        <v>76.8</v>
      </c>
      <c r="F750" s="32" t="s">
        <v>13</v>
      </c>
      <c r="G750" s="32" t="s">
        <v>7375</v>
      </c>
      <c r="H750" s="22"/>
      <c r="I750" s="11">
        <f>Table1[[#This Row],[Qty]]*Table1[[#This Row],[Price]]</f>
        <v>0</v>
      </c>
    </row>
    <row r="751" spans="1:9" ht="13.5" customHeight="1" x14ac:dyDescent="0.25">
      <c r="A751" s="48">
        <v>8411061979693</v>
      </c>
      <c r="B751" s="41" t="s">
        <v>3238</v>
      </c>
      <c r="C751" s="6" t="s">
        <v>186</v>
      </c>
      <c r="D751" t="s">
        <v>3239</v>
      </c>
      <c r="E751" s="47">
        <v>103.8</v>
      </c>
      <c r="F751" s="6" t="s">
        <v>13</v>
      </c>
      <c r="G751" s="6" t="s">
        <v>7376</v>
      </c>
      <c r="H751" s="22"/>
      <c r="I751" s="11">
        <f>Table1[[#This Row],[Qty]]*Table1[[#This Row],[Price]]</f>
        <v>0</v>
      </c>
    </row>
    <row r="752" spans="1:9" ht="13.5" customHeight="1" x14ac:dyDescent="0.25">
      <c r="A752" s="28">
        <v>3348900011687</v>
      </c>
      <c r="B752" s="29" t="s">
        <v>150</v>
      </c>
      <c r="C752" s="30" t="s">
        <v>151</v>
      </c>
      <c r="D752" s="31" t="s">
        <v>152</v>
      </c>
      <c r="E752" s="51">
        <v>83</v>
      </c>
      <c r="F752" s="32" t="s">
        <v>13</v>
      </c>
      <c r="G752" s="32" t="s">
        <v>5661</v>
      </c>
      <c r="H752" s="12"/>
      <c r="I752" s="11">
        <f>Table1[[#This Row],[Qty]]*Table1[[#This Row],[Price]]</f>
        <v>0</v>
      </c>
    </row>
    <row r="753" spans="1:9" ht="13.5" customHeight="1" x14ac:dyDescent="0.25">
      <c r="A753" s="28">
        <v>3348901206174</v>
      </c>
      <c r="B753" s="29" t="s">
        <v>4040</v>
      </c>
      <c r="C753" s="30" t="s">
        <v>151</v>
      </c>
      <c r="D753" s="31" t="s">
        <v>4041</v>
      </c>
      <c r="E753" s="51">
        <v>88</v>
      </c>
      <c r="F753" s="32" t="s">
        <v>13</v>
      </c>
      <c r="G753" s="32" t="s">
        <v>5744</v>
      </c>
      <c r="H753" s="22"/>
      <c r="I753" s="11">
        <f>Table1[[#This Row],[Qty]]*Table1[[#This Row],[Price]]</f>
        <v>0</v>
      </c>
    </row>
    <row r="754" spans="1:9" ht="13.5" customHeight="1" x14ac:dyDescent="0.25">
      <c r="A754" s="28">
        <v>3348900627499</v>
      </c>
      <c r="B754" s="29" t="s">
        <v>3904</v>
      </c>
      <c r="C754" s="30" t="s">
        <v>151</v>
      </c>
      <c r="D754" s="31" t="s">
        <v>3905</v>
      </c>
      <c r="E754" s="51">
        <v>81</v>
      </c>
      <c r="F754" s="32" t="s">
        <v>13</v>
      </c>
      <c r="G754" s="32" t="s">
        <v>7121</v>
      </c>
      <c r="H754" s="22"/>
      <c r="I754" s="11">
        <f>Table1[[#This Row],[Qty]]*Table1[[#This Row],[Price]]</f>
        <v>0</v>
      </c>
    </row>
    <row r="755" spans="1:9" ht="13.5" customHeight="1" x14ac:dyDescent="0.25">
      <c r="A755" s="28">
        <v>3386460147118</v>
      </c>
      <c r="B755" s="29" t="s">
        <v>4003</v>
      </c>
      <c r="C755" s="30" t="s">
        <v>1530</v>
      </c>
      <c r="D755" s="31" t="s">
        <v>4004</v>
      </c>
      <c r="E755" s="51">
        <v>47.5</v>
      </c>
      <c r="F755" s="32" t="s">
        <v>13</v>
      </c>
      <c r="G755" s="32" t="s">
        <v>7161</v>
      </c>
      <c r="H755" s="14"/>
      <c r="I755" s="11">
        <f>Table1[[#This Row],[Qty]]*Table1[[#This Row],[Price]]</f>
        <v>0</v>
      </c>
    </row>
    <row r="756" spans="1:9" ht="13.5" customHeight="1" x14ac:dyDescent="0.25">
      <c r="A756" s="28">
        <v>3414202000510</v>
      </c>
      <c r="B756" s="29" t="s">
        <v>129</v>
      </c>
      <c r="C756" s="30" t="s">
        <v>130</v>
      </c>
      <c r="D756" s="31" t="s">
        <v>131</v>
      </c>
      <c r="E756" s="51">
        <v>10.3</v>
      </c>
      <c r="F756" s="32" t="s">
        <v>13</v>
      </c>
      <c r="G756" s="32" t="s">
        <v>5653</v>
      </c>
      <c r="H756" s="12"/>
      <c r="I756" s="11">
        <f>Table1[[#This Row],[Qty]]*Table1[[#This Row],[Price]]</f>
        <v>0</v>
      </c>
    </row>
    <row r="757" spans="1:9" ht="13.5" customHeight="1" x14ac:dyDescent="0.25">
      <c r="A757" s="28">
        <v>8411114089751</v>
      </c>
      <c r="B757" s="29" t="s">
        <v>4125</v>
      </c>
      <c r="C757" s="30" t="s">
        <v>161</v>
      </c>
      <c r="D757" s="31" t="s">
        <v>4126</v>
      </c>
      <c r="E757" s="51">
        <v>10.41</v>
      </c>
      <c r="F757" s="32" t="s">
        <v>13</v>
      </c>
      <c r="G757" s="32" t="s">
        <v>7211</v>
      </c>
      <c r="H757" s="12"/>
      <c r="I757" s="11">
        <f>Table1[[#This Row],[Qty]]*Table1[[#This Row],[Price]]</f>
        <v>0</v>
      </c>
    </row>
    <row r="758" spans="1:9" ht="13.5" customHeight="1" x14ac:dyDescent="0.25">
      <c r="A758" s="28">
        <v>8057971188000</v>
      </c>
      <c r="B758" s="29" t="s">
        <v>221</v>
      </c>
      <c r="C758" s="33" t="s">
        <v>135</v>
      </c>
      <c r="D758" s="31" t="s">
        <v>222</v>
      </c>
      <c r="E758" s="51">
        <v>37.28</v>
      </c>
      <c r="F758" s="32" t="s">
        <v>13</v>
      </c>
      <c r="G758" s="32" t="s">
        <v>5692</v>
      </c>
      <c r="H758" s="22"/>
      <c r="I758" s="11">
        <f>Table1[[#This Row],[Qty]]*Table1[[#This Row],[Price]]</f>
        <v>0</v>
      </c>
    </row>
    <row r="759" spans="1:9" ht="13.5" customHeight="1" x14ac:dyDescent="0.25">
      <c r="A759" s="28">
        <v>8057971188727</v>
      </c>
      <c r="B759" s="29" t="s">
        <v>4042</v>
      </c>
      <c r="C759" s="30" t="s">
        <v>135</v>
      </c>
      <c r="D759" s="31" t="s">
        <v>4043</v>
      </c>
      <c r="E759" s="51">
        <v>44.89</v>
      </c>
      <c r="F759" s="32" t="s">
        <v>13</v>
      </c>
      <c r="G759" s="32" t="s">
        <v>7179</v>
      </c>
      <c r="H759" s="22"/>
      <c r="I759" s="11">
        <f>Table1[[#This Row],[Qty]]*Table1[[#This Row],[Price]]</f>
        <v>0</v>
      </c>
    </row>
    <row r="760" spans="1:9" ht="13.5" customHeight="1" x14ac:dyDescent="0.25">
      <c r="A760" s="28">
        <v>8057971183487</v>
      </c>
      <c r="B760" s="29" t="s">
        <v>4159</v>
      </c>
      <c r="C760" s="30" t="s">
        <v>135</v>
      </c>
      <c r="D760" s="31" t="s">
        <v>4160</v>
      </c>
      <c r="E760" s="51">
        <v>7.5</v>
      </c>
      <c r="F760" s="32" t="s">
        <v>13</v>
      </c>
      <c r="G760" s="32" t="s">
        <v>7225</v>
      </c>
      <c r="H760" s="22"/>
      <c r="I760" s="11">
        <f>Table1[[#This Row],[Qty]]*Table1[[#This Row],[Price]]</f>
        <v>0</v>
      </c>
    </row>
    <row r="761" spans="1:9" ht="13.5" customHeight="1" x14ac:dyDescent="0.25">
      <c r="A761" s="28">
        <v>85715950321</v>
      </c>
      <c r="B761" s="29" t="s">
        <v>87</v>
      </c>
      <c r="C761" s="30" t="s">
        <v>88</v>
      </c>
      <c r="D761" s="31" t="s">
        <v>89</v>
      </c>
      <c r="E761" s="51">
        <v>18.2</v>
      </c>
      <c r="F761" s="32" t="s">
        <v>13</v>
      </c>
      <c r="G761" s="32" t="s">
        <v>5636</v>
      </c>
      <c r="H761" s="22"/>
      <c r="I761" s="11">
        <f>Table1[[#This Row],[Qty]]*Table1[[#This Row],[Price]]</f>
        <v>0</v>
      </c>
    </row>
    <row r="762" spans="1:9" ht="13.5" customHeight="1" x14ac:dyDescent="0.25">
      <c r="A762" s="28">
        <v>85715950147</v>
      </c>
      <c r="B762" s="29" t="s">
        <v>145</v>
      </c>
      <c r="C762" s="30" t="s">
        <v>88</v>
      </c>
      <c r="D762" s="31" t="s">
        <v>146</v>
      </c>
      <c r="E762" s="51">
        <v>25.11</v>
      </c>
      <c r="F762" s="32" t="s">
        <v>13</v>
      </c>
      <c r="G762" s="32" t="s">
        <v>5659</v>
      </c>
      <c r="H762" s="12"/>
      <c r="I762" s="11">
        <f>Table1[[#This Row],[Qty]]*Table1[[#This Row],[Price]]</f>
        <v>0</v>
      </c>
    </row>
    <row r="763" spans="1:9" ht="13.5" customHeight="1" x14ac:dyDescent="0.25">
      <c r="A763" s="28">
        <v>85715950512</v>
      </c>
      <c r="B763" s="29" t="s">
        <v>3882</v>
      </c>
      <c r="C763" s="30" t="s">
        <v>88</v>
      </c>
      <c r="D763" s="31" t="s">
        <v>3883</v>
      </c>
      <c r="E763" s="51">
        <v>6.95</v>
      </c>
      <c r="F763" s="32" t="s">
        <v>13</v>
      </c>
      <c r="G763" s="32" t="s">
        <v>7111</v>
      </c>
      <c r="H763" s="12"/>
      <c r="I763" s="11">
        <f>Table1[[#This Row],[Qty]]*Table1[[#This Row],[Price]]</f>
        <v>0</v>
      </c>
    </row>
    <row r="764" spans="1:9" ht="13.5" customHeight="1" x14ac:dyDescent="0.25">
      <c r="A764" s="28">
        <v>85715950703</v>
      </c>
      <c r="B764" s="29" t="s">
        <v>3914</v>
      </c>
      <c r="C764" s="30" t="s">
        <v>88</v>
      </c>
      <c r="D764" s="31" t="s">
        <v>3915</v>
      </c>
      <c r="E764" s="51">
        <v>6.95</v>
      </c>
      <c r="F764" s="32" t="s">
        <v>13</v>
      </c>
      <c r="G764" s="32" t="s">
        <v>7125</v>
      </c>
      <c r="H764" s="12"/>
      <c r="I764" s="11">
        <f>Table1[[#This Row],[Qty]]*Table1[[#This Row],[Price]]</f>
        <v>0</v>
      </c>
    </row>
    <row r="765" spans="1:9" ht="13.5" customHeight="1" x14ac:dyDescent="0.25">
      <c r="A765" s="28">
        <v>85715962119</v>
      </c>
      <c r="B765" s="29" t="s">
        <v>3925</v>
      </c>
      <c r="C765" s="30" t="s">
        <v>88</v>
      </c>
      <c r="D765" s="31" t="s">
        <v>3926</v>
      </c>
      <c r="E765" s="51">
        <v>7.2</v>
      </c>
      <c r="F765" s="32" t="s">
        <v>13</v>
      </c>
      <c r="G765" s="32" t="s">
        <v>7130</v>
      </c>
      <c r="H765" s="22"/>
      <c r="I765" s="11">
        <f>Table1[[#This Row],[Qty]]*Table1[[#This Row],[Price]]</f>
        <v>0</v>
      </c>
    </row>
    <row r="766" spans="1:9" ht="13.5" customHeight="1" x14ac:dyDescent="0.25">
      <c r="A766" s="28">
        <v>85715950529</v>
      </c>
      <c r="B766" s="29" t="s">
        <v>3931</v>
      </c>
      <c r="C766" s="33" t="s">
        <v>88</v>
      </c>
      <c r="D766" s="31" t="s">
        <v>3932</v>
      </c>
      <c r="E766" s="51">
        <v>6.95</v>
      </c>
      <c r="F766" s="32" t="s">
        <v>13</v>
      </c>
      <c r="G766" s="32" t="s">
        <v>7132</v>
      </c>
      <c r="H766" s="22"/>
      <c r="I766" s="11">
        <f>Table1[[#This Row],[Qty]]*Table1[[#This Row],[Price]]</f>
        <v>0</v>
      </c>
    </row>
    <row r="767" spans="1:9" ht="13.5" customHeight="1" x14ac:dyDescent="0.25">
      <c r="A767" s="28">
        <v>85715962102</v>
      </c>
      <c r="B767" s="29" t="s">
        <v>3933</v>
      </c>
      <c r="C767" s="30" t="s">
        <v>88</v>
      </c>
      <c r="D767" s="31" t="s">
        <v>3934</v>
      </c>
      <c r="E767" s="51">
        <v>7.2</v>
      </c>
      <c r="F767" s="32" t="s">
        <v>13</v>
      </c>
      <c r="G767" s="32" t="s">
        <v>7133</v>
      </c>
      <c r="H767" s="22"/>
      <c r="I767" s="11">
        <f>Table1[[#This Row],[Qty]]*Table1[[#This Row],[Price]]</f>
        <v>0</v>
      </c>
    </row>
    <row r="768" spans="1:9" ht="13.5" customHeight="1" x14ac:dyDescent="0.25">
      <c r="A768" s="28">
        <v>85715950574</v>
      </c>
      <c r="B768" s="29" t="s">
        <v>3937</v>
      </c>
      <c r="C768" s="30" t="s">
        <v>88</v>
      </c>
      <c r="D768" s="31" t="s">
        <v>3938</v>
      </c>
      <c r="E768" s="51">
        <v>7.2</v>
      </c>
      <c r="F768" s="32" t="s">
        <v>13</v>
      </c>
      <c r="G768" s="32" t="s">
        <v>7135</v>
      </c>
      <c r="H768" s="14"/>
      <c r="I768" s="11">
        <f>Table1[[#This Row],[Qty]]*Table1[[#This Row],[Price]]</f>
        <v>0</v>
      </c>
    </row>
    <row r="769" spans="1:9" ht="13.5" customHeight="1" x14ac:dyDescent="0.25">
      <c r="A769" s="28">
        <v>85715950680</v>
      </c>
      <c r="B769" s="29" t="s">
        <v>3964</v>
      </c>
      <c r="C769" s="30" t="s">
        <v>88</v>
      </c>
      <c r="D769" s="31" t="s">
        <v>3965</v>
      </c>
      <c r="E769" s="51">
        <v>6.95</v>
      </c>
      <c r="F769" s="32" t="s">
        <v>13</v>
      </c>
      <c r="G769" s="32" t="s">
        <v>7147</v>
      </c>
      <c r="H769" s="22"/>
      <c r="I769" s="11">
        <f>Table1[[#This Row],[Qty]]*Table1[[#This Row],[Price]]</f>
        <v>0</v>
      </c>
    </row>
    <row r="770" spans="1:9" ht="13.5" customHeight="1" x14ac:dyDescent="0.25">
      <c r="A770" s="28">
        <v>85715950697</v>
      </c>
      <c r="B770" s="29" t="s">
        <v>3966</v>
      </c>
      <c r="C770" s="30" t="s">
        <v>88</v>
      </c>
      <c r="D770" s="31" t="s">
        <v>3967</v>
      </c>
      <c r="E770" s="51">
        <v>6.95</v>
      </c>
      <c r="F770" s="32" t="s">
        <v>13</v>
      </c>
      <c r="G770" s="32" t="s">
        <v>7148</v>
      </c>
      <c r="H770" s="12"/>
      <c r="I770" s="11">
        <f>Table1[[#This Row],[Qty]]*Table1[[#This Row],[Price]]</f>
        <v>0</v>
      </c>
    </row>
    <row r="771" spans="1:9" ht="13.5" customHeight="1" x14ac:dyDescent="0.25">
      <c r="A771" s="28">
        <v>94922912282</v>
      </c>
      <c r="B771" s="29" t="s">
        <v>4044</v>
      </c>
      <c r="C771" s="30" t="s">
        <v>3973</v>
      </c>
      <c r="D771" s="31" t="s">
        <v>4045</v>
      </c>
      <c r="E771" s="51">
        <v>12</v>
      </c>
      <c r="F771" s="32" t="s">
        <v>13</v>
      </c>
      <c r="G771" s="32" t="s">
        <v>5743</v>
      </c>
      <c r="H771" s="22"/>
      <c r="I771" s="11">
        <f>Table1[[#This Row],[Qty]]*Table1[[#This Row],[Price]]</f>
        <v>0</v>
      </c>
    </row>
    <row r="772" spans="1:9" ht="13.5" customHeight="1" x14ac:dyDescent="0.25">
      <c r="A772" s="28">
        <v>94922190017</v>
      </c>
      <c r="B772" s="29" t="s">
        <v>3972</v>
      </c>
      <c r="C772" s="30" t="s">
        <v>3973</v>
      </c>
      <c r="D772" s="31" t="s">
        <v>3974</v>
      </c>
      <c r="E772" s="51">
        <v>11</v>
      </c>
      <c r="F772" s="32" t="s">
        <v>13</v>
      </c>
      <c r="G772" s="32" t="s">
        <v>5751</v>
      </c>
      <c r="H772" s="12"/>
      <c r="I772" s="11">
        <f>Table1[[#This Row],[Qty]]*Table1[[#This Row],[Price]]</f>
        <v>0</v>
      </c>
    </row>
    <row r="773" spans="1:9" ht="13.5" customHeight="1" x14ac:dyDescent="0.25">
      <c r="A773" s="28">
        <v>719346125536</v>
      </c>
      <c r="B773" s="29" t="s">
        <v>93</v>
      </c>
      <c r="C773" s="33" t="s">
        <v>94</v>
      </c>
      <c r="D773" s="31" t="s">
        <v>95</v>
      </c>
      <c r="E773" s="51">
        <v>9.65</v>
      </c>
      <c r="F773" s="32" t="s">
        <v>13</v>
      </c>
      <c r="G773" s="32" t="s">
        <v>5638</v>
      </c>
      <c r="H773" s="22"/>
      <c r="I773" s="11">
        <f>Table1[[#This Row],[Qty]]*Table1[[#This Row],[Price]]</f>
        <v>0</v>
      </c>
    </row>
    <row r="774" spans="1:9" ht="13.5" customHeight="1" x14ac:dyDescent="0.25">
      <c r="A774" s="28">
        <v>5601135002065</v>
      </c>
      <c r="B774" s="29" t="s">
        <v>4111</v>
      </c>
      <c r="C774" s="30" t="s">
        <v>3917</v>
      </c>
      <c r="D774" s="31" t="s">
        <v>2820</v>
      </c>
      <c r="E774" s="51">
        <v>10.15</v>
      </c>
      <c r="F774" s="32" t="s">
        <v>13</v>
      </c>
      <c r="G774" s="32" t="s">
        <v>7206</v>
      </c>
      <c r="H774" s="22"/>
      <c r="I774" s="11">
        <f>Table1[[#This Row],[Qty]]*Table1[[#This Row],[Price]]</f>
        <v>0</v>
      </c>
    </row>
    <row r="775" spans="1:9" ht="13.5" customHeight="1" x14ac:dyDescent="0.25">
      <c r="A775" s="28">
        <v>843711294623</v>
      </c>
      <c r="B775" s="29" t="s">
        <v>4116</v>
      </c>
      <c r="C775" s="30" t="s">
        <v>3917</v>
      </c>
      <c r="D775" s="31" t="s">
        <v>2259</v>
      </c>
      <c r="E775" s="51">
        <v>9.06</v>
      </c>
      <c r="F775" s="32" t="s">
        <v>13</v>
      </c>
      <c r="G775" s="32" t="s">
        <v>7208</v>
      </c>
      <c r="H775" s="12"/>
      <c r="I775" s="11">
        <f>Table1[[#This Row],[Qty]]*Table1[[#This Row],[Price]]</f>
        <v>0</v>
      </c>
    </row>
    <row r="776" spans="1:9" ht="13.5" customHeight="1" x14ac:dyDescent="0.25">
      <c r="A776" s="28">
        <v>6294015106145</v>
      </c>
      <c r="B776" s="29" t="s">
        <v>4262</v>
      </c>
      <c r="C776" s="30" t="s">
        <v>2865</v>
      </c>
      <c r="D776" s="31" t="s">
        <v>4263</v>
      </c>
      <c r="E776" s="51">
        <v>9.5</v>
      </c>
      <c r="F776" s="32" t="s">
        <v>13</v>
      </c>
      <c r="G776" s="32" t="s">
        <v>7265</v>
      </c>
      <c r="H776" s="22"/>
      <c r="I776" s="11">
        <f>Table1[[#This Row],[Qty]]*Table1[[#This Row],[Price]]</f>
        <v>0</v>
      </c>
    </row>
    <row r="777" spans="1:9" ht="13.5" customHeight="1" x14ac:dyDescent="0.25">
      <c r="A777" s="28">
        <v>3614273954174</v>
      </c>
      <c r="B777" s="29" t="s">
        <v>4048</v>
      </c>
      <c r="C777" s="30" t="s">
        <v>199</v>
      </c>
      <c r="D777" s="31" t="s">
        <v>4049</v>
      </c>
      <c r="E777" s="51">
        <v>52.94</v>
      </c>
      <c r="F777" s="32" t="s">
        <v>13</v>
      </c>
      <c r="G777" s="32" t="s">
        <v>7181</v>
      </c>
      <c r="H777" s="14"/>
      <c r="I777" s="11">
        <f>Table1[[#This Row],[Qty]]*Table1[[#This Row],[Price]]</f>
        <v>0</v>
      </c>
    </row>
    <row r="778" spans="1:9" ht="13.5" customHeight="1" x14ac:dyDescent="0.25">
      <c r="A778" s="28">
        <v>3274870303166</v>
      </c>
      <c r="B778" s="29" t="s">
        <v>140</v>
      </c>
      <c r="C778" s="30" t="s">
        <v>141</v>
      </c>
      <c r="D778" s="31" t="s">
        <v>142</v>
      </c>
      <c r="E778" s="51">
        <v>28.73</v>
      </c>
      <c r="F778" s="32" t="s">
        <v>13</v>
      </c>
      <c r="G778" s="32" t="s">
        <v>5657</v>
      </c>
      <c r="H778" s="12"/>
      <c r="I778" s="11">
        <f>Table1[[#This Row],[Qty]]*Table1[[#This Row],[Price]]</f>
        <v>0</v>
      </c>
    </row>
    <row r="779" spans="1:9" ht="13.5" customHeight="1" x14ac:dyDescent="0.25">
      <c r="A779" s="28">
        <v>3274872399167</v>
      </c>
      <c r="B779" s="29" t="s">
        <v>170</v>
      </c>
      <c r="C779" s="30" t="s">
        <v>141</v>
      </c>
      <c r="D779" s="31" t="s">
        <v>171</v>
      </c>
      <c r="E779" s="51">
        <v>33.5</v>
      </c>
      <c r="F779" s="32" t="s">
        <v>13</v>
      </c>
      <c r="G779" s="32" t="s">
        <v>5669</v>
      </c>
      <c r="H779" s="12"/>
      <c r="I779" s="11">
        <f>Table1[[#This Row],[Qty]]*Table1[[#This Row],[Price]]</f>
        <v>0</v>
      </c>
    </row>
    <row r="780" spans="1:9" ht="13.5" customHeight="1" x14ac:dyDescent="0.25">
      <c r="A780" s="28">
        <v>85715320919</v>
      </c>
      <c r="B780" s="29" t="s">
        <v>3772</v>
      </c>
      <c r="C780" s="33" t="s">
        <v>70</v>
      </c>
      <c r="D780" s="31" t="s">
        <v>3773</v>
      </c>
      <c r="E780" s="51">
        <v>13.65</v>
      </c>
      <c r="F780" s="32" t="s">
        <v>13</v>
      </c>
      <c r="G780" s="32" t="s">
        <v>7058</v>
      </c>
      <c r="H780" s="22"/>
      <c r="I780" s="11">
        <f>Table1[[#This Row],[Qty]]*Table1[[#This Row],[Price]]</f>
        <v>0</v>
      </c>
    </row>
    <row r="781" spans="1:9" ht="13.5" customHeight="1" x14ac:dyDescent="0.25">
      <c r="A781" s="28">
        <v>85715336606</v>
      </c>
      <c r="B781" s="29" t="s">
        <v>3810</v>
      </c>
      <c r="C781" s="30" t="s">
        <v>70</v>
      </c>
      <c r="D781" s="31" t="s">
        <v>3811</v>
      </c>
      <c r="E781" s="51">
        <v>17.66</v>
      </c>
      <c r="F781" s="32" t="s">
        <v>13</v>
      </c>
      <c r="G781" s="32" t="s">
        <v>7076</v>
      </c>
      <c r="H781" s="12"/>
      <c r="I781" s="11">
        <f>Table1[[#This Row],[Qty]]*Table1[[#This Row],[Price]]</f>
        <v>0</v>
      </c>
    </row>
    <row r="782" spans="1:9" ht="13.5" customHeight="1" x14ac:dyDescent="0.25">
      <c r="A782" s="28">
        <v>85715321213</v>
      </c>
      <c r="B782" s="29" t="s">
        <v>3850</v>
      </c>
      <c r="C782" s="30" t="s">
        <v>70</v>
      </c>
      <c r="D782" s="31" t="s">
        <v>3851</v>
      </c>
      <c r="E782" s="51">
        <v>13.66</v>
      </c>
      <c r="F782" s="32" t="s">
        <v>13</v>
      </c>
      <c r="G782" s="32" t="s">
        <v>7096</v>
      </c>
      <c r="H782" s="12"/>
      <c r="I782" s="11">
        <f>Table1[[#This Row],[Qty]]*Table1[[#This Row],[Price]]</f>
        <v>0</v>
      </c>
    </row>
    <row r="783" spans="1:9" ht="13.5" customHeight="1" x14ac:dyDescent="0.25">
      <c r="A783" s="28">
        <v>85715324283</v>
      </c>
      <c r="B783" s="29" t="s">
        <v>3892</v>
      </c>
      <c r="C783" s="30" t="s">
        <v>70</v>
      </c>
      <c r="D783" s="31" t="s">
        <v>3893</v>
      </c>
      <c r="E783" s="51">
        <v>14.15</v>
      </c>
      <c r="F783" s="32" t="s">
        <v>13</v>
      </c>
      <c r="G783" s="32" t="s">
        <v>7115</v>
      </c>
      <c r="H783" s="12"/>
      <c r="I783" s="11">
        <f>Table1[[#This Row],[Qty]]*Table1[[#This Row],[Price]]</f>
        <v>0</v>
      </c>
    </row>
    <row r="784" spans="1:9" ht="13.5" customHeight="1" x14ac:dyDescent="0.25">
      <c r="A784" s="28">
        <v>85715267146</v>
      </c>
      <c r="B784" s="29" t="s">
        <v>4236</v>
      </c>
      <c r="C784" s="30" t="s">
        <v>801</v>
      </c>
      <c r="D784" s="31" t="s">
        <v>4237</v>
      </c>
      <c r="E784" s="51">
        <v>11</v>
      </c>
      <c r="F784" s="32" t="s">
        <v>13</v>
      </c>
      <c r="G784" s="32" t="s">
        <v>5746</v>
      </c>
      <c r="H784" s="22"/>
      <c r="I784" s="11">
        <f>Table1[[#This Row],[Qty]]*Table1[[#This Row],[Price]]</f>
        <v>0</v>
      </c>
    </row>
    <row r="785" spans="1:9" ht="13.5" customHeight="1" x14ac:dyDescent="0.25">
      <c r="A785" s="28">
        <v>85715267504</v>
      </c>
      <c r="B785" s="29" t="s">
        <v>4234</v>
      </c>
      <c r="C785" s="30" t="s">
        <v>801</v>
      </c>
      <c r="D785" s="31" t="s">
        <v>4235</v>
      </c>
      <c r="E785" s="51">
        <v>11.54</v>
      </c>
      <c r="F785" s="32" t="s">
        <v>13</v>
      </c>
      <c r="G785" s="32" t="s">
        <v>7252</v>
      </c>
      <c r="H785" s="12"/>
      <c r="I785" s="11">
        <f>Table1[[#This Row],[Qty]]*Table1[[#This Row],[Price]]</f>
        <v>0</v>
      </c>
    </row>
    <row r="786" spans="1:9" ht="13.5" customHeight="1" x14ac:dyDescent="0.25">
      <c r="A786" s="28">
        <v>3614228830393</v>
      </c>
      <c r="B786" s="29" t="s">
        <v>4248</v>
      </c>
      <c r="C786" s="30" t="s">
        <v>572</v>
      </c>
      <c r="D786" s="31" t="s">
        <v>4249</v>
      </c>
      <c r="E786" s="51">
        <v>35.94</v>
      </c>
      <c r="F786" s="32" t="s">
        <v>13</v>
      </c>
      <c r="G786" s="32" t="s">
        <v>7258</v>
      </c>
      <c r="H786" s="22"/>
      <c r="I786" s="11">
        <f>Table1[[#This Row],[Qty]]*Table1[[#This Row],[Price]]</f>
        <v>0</v>
      </c>
    </row>
    <row r="787" spans="1:9" ht="13.5" customHeight="1" x14ac:dyDescent="0.25">
      <c r="A787" s="28">
        <v>3423470486025</v>
      </c>
      <c r="B787" s="29" t="s">
        <v>4099</v>
      </c>
      <c r="C787" s="30" t="s">
        <v>164</v>
      </c>
      <c r="D787" s="31" t="s">
        <v>4100</v>
      </c>
      <c r="E787" s="51">
        <v>16</v>
      </c>
      <c r="F787" s="32" t="s">
        <v>13</v>
      </c>
      <c r="G787" s="32" t="s">
        <v>7201</v>
      </c>
      <c r="H787" s="22"/>
      <c r="I787" s="11">
        <f>Table1[[#This Row],[Qty]]*Table1[[#This Row],[Price]]</f>
        <v>0</v>
      </c>
    </row>
    <row r="788" spans="1:9" ht="13.5" customHeight="1" x14ac:dyDescent="0.25">
      <c r="A788" s="28">
        <v>3423474874750</v>
      </c>
      <c r="B788" s="29" t="s">
        <v>4228</v>
      </c>
      <c r="C788" s="30" t="s">
        <v>164</v>
      </c>
      <c r="D788" s="31" t="s">
        <v>4229</v>
      </c>
      <c r="E788" s="51">
        <v>28.74</v>
      </c>
      <c r="F788" s="32" t="s">
        <v>13</v>
      </c>
      <c r="G788" s="32" t="s">
        <v>7249</v>
      </c>
      <c r="H788" s="22"/>
      <c r="I788" s="11">
        <f>Table1[[#This Row],[Qty]]*Table1[[#This Row],[Price]]</f>
        <v>0</v>
      </c>
    </row>
    <row r="789" spans="1:9" ht="13.5" customHeight="1" x14ac:dyDescent="0.25">
      <c r="A789" s="28">
        <v>3423470300154</v>
      </c>
      <c r="B789" s="29" t="s">
        <v>4240</v>
      </c>
      <c r="C789" s="30" t="s">
        <v>164</v>
      </c>
      <c r="D789" s="31" t="s">
        <v>4241</v>
      </c>
      <c r="E789" s="51">
        <v>18.75</v>
      </c>
      <c r="F789" s="32" t="s">
        <v>13</v>
      </c>
      <c r="G789" s="32" t="s">
        <v>7254</v>
      </c>
      <c r="H789" s="22"/>
      <c r="I789" s="11">
        <f>Table1[[#This Row],[Qty]]*Table1[[#This Row],[Price]]</f>
        <v>0</v>
      </c>
    </row>
    <row r="790" spans="1:9" ht="13.5" customHeight="1" x14ac:dyDescent="0.25">
      <c r="A790" s="28">
        <v>3423470317527</v>
      </c>
      <c r="B790" s="29" t="s">
        <v>4121</v>
      </c>
      <c r="C790" s="30" t="s">
        <v>234</v>
      </c>
      <c r="D790" s="31" t="s">
        <v>4122</v>
      </c>
      <c r="E790" s="51">
        <v>45.58</v>
      </c>
      <c r="F790" s="32" t="s">
        <v>13</v>
      </c>
      <c r="G790" s="32" t="s">
        <v>7210</v>
      </c>
      <c r="H790" s="12"/>
      <c r="I790" s="11">
        <f>Table1[[#This Row],[Qty]]*Table1[[#This Row],[Price]]</f>
        <v>0</v>
      </c>
    </row>
    <row r="791" spans="1:9" ht="13.5" customHeight="1" x14ac:dyDescent="0.25">
      <c r="A791" s="28">
        <v>8435415102537</v>
      </c>
      <c r="B791" s="29" t="s">
        <v>4179</v>
      </c>
      <c r="C791" s="30" t="s">
        <v>234</v>
      </c>
      <c r="D791" s="31" t="s">
        <v>4180</v>
      </c>
      <c r="E791" s="51">
        <v>84.87</v>
      </c>
      <c r="F791" s="32" t="s">
        <v>13</v>
      </c>
      <c r="G791" s="32" t="s">
        <v>7232</v>
      </c>
      <c r="H791" s="22"/>
      <c r="I791" s="11">
        <f>Table1[[#This Row],[Qty]]*Table1[[#This Row],[Price]]</f>
        <v>0</v>
      </c>
    </row>
    <row r="792" spans="1:9" ht="13.5" customHeight="1" x14ac:dyDescent="0.25">
      <c r="A792" s="28">
        <v>8435415050760</v>
      </c>
      <c r="B792" s="29" t="s">
        <v>4222</v>
      </c>
      <c r="C792" s="30" t="s">
        <v>234</v>
      </c>
      <c r="D792" s="31" t="s">
        <v>4223</v>
      </c>
      <c r="E792" s="51">
        <v>74.66</v>
      </c>
      <c r="F792" s="32" t="s">
        <v>13</v>
      </c>
      <c r="G792" s="32" t="s">
        <v>7247</v>
      </c>
      <c r="H792" s="22"/>
      <c r="I792" s="11">
        <f>Table1[[#This Row],[Qty]]*Table1[[#This Row],[Price]]</f>
        <v>0</v>
      </c>
    </row>
    <row r="793" spans="1:9" ht="13.5" customHeight="1" x14ac:dyDescent="0.25">
      <c r="A793" s="28">
        <v>8435415012669</v>
      </c>
      <c r="B793" s="29" t="s">
        <v>4242</v>
      </c>
      <c r="C793" s="30" t="s">
        <v>234</v>
      </c>
      <c r="D793" s="31" t="s">
        <v>4243</v>
      </c>
      <c r="E793" s="51">
        <v>62</v>
      </c>
      <c r="F793" s="32" t="s">
        <v>13</v>
      </c>
      <c r="G793" s="32" t="s">
        <v>7255</v>
      </c>
      <c r="H793" s="22"/>
      <c r="I793" s="11">
        <f>Table1[[#This Row],[Qty]]*Table1[[#This Row],[Price]]</f>
        <v>0</v>
      </c>
    </row>
    <row r="794" spans="1:9" ht="13.5" customHeight="1" x14ac:dyDescent="0.25">
      <c r="A794" s="28">
        <v>5050456080304</v>
      </c>
      <c r="B794" s="29" t="s">
        <v>3999</v>
      </c>
      <c r="C794" s="33" t="s">
        <v>1619</v>
      </c>
      <c r="D794" s="31" t="s">
        <v>4000</v>
      </c>
      <c r="E794" s="51">
        <v>18.399999999999999</v>
      </c>
      <c r="F794" s="32" t="s">
        <v>13</v>
      </c>
      <c r="G794" s="32" t="s">
        <v>7159</v>
      </c>
      <c r="H794" s="22"/>
      <c r="I794" s="11">
        <f>Table1[[#This Row],[Qty]]*Table1[[#This Row],[Price]]</f>
        <v>0</v>
      </c>
    </row>
    <row r="795" spans="1:9" ht="13.5" customHeight="1" x14ac:dyDescent="0.25">
      <c r="A795" s="28">
        <v>5050456110018</v>
      </c>
      <c r="B795" s="29" t="s">
        <v>4091</v>
      </c>
      <c r="C795" s="30" t="s">
        <v>1619</v>
      </c>
      <c r="D795" s="31" t="s">
        <v>4092</v>
      </c>
      <c r="E795" s="51">
        <v>12.8</v>
      </c>
      <c r="F795" s="32" t="s">
        <v>13</v>
      </c>
      <c r="G795" s="32" t="s">
        <v>7198</v>
      </c>
      <c r="H795" s="12"/>
      <c r="I795" s="11">
        <f>Table1[[#This Row],[Qty]]*Table1[[#This Row],[Price]]</f>
        <v>0</v>
      </c>
    </row>
    <row r="796" spans="1:9" ht="13.5" customHeight="1" x14ac:dyDescent="0.25">
      <c r="A796" s="28">
        <v>8431754502519</v>
      </c>
      <c r="B796" s="29" t="s">
        <v>4250</v>
      </c>
      <c r="C796" s="30" t="s">
        <v>845</v>
      </c>
      <c r="D796" s="31" t="s">
        <v>4251</v>
      </c>
      <c r="E796" s="51">
        <v>17.21</v>
      </c>
      <c r="F796" s="32" t="s">
        <v>13</v>
      </c>
      <c r="G796" s="32" t="s">
        <v>7259</v>
      </c>
      <c r="H796" s="12"/>
      <c r="I796" s="11">
        <f>Table1[[#This Row],[Qty]]*Table1[[#This Row],[Price]]</f>
        <v>0</v>
      </c>
    </row>
    <row r="797" spans="1:9" ht="13.5" customHeight="1" x14ac:dyDescent="0.25">
      <c r="A797" s="28">
        <v>850051043316</v>
      </c>
      <c r="B797" s="29" t="s">
        <v>51</v>
      </c>
      <c r="C797" s="30" t="s">
        <v>52</v>
      </c>
      <c r="D797" s="31" t="s">
        <v>53</v>
      </c>
      <c r="E797" s="51">
        <v>51</v>
      </c>
      <c r="F797" s="32" t="s">
        <v>13</v>
      </c>
      <c r="G797" s="32" t="s">
        <v>5621</v>
      </c>
      <c r="H797" s="12"/>
      <c r="I797" s="11">
        <f>Table1[[#This Row],[Qty]]*Table1[[#This Row],[Price]]</f>
        <v>0</v>
      </c>
    </row>
    <row r="798" spans="1:9" ht="13.5" customHeight="1" x14ac:dyDescent="0.25">
      <c r="A798" s="28">
        <v>850051043026</v>
      </c>
      <c r="B798" s="29" t="s">
        <v>54</v>
      </c>
      <c r="C798" s="30" t="s">
        <v>52</v>
      </c>
      <c r="D798" s="31" t="s">
        <v>55</v>
      </c>
      <c r="E798" s="51">
        <v>51</v>
      </c>
      <c r="F798" s="32" t="s">
        <v>13</v>
      </c>
      <c r="G798" s="32" t="s">
        <v>5622</v>
      </c>
      <c r="H798" s="22"/>
      <c r="I798" s="11">
        <f>Table1[[#This Row],[Qty]]*Table1[[#This Row],[Price]]</f>
        <v>0</v>
      </c>
    </row>
    <row r="799" spans="1:9" ht="13.5" customHeight="1" x14ac:dyDescent="0.25">
      <c r="A799" s="28">
        <v>850051043002</v>
      </c>
      <c r="B799" s="29" t="s">
        <v>59</v>
      </c>
      <c r="C799" s="30" t="s">
        <v>52</v>
      </c>
      <c r="D799" s="31" t="s">
        <v>60</v>
      </c>
      <c r="E799" s="51">
        <v>49.5</v>
      </c>
      <c r="F799" s="32" t="s">
        <v>13</v>
      </c>
      <c r="G799" s="32" t="s">
        <v>5624</v>
      </c>
      <c r="H799" s="22"/>
      <c r="I799" s="11">
        <f>Table1[[#This Row],[Qty]]*Table1[[#This Row],[Price]]</f>
        <v>0</v>
      </c>
    </row>
    <row r="800" spans="1:9" ht="13.5" customHeight="1" x14ac:dyDescent="0.25">
      <c r="A800" s="28">
        <v>850051043477</v>
      </c>
      <c r="B800" s="29" t="s">
        <v>79</v>
      </c>
      <c r="C800" s="33" t="s">
        <v>52</v>
      </c>
      <c r="D800" s="31" t="s">
        <v>80</v>
      </c>
      <c r="E800" s="51">
        <v>59.5</v>
      </c>
      <c r="F800" s="32" t="s">
        <v>13</v>
      </c>
      <c r="G800" s="32" t="s">
        <v>5632</v>
      </c>
      <c r="H800" s="22"/>
      <c r="I800" s="11">
        <f>Table1[[#This Row],[Qty]]*Table1[[#This Row],[Price]]</f>
        <v>0</v>
      </c>
    </row>
    <row r="801" spans="1:9" ht="13.5" customHeight="1" x14ac:dyDescent="0.25">
      <c r="A801" s="28">
        <v>6970833588867</v>
      </c>
      <c r="B801" s="29" t="s">
        <v>960</v>
      </c>
      <c r="C801" s="30" t="s">
        <v>52</v>
      </c>
      <c r="D801" s="31" t="s">
        <v>961</v>
      </c>
      <c r="E801" s="51">
        <v>45</v>
      </c>
      <c r="F801" s="32" t="s">
        <v>13</v>
      </c>
      <c r="G801" s="32" t="s">
        <v>5739</v>
      </c>
      <c r="H801" s="22"/>
      <c r="I801" s="11">
        <f>Table1[[#This Row],[Qty]]*Table1[[#This Row],[Price]]</f>
        <v>0</v>
      </c>
    </row>
    <row r="802" spans="1:9" ht="13.5" customHeight="1" x14ac:dyDescent="0.25">
      <c r="A802" s="28">
        <v>850051043040</v>
      </c>
      <c r="B802" s="29" t="s">
        <v>3908</v>
      </c>
      <c r="C802" s="30" t="s">
        <v>52</v>
      </c>
      <c r="D802" s="31" t="s">
        <v>3909</v>
      </c>
      <c r="E802" s="51">
        <v>54.5</v>
      </c>
      <c r="F802" s="32" t="s">
        <v>13</v>
      </c>
      <c r="G802" s="32" t="s">
        <v>7123</v>
      </c>
      <c r="H802" s="12"/>
      <c r="I802" s="11">
        <f>Table1[[#This Row],[Qty]]*Table1[[#This Row],[Price]]</f>
        <v>0</v>
      </c>
    </row>
    <row r="803" spans="1:9" ht="13.5" customHeight="1" x14ac:dyDescent="0.25">
      <c r="A803" s="28">
        <v>850051043071</v>
      </c>
      <c r="B803" s="29" t="s">
        <v>3943</v>
      </c>
      <c r="C803" s="30" t="s">
        <v>52</v>
      </c>
      <c r="D803" s="31" t="s">
        <v>3944</v>
      </c>
      <c r="E803" s="51">
        <v>54.5</v>
      </c>
      <c r="F803" s="32" t="s">
        <v>13</v>
      </c>
      <c r="G803" s="32" t="s">
        <v>7138</v>
      </c>
      <c r="H803" s="12"/>
      <c r="I803" s="11">
        <f>Table1[[#This Row],[Qty]]*Table1[[#This Row],[Price]]</f>
        <v>0</v>
      </c>
    </row>
    <row r="804" spans="1:9" ht="13.5" customHeight="1" x14ac:dyDescent="0.25">
      <c r="A804" s="28">
        <v>850062582019</v>
      </c>
      <c r="B804" s="29" t="s">
        <v>4009</v>
      </c>
      <c r="C804" s="30" t="s">
        <v>52</v>
      </c>
      <c r="D804" s="31" t="s">
        <v>4010</v>
      </c>
      <c r="E804" s="51">
        <v>19.21</v>
      </c>
      <c r="F804" s="32" t="s">
        <v>13</v>
      </c>
      <c r="G804" s="32" t="s">
        <v>7163</v>
      </c>
      <c r="H804" s="22"/>
      <c r="I804" s="11">
        <f>Table1[[#This Row],[Qty]]*Table1[[#This Row],[Price]]</f>
        <v>0</v>
      </c>
    </row>
    <row r="805" spans="1:9" ht="13.5" customHeight="1" x14ac:dyDescent="0.25">
      <c r="A805" s="28">
        <v>3274872384064</v>
      </c>
      <c r="B805" s="29" t="s">
        <v>3906</v>
      </c>
      <c r="C805" s="30" t="s">
        <v>1041</v>
      </c>
      <c r="D805" s="31" t="s">
        <v>3907</v>
      </c>
      <c r="E805" s="51">
        <v>29</v>
      </c>
      <c r="F805" s="32" t="s">
        <v>13</v>
      </c>
      <c r="G805" s="32" t="s">
        <v>7122</v>
      </c>
      <c r="H805" s="12"/>
      <c r="I805" s="11">
        <f>Table1[[#This Row],[Qty]]*Table1[[#This Row],[Price]]</f>
        <v>0</v>
      </c>
    </row>
    <row r="806" spans="1:9" ht="13.5" customHeight="1" x14ac:dyDescent="0.25">
      <c r="A806" s="28">
        <v>6290362345817</v>
      </c>
      <c r="B806" s="29" t="s">
        <v>21</v>
      </c>
      <c r="C806" s="30" t="s">
        <v>22</v>
      </c>
      <c r="D806" s="31" t="s">
        <v>23</v>
      </c>
      <c r="E806" s="51">
        <v>14</v>
      </c>
      <c r="F806" s="32" t="s">
        <v>13</v>
      </c>
      <c r="G806" s="32" t="s">
        <v>5609</v>
      </c>
      <c r="H806" s="22"/>
      <c r="I806" s="11">
        <f>Table1[[#This Row],[Qty]]*Table1[[#This Row],[Price]]</f>
        <v>0</v>
      </c>
    </row>
    <row r="807" spans="1:9" ht="13.5" customHeight="1" x14ac:dyDescent="0.25">
      <c r="A807" s="28">
        <v>6290360598901</v>
      </c>
      <c r="B807" s="29" t="s">
        <v>26</v>
      </c>
      <c r="C807" s="30" t="s">
        <v>22</v>
      </c>
      <c r="D807" s="31" t="s">
        <v>27</v>
      </c>
      <c r="E807" s="51">
        <v>16.2</v>
      </c>
      <c r="F807" s="32" t="s">
        <v>13</v>
      </c>
      <c r="G807" s="32" t="s">
        <v>5611</v>
      </c>
      <c r="H807" s="12"/>
      <c r="I807" s="11">
        <f>Table1[[#This Row],[Qty]]*Table1[[#This Row],[Price]]</f>
        <v>0</v>
      </c>
    </row>
    <row r="808" spans="1:9" ht="13.5" customHeight="1" x14ac:dyDescent="0.25">
      <c r="A808" s="28">
        <v>6291108736937</v>
      </c>
      <c r="B808" s="29" t="s">
        <v>28</v>
      </c>
      <c r="C808" s="30" t="s">
        <v>22</v>
      </c>
      <c r="D808" s="31" t="s">
        <v>29</v>
      </c>
      <c r="E808" s="51">
        <v>18</v>
      </c>
      <c r="F808" s="32" t="s">
        <v>13</v>
      </c>
      <c r="G808" s="32" t="s">
        <v>7522</v>
      </c>
      <c r="H808" s="22"/>
      <c r="I808" s="11">
        <f>Table1[[#This Row],[Qty]]*Table1[[#This Row],[Price]]</f>
        <v>0</v>
      </c>
    </row>
    <row r="809" spans="1:9" ht="13.5" customHeight="1" x14ac:dyDescent="0.25">
      <c r="A809" s="28">
        <v>6290360592039</v>
      </c>
      <c r="B809" s="29" t="s">
        <v>30</v>
      </c>
      <c r="C809" s="30" t="s">
        <v>22</v>
      </c>
      <c r="D809" s="31" t="s">
        <v>31</v>
      </c>
      <c r="E809" s="51">
        <v>17</v>
      </c>
      <c r="F809" s="32" t="s">
        <v>13</v>
      </c>
      <c r="G809" s="32" t="s">
        <v>5612</v>
      </c>
      <c r="H809" s="22"/>
      <c r="I809" s="11">
        <f>Table1[[#This Row],[Qty]]*Table1[[#This Row],[Price]]</f>
        <v>0</v>
      </c>
    </row>
    <row r="810" spans="1:9" ht="13.5" customHeight="1" x14ac:dyDescent="0.25">
      <c r="A810" s="28">
        <v>6290362349938</v>
      </c>
      <c r="B810" s="29" t="s">
        <v>32</v>
      </c>
      <c r="C810" s="30" t="s">
        <v>22</v>
      </c>
      <c r="D810" s="31" t="s">
        <v>33</v>
      </c>
      <c r="E810" s="51">
        <v>10.25</v>
      </c>
      <c r="F810" s="32" t="s">
        <v>13</v>
      </c>
      <c r="G810" s="32" t="s">
        <v>5613</v>
      </c>
      <c r="H810" s="12"/>
      <c r="I810" s="11">
        <f>Table1[[#This Row],[Qty]]*Table1[[#This Row],[Price]]</f>
        <v>0</v>
      </c>
    </row>
    <row r="811" spans="1:9" ht="13.5" customHeight="1" x14ac:dyDescent="0.25">
      <c r="A811" s="28">
        <v>6290362348085</v>
      </c>
      <c r="B811" s="29" t="s">
        <v>34</v>
      </c>
      <c r="C811" s="30" t="s">
        <v>22</v>
      </c>
      <c r="D811" s="31" t="s">
        <v>35</v>
      </c>
      <c r="E811" s="51">
        <v>14</v>
      </c>
      <c r="F811" s="32" t="s">
        <v>13</v>
      </c>
      <c r="G811" s="32" t="s">
        <v>5614</v>
      </c>
      <c r="H811" s="12"/>
      <c r="I811" s="11">
        <f>Table1[[#This Row],[Qty]]*Table1[[#This Row],[Price]]</f>
        <v>0</v>
      </c>
    </row>
    <row r="812" spans="1:9" ht="13.5" customHeight="1" x14ac:dyDescent="0.25">
      <c r="A812" s="28">
        <v>6290362349648</v>
      </c>
      <c r="B812" s="29" t="s">
        <v>38</v>
      </c>
      <c r="C812" s="30" t="s">
        <v>22</v>
      </c>
      <c r="D812" s="31" t="s">
        <v>39</v>
      </c>
      <c r="E812" s="51">
        <v>22</v>
      </c>
      <c r="F812" s="32" t="s">
        <v>13</v>
      </c>
      <c r="G812" s="32" t="s">
        <v>5616</v>
      </c>
      <c r="H812" s="22"/>
      <c r="I812" s="11">
        <f>Table1[[#This Row],[Qty]]*Table1[[#This Row],[Price]]</f>
        <v>0</v>
      </c>
    </row>
    <row r="813" spans="1:9" ht="13.5" customHeight="1" x14ac:dyDescent="0.25">
      <c r="A813" s="28">
        <v>6290360591964</v>
      </c>
      <c r="B813" s="29" t="s">
        <v>61</v>
      </c>
      <c r="C813" s="30" t="s">
        <v>22</v>
      </c>
      <c r="D813" s="31" t="s">
        <v>62</v>
      </c>
      <c r="E813" s="51">
        <v>22</v>
      </c>
      <c r="F813" s="32" t="s">
        <v>13</v>
      </c>
      <c r="G813" s="32" t="s">
        <v>5625</v>
      </c>
      <c r="H813" s="12"/>
      <c r="I813" s="11">
        <f>Table1[[#This Row],[Qty]]*Table1[[#This Row],[Price]]</f>
        <v>0</v>
      </c>
    </row>
    <row r="814" spans="1:9" ht="13.5" customHeight="1" x14ac:dyDescent="0.25">
      <c r="A814" s="28">
        <v>6290360592763</v>
      </c>
      <c r="B814" s="29" t="s">
        <v>77</v>
      </c>
      <c r="C814" s="30" t="s">
        <v>22</v>
      </c>
      <c r="D814" s="31" t="s">
        <v>78</v>
      </c>
      <c r="E814" s="51">
        <v>14.95</v>
      </c>
      <c r="F814" s="32" t="s">
        <v>13</v>
      </c>
      <c r="G814" s="32" t="s">
        <v>5631</v>
      </c>
      <c r="H814" s="22"/>
      <c r="I814" s="11">
        <f>Table1[[#This Row],[Qty]]*Table1[[#This Row],[Price]]</f>
        <v>0</v>
      </c>
    </row>
    <row r="815" spans="1:9" ht="13.5" customHeight="1" x14ac:dyDescent="0.25">
      <c r="A815" s="28">
        <v>6290360592800</v>
      </c>
      <c r="B815" s="29" t="s">
        <v>85</v>
      </c>
      <c r="C815" s="30" t="s">
        <v>22</v>
      </c>
      <c r="D815" s="31" t="s">
        <v>86</v>
      </c>
      <c r="E815" s="51">
        <v>14</v>
      </c>
      <c r="F815" s="32" t="s">
        <v>13</v>
      </c>
      <c r="G815" s="32" t="s">
        <v>5635</v>
      </c>
      <c r="H815" s="12"/>
      <c r="I815" s="11">
        <f>Table1[[#This Row],[Qty]]*Table1[[#This Row],[Price]]</f>
        <v>0</v>
      </c>
    </row>
    <row r="816" spans="1:9" ht="13.5" customHeight="1" x14ac:dyDescent="0.25">
      <c r="A816" s="28">
        <v>6290360591544</v>
      </c>
      <c r="B816" s="29" t="s">
        <v>116</v>
      </c>
      <c r="C816" s="30" t="s">
        <v>22</v>
      </c>
      <c r="D816" s="31" t="s">
        <v>117</v>
      </c>
      <c r="E816" s="51">
        <v>14</v>
      </c>
      <c r="F816" s="32" t="s">
        <v>13</v>
      </c>
      <c r="G816" s="32" t="s">
        <v>5647</v>
      </c>
      <c r="H816" s="12"/>
      <c r="I816" s="11">
        <f>Table1[[#This Row],[Qty]]*Table1[[#This Row],[Price]]</f>
        <v>0</v>
      </c>
    </row>
    <row r="817" spans="1:9" ht="13.5" customHeight="1" x14ac:dyDescent="0.25">
      <c r="A817" s="28">
        <v>6290362340270</v>
      </c>
      <c r="B817" s="29" t="s">
        <v>122</v>
      </c>
      <c r="C817" s="30" t="s">
        <v>22</v>
      </c>
      <c r="D817" s="31" t="s">
        <v>123</v>
      </c>
      <c r="E817" s="51">
        <v>15</v>
      </c>
      <c r="F817" s="32" t="s">
        <v>13</v>
      </c>
      <c r="G817" s="32" t="s">
        <v>5650</v>
      </c>
      <c r="H817" s="12"/>
      <c r="I817" s="11">
        <f>Table1[[#This Row],[Qty]]*Table1[[#This Row],[Price]]</f>
        <v>0</v>
      </c>
    </row>
    <row r="818" spans="1:9" ht="13.5" customHeight="1" x14ac:dyDescent="0.25">
      <c r="A818" s="28">
        <v>6290360592718</v>
      </c>
      <c r="B818" s="29" t="s">
        <v>4151</v>
      </c>
      <c r="C818" s="33" t="s">
        <v>22</v>
      </c>
      <c r="D818" s="31" t="s">
        <v>4152</v>
      </c>
      <c r="E818" s="51">
        <v>12</v>
      </c>
      <c r="F818" s="32" t="s">
        <v>13</v>
      </c>
      <c r="G818" s="32" t="s">
        <v>5729</v>
      </c>
      <c r="H818" s="22"/>
      <c r="I818" s="11">
        <f>Table1[[#This Row],[Qty]]*Table1[[#This Row],[Price]]</f>
        <v>0</v>
      </c>
    </row>
    <row r="819" spans="1:9" ht="13.5" customHeight="1" x14ac:dyDescent="0.25">
      <c r="A819" s="28">
        <v>6290360599090</v>
      </c>
      <c r="B819" s="29" t="s">
        <v>4218</v>
      </c>
      <c r="C819" s="30" t="s">
        <v>22</v>
      </c>
      <c r="D819" s="31" t="s">
        <v>4219</v>
      </c>
      <c r="E819" s="51">
        <v>13</v>
      </c>
      <c r="F819" s="32" t="s">
        <v>13</v>
      </c>
      <c r="G819" s="32" t="s">
        <v>5730</v>
      </c>
      <c r="H819" s="12"/>
      <c r="I819" s="11">
        <f>Table1[[#This Row],[Qty]]*Table1[[#This Row],[Price]]</f>
        <v>0</v>
      </c>
    </row>
    <row r="820" spans="1:9" ht="13.5" customHeight="1" x14ac:dyDescent="0.25">
      <c r="A820" s="28">
        <v>6290362344506</v>
      </c>
      <c r="B820" s="29" t="s">
        <v>4093</v>
      </c>
      <c r="C820" s="30" t="s">
        <v>22</v>
      </c>
      <c r="D820" s="31" t="s">
        <v>4094</v>
      </c>
      <c r="E820" s="51">
        <v>15</v>
      </c>
      <c r="F820" s="32" t="s">
        <v>13</v>
      </c>
      <c r="G820" s="32" t="s">
        <v>5734</v>
      </c>
      <c r="H820" s="12"/>
      <c r="I820" s="11">
        <f>Table1[[#This Row],[Qty]]*Table1[[#This Row],[Price]]</f>
        <v>0</v>
      </c>
    </row>
    <row r="821" spans="1:9" ht="13.5" customHeight="1" x14ac:dyDescent="0.25">
      <c r="A821" s="28">
        <v>6290360591971</v>
      </c>
      <c r="B821" s="29" t="s">
        <v>4077</v>
      </c>
      <c r="C821" s="30" t="s">
        <v>22</v>
      </c>
      <c r="D821" s="31" t="s">
        <v>4078</v>
      </c>
      <c r="E821" s="51">
        <v>20</v>
      </c>
      <c r="F821" s="32" t="s">
        <v>13</v>
      </c>
      <c r="G821" s="32" t="s">
        <v>5735</v>
      </c>
      <c r="H821" s="12"/>
      <c r="I821" s="11">
        <f>Table1[[#This Row],[Qty]]*Table1[[#This Row],[Price]]</f>
        <v>0</v>
      </c>
    </row>
    <row r="822" spans="1:9" ht="13.5" customHeight="1" x14ac:dyDescent="0.25">
      <c r="A822" s="28">
        <v>6290360598956</v>
      </c>
      <c r="B822" s="29" t="s">
        <v>4169</v>
      </c>
      <c r="C822" s="30" t="s">
        <v>22</v>
      </c>
      <c r="D822" s="31" t="s">
        <v>4170</v>
      </c>
      <c r="E822" s="51">
        <v>20</v>
      </c>
      <c r="F822" s="32" t="s">
        <v>13</v>
      </c>
      <c r="G822" s="32" t="s">
        <v>5737</v>
      </c>
      <c r="H822" s="22"/>
      <c r="I822" s="11">
        <f>Table1[[#This Row],[Qty]]*Table1[[#This Row],[Price]]</f>
        <v>0</v>
      </c>
    </row>
    <row r="823" spans="1:9" ht="13.5" customHeight="1" x14ac:dyDescent="0.25">
      <c r="A823" s="28">
        <v>6291107451527</v>
      </c>
      <c r="B823" s="29" t="s">
        <v>4165</v>
      </c>
      <c r="C823" s="30" t="s">
        <v>22</v>
      </c>
      <c r="D823" s="31" t="s">
        <v>4166</v>
      </c>
      <c r="E823" s="51">
        <v>8</v>
      </c>
      <c r="F823" s="32" t="s">
        <v>13</v>
      </c>
      <c r="G823" s="32" t="s">
        <v>5741</v>
      </c>
      <c r="H823" s="22"/>
      <c r="I823" s="11">
        <f>Table1[[#This Row],[Qty]]*Table1[[#This Row],[Price]]</f>
        <v>0</v>
      </c>
    </row>
    <row r="824" spans="1:9" ht="13.5" customHeight="1" x14ac:dyDescent="0.25">
      <c r="A824" s="28">
        <v>6290362348061</v>
      </c>
      <c r="B824" s="29" t="s">
        <v>4079</v>
      </c>
      <c r="C824" s="30" t="s">
        <v>22</v>
      </c>
      <c r="D824" s="31" t="s">
        <v>4080</v>
      </c>
      <c r="E824" s="51">
        <v>13</v>
      </c>
      <c r="F824" s="32" t="s">
        <v>13</v>
      </c>
      <c r="G824" s="32" t="s">
        <v>5747</v>
      </c>
      <c r="H824" s="22"/>
      <c r="I824" s="11">
        <f>Table1[[#This Row],[Qty]]*Table1[[#This Row],[Price]]</f>
        <v>0</v>
      </c>
    </row>
    <row r="825" spans="1:9" ht="13.5" customHeight="1" x14ac:dyDescent="0.25">
      <c r="A825" s="28">
        <v>6291108730362</v>
      </c>
      <c r="B825" s="29" t="s">
        <v>4005</v>
      </c>
      <c r="C825" s="30" t="s">
        <v>22</v>
      </c>
      <c r="D825" s="31" t="s">
        <v>4006</v>
      </c>
      <c r="E825" s="51">
        <v>12</v>
      </c>
      <c r="F825" s="32" t="s">
        <v>13</v>
      </c>
      <c r="G825" s="32" t="s">
        <v>5749</v>
      </c>
      <c r="H825" s="12"/>
      <c r="I825" s="11">
        <f>Table1[[#This Row],[Qty]]*Table1[[#This Row],[Price]]</f>
        <v>0</v>
      </c>
    </row>
    <row r="826" spans="1:9" ht="13.5" customHeight="1" x14ac:dyDescent="0.25">
      <c r="A826" s="28">
        <v>6291108738306</v>
      </c>
      <c r="B826" s="29" t="s">
        <v>3961</v>
      </c>
      <c r="C826" s="30" t="s">
        <v>22</v>
      </c>
      <c r="D826" s="31" t="s">
        <v>3962</v>
      </c>
      <c r="E826" s="51">
        <v>17</v>
      </c>
      <c r="F826" s="32" t="s">
        <v>13</v>
      </c>
      <c r="G826" s="32" t="s">
        <v>5758</v>
      </c>
      <c r="H826" s="12"/>
      <c r="I826" s="11">
        <f>Table1[[#This Row],[Qty]]*Table1[[#This Row],[Price]]</f>
        <v>0</v>
      </c>
    </row>
    <row r="827" spans="1:9" ht="13.5" customHeight="1" x14ac:dyDescent="0.25">
      <c r="A827" s="28">
        <v>6291106066319</v>
      </c>
      <c r="B827" s="29" t="s">
        <v>3993</v>
      </c>
      <c r="C827" s="30" t="s">
        <v>22</v>
      </c>
      <c r="D827" s="31" t="s">
        <v>3994</v>
      </c>
      <c r="E827" s="51">
        <v>10.61</v>
      </c>
      <c r="F827" s="32" t="s">
        <v>13</v>
      </c>
      <c r="G827" s="32" t="s">
        <v>7156</v>
      </c>
      <c r="H827" s="22"/>
      <c r="I827" s="11">
        <f>Table1[[#This Row],[Qty]]*Table1[[#This Row],[Price]]</f>
        <v>0</v>
      </c>
    </row>
    <row r="828" spans="1:9" ht="13.5" customHeight="1" x14ac:dyDescent="0.25">
      <c r="A828" s="28">
        <v>6291108736548</v>
      </c>
      <c r="B828" s="29" t="s">
        <v>4026</v>
      </c>
      <c r="C828" s="30" t="s">
        <v>22</v>
      </c>
      <c r="D828" s="31" t="s">
        <v>4027</v>
      </c>
      <c r="E828" s="51">
        <v>11.83</v>
      </c>
      <c r="F828" s="32" t="s">
        <v>13</v>
      </c>
      <c r="G828" s="32" t="s">
        <v>7172</v>
      </c>
      <c r="H828" s="22"/>
      <c r="I828" s="11">
        <f>Table1[[#This Row],[Qty]]*Table1[[#This Row],[Price]]</f>
        <v>0</v>
      </c>
    </row>
    <row r="829" spans="1:9" ht="13.5" customHeight="1" x14ac:dyDescent="0.25">
      <c r="A829" s="28">
        <v>6291108738290</v>
      </c>
      <c r="B829" s="29" t="s">
        <v>4028</v>
      </c>
      <c r="C829" s="30" t="s">
        <v>22</v>
      </c>
      <c r="D829" s="31" t="s">
        <v>4029</v>
      </c>
      <c r="E829" s="51">
        <v>17.07</v>
      </c>
      <c r="F829" s="32" t="s">
        <v>13</v>
      </c>
      <c r="G829" s="32" t="s">
        <v>7173</v>
      </c>
      <c r="H829" s="22"/>
      <c r="I829" s="11">
        <f>Table1[[#This Row],[Qty]]*Table1[[#This Row],[Price]]</f>
        <v>0</v>
      </c>
    </row>
    <row r="830" spans="1:9" ht="13.5" customHeight="1" x14ac:dyDescent="0.25">
      <c r="A830" s="48">
        <v>6291106069037</v>
      </c>
      <c r="B830" s="41" t="s">
        <v>4046</v>
      </c>
      <c r="C830" s="6" t="s">
        <v>22</v>
      </c>
      <c r="D830" t="s">
        <v>4047</v>
      </c>
      <c r="E830" s="52">
        <v>8.5500000000000007</v>
      </c>
      <c r="F830" s="49" t="s">
        <v>13</v>
      </c>
      <c r="G830" s="49" t="s">
        <v>7180</v>
      </c>
      <c r="H830" s="22"/>
      <c r="I830" s="11">
        <f>Table1[[#This Row],[Qty]]*Table1[[#This Row],[Price]]</f>
        <v>0</v>
      </c>
    </row>
    <row r="831" spans="1:9" ht="13.5" customHeight="1" x14ac:dyDescent="0.25">
      <c r="A831" s="28">
        <v>6291108737101</v>
      </c>
      <c r="B831" s="29" t="s">
        <v>4097</v>
      </c>
      <c r="C831" s="30" t="s">
        <v>22</v>
      </c>
      <c r="D831" s="31" t="s">
        <v>4098</v>
      </c>
      <c r="E831" s="51">
        <v>10.36</v>
      </c>
      <c r="F831" s="32" t="s">
        <v>13</v>
      </c>
      <c r="G831" s="32" t="s">
        <v>7200</v>
      </c>
      <c r="H831" s="12"/>
      <c r="I831" s="11">
        <f>Table1[[#This Row],[Qty]]*Table1[[#This Row],[Price]]</f>
        <v>0</v>
      </c>
    </row>
    <row r="832" spans="1:9" ht="13.5" customHeight="1" x14ac:dyDescent="0.25">
      <c r="A832" s="28">
        <v>6290362346135</v>
      </c>
      <c r="B832" s="29" t="s">
        <v>4137</v>
      </c>
      <c r="C832" s="30" t="s">
        <v>22</v>
      </c>
      <c r="D832" s="31" t="s">
        <v>4138</v>
      </c>
      <c r="E832" s="51">
        <v>23.67</v>
      </c>
      <c r="F832" s="32" t="s">
        <v>13</v>
      </c>
      <c r="G832" s="32" t="s">
        <v>7216</v>
      </c>
      <c r="H832" s="12"/>
      <c r="I832" s="11">
        <f>Table1[[#This Row],[Qty]]*Table1[[#This Row],[Price]]</f>
        <v>0</v>
      </c>
    </row>
    <row r="833" spans="1:9" ht="13.5" customHeight="1" x14ac:dyDescent="0.25">
      <c r="A833" s="28">
        <v>6290362349259</v>
      </c>
      <c r="B833" s="29" t="s">
        <v>4147</v>
      </c>
      <c r="C833" s="30" t="s">
        <v>22</v>
      </c>
      <c r="D833" s="31" t="s">
        <v>4148</v>
      </c>
      <c r="E833" s="51">
        <v>28.5</v>
      </c>
      <c r="F833" s="32" t="s">
        <v>13</v>
      </c>
      <c r="G833" s="32" t="s">
        <v>7221</v>
      </c>
      <c r="H833" s="22"/>
      <c r="I833" s="11">
        <f>Table1[[#This Row],[Qty]]*Table1[[#This Row],[Price]]</f>
        <v>0</v>
      </c>
    </row>
    <row r="834" spans="1:9" ht="13.5" customHeight="1" x14ac:dyDescent="0.25">
      <c r="A834" s="28">
        <v>6290362349365</v>
      </c>
      <c r="B834" s="29" t="s">
        <v>4161</v>
      </c>
      <c r="C834" s="30" t="s">
        <v>22</v>
      </c>
      <c r="D834" s="31" t="s">
        <v>4162</v>
      </c>
      <c r="E834" s="51">
        <v>26.62</v>
      </c>
      <c r="F834" s="32" t="s">
        <v>13</v>
      </c>
      <c r="G834" s="32" t="s">
        <v>7226</v>
      </c>
      <c r="H834" s="12"/>
      <c r="I834" s="11">
        <f>Table1[[#This Row],[Qty]]*Table1[[#This Row],[Price]]</f>
        <v>0</v>
      </c>
    </row>
    <row r="835" spans="1:9" ht="13.5" customHeight="1" x14ac:dyDescent="0.25">
      <c r="A835" s="28">
        <v>6290362349334</v>
      </c>
      <c r="B835" s="29" t="s">
        <v>4238</v>
      </c>
      <c r="C835" s="30" t="s">
        <v>22</v>
      </c>
      <c r="D835" s="31" t="s">
        <v>4239</v>
      </c>
      <c r="E835" s="51">
        <v>27.5</v>
      </c>
      <c r="F835" s="32" t="s">
        <v>13</v>
      </c>
      <c r="G835" s="32" t="s">
        <v>7253</v>
      </c>
      <c r="H835" s="12"/>
      <c r="I835" s="11">
        <f>Table1[[#This Row],[Qty]]*Table1[[#This Row],[Price]]</f>
        <v>0</v>
      </c>
    </row>
    <row r="836" spans="1:9" ht="13.5" customHeight="1" x14ac:dyDescent="0.25">
      <c r="A836" s="28">
        <v>6290362347095</v>
      </c>
      <c r="B836" s="29" t="s">
        <v>3142</v>
      </c>
      <c r="C836" s="30" t="s">
        <v>22</v>
      </c>
      <c r="D836" s="31" t="s">
        <v>3143</v>
      </c>
      <c r="E836" s="51">
        <v>24.5</v>
      </c>
      <c r="F836" s="32" t="s">
        <v>13</v>
      </c>
      <c r="G836" s="32" t="s">
        <v>7367</v>
      </c>
      <c r="H836" s="22"/>
      <c r="I836" s="11">
        <f>Table1[[#This Row],[Qty]]*Table1[[#This Row],[Price]]</f>
        <v>0</v>
      </c>
    </row>
    <row r="837" spans="1:9" ht="13.5" customHeight="1" x14ac:dyDescent="0.25">
      <c r="A837" s="28">
        <v>6291106066715</v>
      </c>
      <c r="B837" s="29" t="s">
        <v>490</v>
      </c>
      <c r="C837" s="30" t="s">
        <v>22</v>
      </c>
      <c r="D837" s="31" t="s">
        <v>491</v>
      </c>
      <c r="E837" s="51">
        <v>8.09</v>
      </c>
      <c r="F837" s="32" t="s">
        <v>13</v>
      </c>
      <c r="G837" s="32" t="s">
        <v>7370</v>
      </c>
      <c r="H837" s="22"/>
      <c r="I837" s="11">
        <f>Table1[[#This Row],[Qty]]*Table1[[#This Row],[Price]]</f>
        <v>0</v>
      </c>
    </row>
    <row r="838" spans="1:9" ht="13.5" customHeight="1" x14ac:dyDescent="0.25">
      <c r="A838" s="28">
        <v>3610400000387</v>
      </c>
      <c r="B838" s="29" t="s">
        <v>3379</v>
      </c>
      <c r="C838" s="30" t="s">
        <v>2164</v>
      </c>
      <c r="D838" s="31" t="s">
        <v>3380</v>
      </c>
      <c r="E838" s="51">
        <v>5.25</v>
      </c>
      <c r="F838" s="32" t="s">
        <v>13</v>
      </c>
      <c r="G838" s="32" t="s">
        <v>7366</v>
      </c>
      <c r="H838" s="22"/>
      <c r="I838" s="11">
        <f>Table1[[#This Row],[Qty]]*Table1[[#This Row],[Price]]</f>
        <v>0</v>
      </c>
    </row>
    <row r="839" spans="1:9" ht="13.5" customHeight="1" x14ac:dyDescent="0.25">
      <c r="A839" s="28">
        <v>6290362340621</v>
      </c>
      <c r="B839" s="29" t="s">
        <v>4107</v>
      </c>
      <c r="C839" s="30" t="s">
        <v>46</v>
      </c>
      <c r="D839" s="31" t="s">
        <v>4108</v>
      </c>
      <c r="E839" s="51">
        <v>18.5</v>
      </c>
      <c r="F839" s="32" t="s">
        <v>13</v>
      </c>
      <c r="G839" s="32" t="s">
        <v>7204</v>
      </c>
      <c r="H839" s="12"/>
      <c r="I839" s="11">
        <f>Table1[[#This Row],[Qty]]*Table1[[#This Row],[Price]]</f>
        <v>0</v>
      </c>
    </row>
    <row r="840" spans="1:9" ht="13.5" customHeight="1" x14ac:dyDescent="0.25">
      <c r="A840" s="28">
        <v>6290362340546</v>
      </c>
      <c r="B840" s="29" t="s">
        <v>4141</v>
      </c>
      <c r="C840" s="30" t="s">
        <v>46</v>
      </c>
      <c r="D840" s="31" t="s">
        <v>4142</v>
      </c>
      <c r="E840" s="51">
        <v>16.25</v>
      </c>
      <c r="F840" s="32" t="s">
        <v>13</v>
      </c>
      <c r="G840" s="32" t="s">
        <v>7218</v>
      </c>
      <c r="H840" s="12"/>
      <c r="I840" s="11">
        <f>Table1[[#This Row],[Qty]]*Table1[[#This Row],[Price]]</f>
        <v>0</v>
      </c>
    </row>
    <row r="841" spans="1:9" ht="13.5" customHeight="1" x14ac:dyDescent="0.25">
      <c r="A841" s="28">
        <v>6291108735428</v>
      </c>
      <c r="B841" s="29" t="s">
        <v>4246</v>
      </c>
      <c r="C841" s="30" t="s">
        <v>46</v>
      </c>
      <c r="D841" s="31" t="s">
        <v>4247</v>
      </c>
      <c r="E841" s="51">
        <v>10.1</v>
      </c>
      <c r="F841" s="32" t="s">
        <v>13</v>
      </c>
      <c r="G841" s="32" t="s">
        <v>7257</v>
      </c>
      <c r="H841" s="12"/>
      <c r="I841" s="11">
        <f>Table1[[#This Row],[Qty]]*Table1[[#This Row],[Price]]</f>
        <v>0</v>
      </c>
    </row>
    <row r="842" spans="1:9" ht="13.5" customHeight="1" x14ac:dyDescent="0.25">
      <c r="A842" s="28">
        <v>6291107459110</v>
      </c>
      <c r="B842" s="29" t="s">
        <v>2191</v>
      </c>
      <c r="C842" s="30" t="s">
        <v>46</v>
      </c>
      <c r="D842" s="31" t="s">
        <v>2192</v>
      </c>
      <c r="E842" s="51">
        <v>7.5</v>
      </c>
      <c r="F842" s="32" t="s">
        <v>13</v>
      </c>
      <c r="G842" s="32" t="s">
        <v>7377</v>
      </c>
      <c r="H842" s="12"/>
      <c r="I842" s="11">
        <f>Table1[[#This Row],[Qty]]*Table1[[#This Row],[Price]]</f>
        <v>0</v>
      </c>
    </row>
    <row r="843" spans="1:9" ht="13.5" customHeight="1" x14ac:dyDescent="0.25">
      <c r="A843" s="28">
        <v>3605521932464</v>
      </c>
      <c r="B843" s="29" t="s">
        <v>3955</v>
      </c>
      <c r="C843" s="30" t="s">
        <v>1257</v>
      </c>
      <c r="D843" s="31" t="s">
        <v>3956</v>
      </c>
      <c r="E843" s="51">
        <v>63.5</v>
      </c>
      <c r="F843" s="32" t="s">
        <v>13</v>
      </c>
      <c r="G843" s="32" t="s">
        <v>7143</v>
      </c>
      <c r="H843" s="22"/>
      <c r="I843" s="11">
        <f>Table1[[#This Row],[Qty]]*Table1[[#This Row],[Price]]</f>
        <v>0</v>
      </c>
    </row>
    <row r="844" spans="1:9" ht="13.5" customHeight="1" x14ac:dyDescent="0.25">
      <c r="A844" s="28">
        <v>3595471026248</v>
      </c>
      <c r="B844" s="29" t="s">
        <v>3910</v>
      </c>
      <c r="C844" s="30" t="s">
        <v>1527</v>
      </c>
      <c r="D844" s="31" t="s">
        <v>3911</v>
      </c>
      <c r="E844" s="51">
        <v>26.25</v>
      </c>
      <c r="F844" s="32" t="s">
        <v>13</v>
      </c>
      <c r="G844" s="32" t="s">
        <v>7124</v>
      </c>
      <c r="H844" s="12"/>
      <c r="I844" s="11">
        <f>Table1[[#This Row],[Qty]]*Table1[[#This Row],[Price]]</f>
        <v>0</v>
      </c>
    </row>
    <row r="845" spans="1:9" ht="13.5" customHeight="1" x14ac:dyDescent="0.25">
      <c r="A845" s="28">
        <v>3386460074797</v>
      </c>
      <c r="B845" s="29" t="s">
        <v>108</v>
      </c>
      <c r="C845" s="30" t="s">
        <v>109</v>
      </c>
      <c r="D845" s="31" t="s">
        <v>110</v>
      </c>
      <c r="E845" s="51">
        <v>37.700000000000003</v>
      </c>
      <c r="F845" s="32" t="s">
        <v>13</v>
      </c>
      <c r="G845" s="32" t="s">
        <v>5644</v>
      </c>
      <c r="H845" s="22"/>
      <c r="I845" s="11">
        <f>Table1[[#This Row],[Qty]]*Table1[[#This Row],[Price]]</f>
        <v>0</v>
      </c>
    </row>
    <row r="846" spans="1:9" ht="13.5" customHeight="1" x14ac:dyDescent="0.25">
      <c r="A846" s="28">
        <v>3386460032759</v>
      </c>
      <c r="B846" s="29" t="s">
        <v>244</v>
      </c>
      <c r="C846" s="33" t="s">
        <v>109</v>
      </c>
      <c r="D846" s="31" t="s">
        <v>245</v>
      </c>
      <c r="E846" s="51">
        <v>4</v>
      </c>
      <c r="F846" s="32" t="s">
        <v>13</v>
      </c>
      <c r="G846" s="32" t="s">
        <v>5702</v>
      </c>
      <c r="H846" s="22"/>
      <c r="I846" s="11">
        <f>Table1[[#This Row],[Qty]]*Table1[[#This Row],[Price]]</f>
        <v>0</v>
      </c>
    </row>
    <row r="847" spans="1:9" ht="13.5" customHeight="1" x14ac:dyDescent="0.25">
      <c r="A847" s="28">
        <v>3386460154437</v>
      </c>
      <c r="B847" s="29" t="s">
        <v>4193</v>
      </c>
      <c r="C847" s="30" t="s">
        <v>109</v>
      </c>
      <c r="D847" s="31" t="s">
        <v>4194</v>
      </c>
      <c r="E847" s="51">
        <v>44</v>
      </c>
      <c r="F847" s="32" t="s">
        <v>13</v>
      </c>
      <c r="G847" s="32" t="s">
        <v>5755</v>
      </c>
      <c r="H847" s="22"/>
      <c r="I847" s="11">
        <f>Table1[[#This Row],[Qty]]*Table1[[#This Row],[Price]]</f>
        <v>0</v>
      </c>
    </row>
    <row r="848" spans="1:9" ht="13.5" customHeight="1" x14ac:dyDescent="0.25">
      <c r="A848" s="28">
        <v>3386460028394</v>
      </c>
      <c r="B848" s="41" t="s">
        <v>4216</v>
      </c>
      <c r="C848" s="6" t="s">
        <v>109</v>
      </c>
      <c r="D848" t="s">
        <v>4217</v>
      </c>
      <c r="E848" s="52">
        <v>20.51</v>
      </c>
      <c r="F848" s="49" t="s">
        <v>13</v>
      </c>
      <c r="G848" s="49" t="s">
        <v>7245</v>
      </c>
      <c r="H848" s="22"/>
      <c r="I848" s="11">
        <f>Table1[[#This Row],[Qty]]*Table1[[#This Row],[Price]]</f>
        <v>0</v>
      </c>
    </row>
    <row r="849" spans="1:9" ht="13.5" customHeight="1" x14ac:dyDescent="0.25">
      <c r="A849" s="28">
        <v>3386460087940</v>
      </c>
      <c r="B849" s="29" t="s">
        <v>1629</v>
      </c>
      <c r="C849" s="30" t="s">
        <v>109</v>
      </c>
      <c r="D849" s="31" t="s">
        <v>1630</v>
      </c>
      <c r="E849" s="51">
        <v>27.25</v>
      </c>
      <c r="F849" s="32" t="s">
        <v>13</v>
      </c>
      <c r="G849" s="32" t="s">
        <v>7381</v>
      </c>
      <c r="H849" s="22"/>
      <c r="I849" s="11">
        <f>Table1[[#This Row],[Qty]]*Table1[[#This Row],[Price]]</f>
        <v>0</v>
      </c>
    </row>
    <row r="850" spans="1:9" ht="13.5" customHeight="1" x14ac:dyDescent="0.25">
      <c r="A850" s="28">
        <v>8011003992225</v>
      </c>
      <c r="B850" s="29" t="s">
        <v>56</v>
      </c>
      <c r="C850" s="30" t="s">
        <v>57</v>
      </c>
      <c r="D850" s="31" t="s">
        <v>58</v>
      </c>
      <c r="E850" s="51">
        <v>3</v>
      </c>
      <c r="F850" s="32" t="s">
        <v>13</v>
      </c>
      <c r="G850" s="32" t="s">
        <v>5623</v>
      </c>
      <c r="H850" s="22"/>
      <c r="I850" s="11">
        <f>Table1[[#This Row],[Qty]]*Table1[[#This Row],[Price]]</f>
        <v>0</v>
      </c>
    </row>
    <row r="851" spans="1:9" ht="13.5" customHeight="1" x14ac:dyDescent="0.25">
      <c r="A851" s="28">
        <v>8011003061327</v>
      </c>
      <c r="B851" s="29" t="s">
        <v>118</v>
      </c>
      <c r="C851" s="30" t="s">
        <v>57</v>
      </c>
      <c r="D851" s="31" t="s">
        <v>119</v>
      </c>
      <c r="E851" s="51">
        <v>22.8</v>
      </c>
      <c r="F851" s="32" t="s">
        <v>13</v>
      </c>
      <c r="G851" s="32" t="s">
        <v>5648</v>
      </c>
      <c r="H851" s="12"/>
      <c r="I851" s="11">
        <f>Table1[[#This Row],[Qty]]*Table1[[#This Row],[Price]]</f>
        <v>0</v>
      </c>
    </row>
    <row r="852" spans="1:9" ht="13.5" customHeight="1" x14ac:dyDescent="0.25">
      <c r="A852" s="28">
        <v>8011003900176</v>
      </c>
      <c r="B852" s="29" t="s">
        <v>3995</v>
      </c>
      <c r="C852" s="30" t="s">
        <v>57</v>
      </c>
      <c r="D852" s="31" t="s">
        <v>3996</v>
      </c>
      <c r="E852" s="51">
        <v>46.5</v>
      </c>
      <c r="F852" s="32" t="s">
        <v>13</v>
      </c>
      <c r="G852" s="32" t="s">
        <v>7157</v>
      </c>
      <c r="H852" s="22"/>
      <c r="I852" s="11">
        <f>Table1[[#This Row],[Qty]]*Table1[[#This Row],[Price]]</f>
        <v>0</v>
      </c>
    </row>
    <row r="853" spans="1:9" ht="13.5" customHeight="1" x14ac:dyDescent="0.25">
      <c r="A853" s="28">
        <v>8011003064106</v>
      </c>
      <c r="B853" s="29" t="s">
        <v>4117</v>
      </c>
      <c r="C853" s="30" t="s">
        <v>57</v>
      </c>
      <c r="D853" s="31" t="s">
        <v>4118</v>
      </c>
      <c r="E853" s="51">
        <v>16.28</v>
      </c>
      <c r="F853" s="32" t="s">
        <v>13</v>
      </c>
      <c r="G853" s="32" t="s">
        <v>7209</v>
      </c>
      <c r="H853" s="12"/>
      <c r="I853" s="11">
        <f>Table1[[#This Row],[Qty]]*Table1[[#This Row],[Price]]</f>
        <v>0</v>
      </c>
    </row>
    <row r="854" spans="1:9" ht="13.5" customHeight="1" x14ac:dyDescent="0.25">
      <c r="A854" s="28">
        <v>5425017735908</v>
      </c>
      <c r="B854" s="29" t="s">
        <v>4266</v>
      </c>
      <c r="C854" s="30" t="s">
        <v>3393</v>
      </c>
      <c r="D854" s="31" t="s">
        <v>4267</v>
      </c>
      <c r="E854" s="51">
        <v>5.13</v>
      </c>
      <c r="F854" s="32" t="s">
        <v>13</v>
      </c>
      <c r="G854" s="32" t="s">
        <v>7267</v>
      </c>
      <c r="H854" s="12"/>
      <c r="I854" s="11">
        <f>Table1[[#This Row],[Qty]]*Table1[[#This Row],[Price]]</f>
        <v>0</v>
      </c>
    </row>
    <row r="855" spans="1:9" ht="13.5" customHeight="1" x14ac:dyDescent="0.25">
      <c r="A855" s="28">
        <v>5425039220130</v>
      </c>
      <c r="B855" s="29" t="s">
        <v>4268</v>
      </c>
      <c r="C855" s="30" t="s">
        <v>3393</v>
      </c>
      <c r="D855" s="31" t="s">
        <v>4269</v>
      </c>
      <c r="E855" s="51">
        <v>5.13</v>
      </c>
      <c r="F855" s="32" t="s">
        <v>13</v>
      </c>
      <c r="G855" s="32" t="s">
        <v>7268</v>
      </c>
      <c r="H855" s="12"/>
      <c r="I855" s="11">
        <f>Table1[[#This Row],[Qty]]*Table1[[#This Row],[Price]]</f>
        <v>0</v>
      </c>
    </row>
    <row r="856" spans="1:9" ht="13.5" customHeight="1" x14ac:dyDescent="0.25">
      <c r="A856" s="28">
        <v>5425039220352</v>
      </c>
      <c r="B856" s="29" t="s">
        <v>4270</v>
      </c>
      <c r="C856" s="30" t="s">
        <v>3393</v>
      </c>
      <c r="D856" s="31" t="s">
        <v>4271</v>
      </c>
      <c r="E856" s="51">
        <v>4.88</v>
      </c>
      <c r="F856" s="32" t="s">
        <v>13</v>
      </c>
      <c r="G856" s="32" t="s">
        <v>7269</v>
      </c>
      <c r="H856" s="22"/>
      <c r="I856" s="11">
        <f>Table1[[#This Row],[Qty]]*Table1[[#This Row],[Price]]</f>
        <v>0</v>
      </c>
    </row>
    <row r="857" spans="1:9" ht="13.5" customHeight="1" x14ac:dyDescent="0.25">
      <c r="A857" s="28">
        <v>5425039220420</v>
      </c>
      <c r="B857" s="29" t="s">
        <v>4272</v>
      </c>
      <c r="C857" s="30" t="s">
        <v>3393</v>
      </c>
      <c r="D857" s="31" t="s">
        <v>4273</v>
      </c>
      <c r="E857" s="51">
        <v>5.88</v>
      </c>
      <c r="F857" s="32" t="s">
        <v>13</v>
      </c>
      <c r="G857" s="32" t="s">
        <v>7270</v>
      </c>
      <c r="H857" s="12"/>
      <c r="I857" s="11">
        <f>Table1[[#This Row],[Qty]]*Table1[[#This Row],[Price]]</f>
        <v>0</v>
      </c>
    </row>
    <row r="858" spans="1:9" ht="13.5" customHeight="1" x14ac:dyDescent="0.25">
      <c r="A858" s="28">
        <v>5425039221724</v>
      </c>
      <c r="B858" s="29" t="s">
        <v>4274</v>
      </c>
      <c r="C858" s="30" t="s">
        <v>3393</v>
      </c>
      <c r="D858" s="31" t="s">
        <v>4275</v>
      </c>
      <c r="E858" s="51">
        <v>4.88</v>
      </c>
      <c r="F858" s="32" t="s">
        <v>13</v>
      </c>
      <c r="G858" s="32" t="s">
        <v>7271</v>
      </c>
      <c r="H858" s="14"/>
      <c r="I858" s="11">
        <f>Table1[[#This Row],[Qty]]*Table1[[#This Row],[Price]]</f>
        <v>0</v>
      </c>
    </row>
    <row r="859" spans="1:9" ht="13.5" customHeight="1" x14ac:dyDescent="0.25">
      <c r="A859" s="28">
        <v>5425039221748</v>
      </c>
      <c r="B859" s="29" t="s">
        <v>4276</v>
      </c>
      <c r="C859" s="30" t="s">
        <v>3393</v>
      </c>
      <c r="D859" s="31" t="s">
        <v>4277</v>
      </c>
      <c r="E859" s="51">
        <v>5.38</v>
      </c>
      <c r="F859" s="32" t="s">
        <v>13</v>
      </c>
      <c r="G859" s="32" t="s">
        <v>7272</v>
      </c>
      <c r="H859" s="22"/>
      <c r="I859" s="11">
        <f>Table1[[#This Row],[Qty]]*Table1[[#This Row],[Price]]</f>
        <v>0</v>
      </c>
    </row>
    <row r="860" spans="1:9" ht="13.5" customHeight="1" x14ac:dyDescent="0.25">
      <c r="A860" s="28">
        <v>5425017730538</v>
      </c>
      <c r="B860" s="29" t="s">
        <v>4278</v>
      </c>
      <c r="C860" s="30" t="s">
        <v>3393</v>
      </c>
      <c r="D860" s="31" t="s">
        <v>4279</v>
      </c>
      <c r="E860" s="51">
        <v>5.13</v>
      </c>
      <c r="F860" s="32" t="s">
        <v>13</v>
      </c>
      <c r="G860" s="32" t="s">
        <v>7273</v>
      </c>
      <c r="H860" s="12"/>
      <c r="I860" s="11">
        <f>Table1[[#This Row],[Qty]]*Table1[[#This Row],[Price]]</f>
        <v>0</v>
      </c>
    </row>
    <row r="861" spans="1:9" ht="13.5" customHeight="1" x14ac:dyDescent="0.25">
      <c r="A861" s="28">
        <v>5425017730675</v>
      </c>
      <c r="B861" s="29" t="s">
        <v>4280</v>
      </c>
      <c r="C861" s="30" t="s">
        <v>3393</v>
      </c>
      <c r="D861" s="31" t="s">
        <v>4281</v>
      </c>
      <c r="E861" s="51">
        <v>5.13</v>
      </c>
      <c r="F861" s="32" t="s">
        <v>13</v>
      </c>
      <c r="G861" s="32" t="s">
        <v>7274</v>
      </c>
      <c r="H861" s="12"/>
      <c r="I861" s="11">
        <f>Table1[[#This Row],[Qty]]*Table1[[#This Row],[Price]]</f>
        <v>0</v>
      </c>
    </row>
    <row r="862" spans="1:9" ht="13.5" customHeight="1" x14ac:dyDescent="0.25">
      <c r="A862" s="28">
        <v>5425017730705</v>
      </c>
      <c r="B862" s="29" t="s">
        <v>4282</v>
      </c>
      <c r="C862" s="30" t="s">
        <v>3393</v>
      </c>
      <c r="D862" s="31" t="s">
        <v>4283</v>
      </c>
      <c r="E862" s="51">
        <v>4.88</v>
      </c>
      <c r="F862" s="32" t="s">
        <v>13</v>
      </c>
      <c r="G862" s="32" t="s">
        <v>7275</v>
      </c>
      <c r="H862" s="12"/>
      <c r="I862" s="11">
        <f>Table1[[#This Row],[Qty]]*Table1[[#This Row],[Price]]</f>
        <v>0</v>
      </c>
    </row>
    <row r="863" spans="1:9" ht="13.5" customHeight="1" x14ac:dyDescent="0.25">
      <c r="A863" s="28">
        <v>5425017730897</v>
      </c>
      <c r="B863" s="29" t="s">
        <v>4284</v>
      </c>
      <c r="C863" s="30" t="s">
        <v>3393</v>
      </c>
      <c r="D863" s="31" t="s">
        <v>4285</v>
      </c>
      <c r="E863" s="51">
        <v>4.88</v>
      </c>
      <c r="F863" s="32" t="s">
        <v>13</v>
      </c>
      <c r="G863" s="32" t="s">
        <v>7276</v>
      </c>
      <c r="H863" s="14"/>
      <c r="I863" s="11">
        <f>Table1[[#This Row],[Qty]]*Table1[[#This Row],[Price]]</f>
        <v>0</v>
      </c>
    </row>
    <row r="864" spans="1:9" ht="13.5" customHeight="1" x14ac:dyDescent="0.25">
      <c r="A864" s="28">
        <v>5425017730903</v>
      </c>
      <c r="B864" s="29" t="s">
        <v>4286</v>
      </c>
      <c r="C864" s="30" t="s">
        <v>3393</v>
      </c>
      <c r="D864" s="31" t="s">
        <v>4287</v>
      </c>
      <c r="E864" s="51">
        <v>4.88</v>
      </c>
      <c r="F864" s="32" t="s">
        <v>13</v>
      </c>
      <c r="G864" s="32" t="s">
        <v>7277</v>
      </c>
      <c r="H864" s="12"/>
      <c r="I864" s="11">
        <f>Table1[[#This Row],[Qty]]*Table1[[#This Row],[Price]]</f>
        <v>0</v>
      </c>
    </row>
    <row r="865" spans="1:9" ht="13.5" customHeight="1" x14ac:dyDescent="0.25">
      <c r="A865" s="28">
        <v>5425017732037</v>
      </c>
      <c r="B865" s="29" t="s">
        <v>4288</v>
      </c>
      <c r="C865" s="30" t="s">
        <v>3393</v>
      </c>
      <c r="D865" s="31" t="s">
        <v>4289</v>
      </c>
      <c r="E865" s="51">
        <v>4.88</v>
      </c>
      <c r="F865" s="32" t="s">
        <v>13</v>
      </c>
      <c r="G865" s="32" t="s">
        <v>7278</v>
      </c>
      <c r="H865" s="22"/>
      <c r="I865" s="11">
        <f>Table1[[#This Row],[Qty]]*Table1[[#This Row],[Price]]</f>
        <v>0</v>
      </c>
    </row>
    <row r="866" spans="1:9" ht="13.5" customHeight="1" x14ac:dyDescent="0.25">
      <c r="A866" s="28">
        <v>5425017735113</v>
      </c>
      <c r="B866" s="29" t="s">
        <v>4290</v>
      </c>
      <c r="C866" s="30" t="s">
        <v>3393</v>
      </c>
      <c r="D866" s="31" t="s">
        <v>4291</v>
      </c>
      <c r="E866" s="51">
        <v>4.63</v>
      </c>
      <c r="F866" s="32" t="s">
        <v>13</v>
      </c>
      <c r="G866" s="32" t="s">
        <v>7279</v>
      </c>
      <c r="H866" s="12"/>
      <c r="I866" s="11">
        <f>Table1[[#This Row],[Qty]]*Table1[[#This Row],[Price]]</f>
        <v>0</v>
      </c>
    </row>
    <row r="867" spans="1:9" ht="13.5" customHeight="1" x14ac:dyDescent="0.25">
      <c r="A867" s="28">
        <v>5425039223698</v>
      </c>
      <c r="B867" s="29" t="s">
        <v>4292</v>
      </c>
      <c r="C867" s="30" t="s">
        <v>3393</v>
      </c>
      <c r="D867" s="31" t="s">
        <v>4293</v>
      </c>
      <c r="E867" s="51">
        <v>6.13</v>
      </c>
      <c r="F867" s="32" t="s">
        <v>13</v>
      </c>
      <c r="G867" s="32" t="s">
        <v>7280</v>
      </c>
      <c r="H867" s="12"/>
      <c r="I867" s="11">
        <f>Table1[[#This Row],[Qty]]*Table1[[#This Row],[Price]]</f>
        <v>0</v>
      </c>
    </row>
    <row r="868" spans="1:9" ht="13.5" customHeight="1" x14ac:dyDescent="0.25">
      <c r="A868" s="28">
        <v>5425039220031</v>
      </c>
      <c r="B868" s="29" t="s">
        <v>4294</v>
      </c>
      <c r="C868" s="30" t="s">
        <v>3393</v>
      </c>
      <c r="D868" s="31" t="s">
        <v>4295</v>
      </c>
      <c r="E868" s="51">
        <v>4.88</v>
      </c>
      <c r="F868" s="32" t="s">
        <v>13</v>
      </c>
      <c r="G868" s="32" t="s">
        <v>7281</v>
      </c>
      <c r="H868" s="22"/>
      <c r="I868" s="11">
        <f>Table1[[#This Row],[Qty]]*Table1[[#This Row],[Price]]</f>
        <v>0</v>
      </c>
    </row>
    <row r="869" spans="1:9" ht="13.5" customHeight="1" x14ac:dyDescent="0.25">
      <c r="A869" s="48">
        <v>5425039220208</v>
      </c>
      <c r="B869" s="41" t="s">
        <v>4296</v>
      </c>
      <c r="C869" s="6" t="s">
        <v>3393</v>
      </c>
      <c r="D869" t="s">
        <v>4297</v>
      </c>
      <c r="E869" s="47">
        <v>4.88</v>
      </c>
      <c r="F869" s="6" t="s">
        <v>13</v>
      </c>
      <c r="G869" s="6" t="s">
        <v>7282</v>
      </c>
      <c r="H869" s="22"/>
      <c r="I869" s="11">
        <f>Table1[[#This Row],[Qty]]*Table1[[#This Row],[Price]]</f>
        <v>0</v>
      </c>
    </row>
    <row r="870" spans="1:9" ht="13.5" customHeight="1" x14ac:dyDescent="0.25">
      <c r="A870" s="28">
        <v>5425039220215</v>
      </c>
      <c r="B870" s="29" t="s">
        <v>4298</v>
      </c>
      <c r="C870" s="30" t="s">
        <v>3393</v>
      </c>
      <c r="D870" s="31" t="s">
        <v>4299</v>
      </c>
      <c r="E870" s="51">
        <v>4.88</v>
      </c>
      <c r="F870" s="32" t="s">
        <v>13</v>
      </c>
      <c r="G870" s="32" t="s">
        <v>7283</v>
      </c>
      <c r="H870" s="12"/>
      <c r="I870" s="11">
        <f>Table1[[#This Row],[Qty]]*Table1[[#This Row],[Price]]</f>
        <v>0</v>
      </c>
    </row>
    <row r="871" spans="1:9" ht="13.5" customHeight="1" x14ac:dyDescent="0.25">
      <c r="A871" s="28">
        <v>5425039220253</v>
      </c>
      <c r="B871" s="29" t="s">
        <v>4300</v>
      </c>
      <c r="C871" s="30" t="s">
        <v>3393</v>
      </c>
      <c r="D871" s="31" t="s">
        <v>4301</v>
      </c>
      <c r="E871" s="51">
        <v>4.88</v>
      </c>
      <c r="F871" s="32" t="s">
        <v>13</v>
      </c>
      <c r="G871" s="32" t="s">
        <v>7284</v>
      </c>
      <c r="H871" s="14"/>
      <c r="I871" s="11">
        <f>Table1[[#This Row],[Qty]]*Table1[[#This Row],[Price]]</f>
        <v>0</v>
      </c>
    </row>
    <row r="872" spans="1:9" ht="13.5" customHeight="1" x14ac:dyDescent="0.25">
      <c r="A872" s="28">
        <v>5425039220345</v>
      </c>
      <c r="B872" s="29" t="s">
        <v>4302</v>
      </c>
      <c r="C872" s="30" t="s">
        <v>3393</v>
      </c>
      <c r="D872" s="31" t="s">
        <v>4303</v>
      </c>
      <c r="E872" s="51">
        <v>5.13</v>
      </c>
      <c r="F872" s="32" t="s">
        <v>13</v>
      </c>
      <c r="G872" s="32" t="s">
        <v>7285</v>
      </c>
      <c r="H872" s="12"/>
      <c r="I872" s="11">
        <f>Table1[[#This Row],[Qty]]*Table1[[#This Row],[Price]]</f>
        <v>0</v>
      </c>
    </row>
    <row r="873" spans="1:9" ht="13.5" customHeight="1" x14ac:dyDescent="0.25">
      <c r="A873" s="48">
        <v>5425039220376</v>
      </c>
      <c r="B873" s="41" t="s">
        <v>4304</v>
      </c>
      <c r="C873" s="6" t="s">
        <v>3393</v>
      </c>
      <c r="D873" t="s">
        <v>4305</v>
      </c>
      <c r="E873" s="47">
        <v>6.13</v>
      </c>
      <c r="F873" s="6" t="s">
        <v>13</v>
      </c>
      <c r="G873" s="6" t="s">
        <v>7286</v>
      </c>
      <c r="H873" s="22"/>
      <c r="I873" s="11">
        <f>Table1[[#This Row],[Qty]]*Table1[[#This Row],[Price]]</f>
        <v>0</v>
      </c>
    </row>
    <row r="874" spans="1:9" ht="13.5" customHeight="1" x14ac:dyDescent="0.25">
      <c r="A874" s="48">
        <v>5425039220932</v>
      </c>
      <c r="B874" s="41" t="s">
        <v>4306</v>
      </c>
      <c r="C874" s="6" t="s">
        <v>3393</v>
      </c>
      <c r="D874" t="s">
        <v>4307</v>
      </c>
      <c r="E874" s="47">
        <v>5.13</v>
      </c>
      <c r="F874" s="6" t="s">
        <v>13</v>
      </c>
      <c r="G874" s="6" t="s">
        <v>7287</v>
      </c>
      <c r="H874" s="22"/>
      <c r="I874" s="11">
        <f>Table1[[#This Row],[Qty]]*Table1[[#This Row],[Price]]</f>
        <v>0</v>
      </c>
    </row>
    <row r="875" spans="1:9" ht="13.5" customHeight="1" x14ac:dyDescent="0.25">
      <c r="A875" s="28">
        <v>5425039221076</v>
      </c>
      <c r="B875" s="29" t="s">
        <v>4308</v>
      </c>
      <c r="C875" s="30" t="s">
        <v>3393</v>
      </c>
      <c r="D875" s="31" t="s">
        <v>4309</v>
      </c>
      <c r="E875" s="51">
        <v>5.13</v>
      </c>
      <c r="F875" s="32" t="s">
        <v>13</v>
      </c>
      <c r="G875" s="32" t="s">
        <v>7288</v>
      </c>
      <c r="H875" s="22"/>
      <c r="I875" s="11">
        <f>Table1[[#This Row],[Qty]]*Table1[[#This Row],[Price]]</f>
        <v>0</v>
      </c>
    </row>
    <row r="876" spans="1:9" ht="13.5" customHeight="1" x14ac:dyDescent="0.25">
      <c r="A876" s="28">
        <v>5425039221489</v>
      </c>
      <c r="B876" s="29" t="s">
        <v>4310</v>
      </c>
      <c r="C876" s="30" t="s">
        <v>3393</v>
      </c>
      <c r="D876" s="31" t="s">
        <v>4311</v>
      </c>
      <c r="E876" s="51">
        <v>5.13</v>
      </c>
      <c r="F876" s="32" t="s">
        <v>13</v>
      </c>
      <c r="G876" s="32" t="s">
        <v>7289</v>
      </c>
      <c r="H876" s="12"/>
      <c r="I876" s="11">
        <f>Table1[[#This Row],[Qty]]*Table1[[#This Row],[Price]]</f>
        <v>0</v>
      </c>
    </row>
    <row r="877" spans="1:9" ht="13.5" customHeight="1" x14ac:dyDescent="0.25">
      <c r="A877" s="28">
        <v>5425039221731</v>
      </c>
      <c r="B877" s="29" t="s">
        <v>4312</v>
      </c>
      <c r="C877" s="30" t="s">
        <v>3393</v>
      </c>
      <c r="D877" s="31" t="s">
        <v>4313</v>
      </c>
      <c r="E877" s="51">
        <v>5.13</v>
      </c>
      <c r="F877" s="32" t="s">
        <v>13</v>
      </c>
      <c r="G877" s="32" t="s">
        <v>7290</v>
      </c>
      <c r="H877" s="12"/>
      <c r="I877" s="11">
        <f>Table1[[#This Row],[Qty]]*Table1[[#This Row],[Price]]</f>
        <v>0</v>
      </c>
    </row>
    <row r="878" spans="1:9" ht="13.5" customHeight="1" x14ac:dyDescent="0.25">
      <c r="A878" s="28">
        <v>5425039222196</v>
      </c>
      <c r="B878" s="29" t="s">
        <v>4314</v>
      </c>
      <c r="C878" s="30" t="s">
        <v>3393</v>
      </c>
      <c r="D878" s="31" t="s">
        <v>4315</v>
      </c>
      <c r="E878" s="51">
        <v>5.13</v>
      </c>
      <c r="F878" s="32" t="s">
        <v>13</v>
      </c>
      <c r="G878" s="32" t="s">
        <v>7291</v>
      </c>
      <c r="H878" s="12"/>
      <c r="I878" s="11">
        <f>Table1[[#This Row],[Qty]]*Table1[[#This Row],[Price]]</f>
        <v>0</v>
      </c>
    </row>
    <row r="879" spans="1:9" ht="13.5" customHeight="1" x14ac:dyDescent="0.25">
      <c r="A879" s="28">
        <v>5425039222981</v>
      </c>
      <c r="B879" s="29" t="s">
        <v>4316</v>
      </c>
      <c r="C879" s="30" t="s">
        <v>3393</v>
      </c>
      <c r="D879" s="31" t="s">
        <v>4317</v>
      </c>
      <c r="E879" s="51">
        <v>5.13</v>
      </c>
      <c r="F879" s="32" t="s">
        <v>13</v>
      </c>
      <c r="G879" s="32" t="s">
        <v>7292</v>
      </c>
      <c r="H879" s="22"/>
      <c r="I879" s="11">
        <f>Table1[[#This Row],[Qty]]*Table1[[#This Row],[Price]]</f>
        <v>0</v>
      </c>
    </row>
    <row r="880" spans="1:9" ht="13.5" customHeight="1" x14ac:dyDescent="0.25">
      <c r="A880" s="28">
        <v>5425039223629</v>
      </c>
      <c r="B880" s="29" t="s">
        <v>4318</v>
      </c>
      <c r="C880" s="30" t="s">
        <v>3393</v>
      </c>
      <c r="D880" s="31" t="s">
        <v>4319</v>
      </c>
      <c r="E880" s="51">
        <v>6.13</v>
      </c>
      <c r="F880" s="32" t="s">
        <v>13</v>
      </c>
      <c r="G880" s="32" t="s">
        <v>7293</v>
      </c>
      <c r="H880" s="12"/>
      <c r="I880" s="11">
        <f>Table1[[#This Row],[Qty]]*Table1[[#This Row],[Price]]</f>
        <v>0</v>
      </c>
    </row>
    <row r="881" spans="1:9" ht="13.5" customHeight="1" x14ac:dyDescent="0.25">
      <c r="A881" s="28">
        <v>5425039223636</v>
      </c>
      <c r="B881" s="29" t="s">
        <v>4320</v>
      </c>
      <c r="C881" s="30" t="s">
        <v>3393</v>
      </c>
      <c r="D881" s="31" t="s">
        <v>4321</v>
      </c>
      <c r="E881" s="51">
        <v>6.13</v>
      </c>
      <c r="F881" s="32" t="s">
        <v>13</v>
      </c>
      <c r="G881" s="32" t="s">
        <v>7294</v>
      </c>
      <c r="H881" s="12"/>
      <c r="I881" s="11">
        <f>Table1[[#This Row],[Qty]]*Table1[[#This Row],[Price]]</f>
        <v>0</v>
      </c>
    </row>
    <row r="882" spans="1:9" ht="13.5" customHeight="1" x14ac:dyDescent="0.25">
      <c r="A882" s="28">
        <v>5425017730521</v>
      </c>
      <c r="B882" s="29" t="s">
        <v>4322</v>
      </c>
      <c r="C882" s="30" t="s">
        <v>3393</v>
      </c>
      <c r="D882" s="31" t="s">
        <v>4323</v>
      </c>
      <c r="E882" s="51">
        <v>4.88</v>
      </c>
      <c r="F882" s="32" t="s">
        <v>13</v>
      </c>
      <c r="G882" s="32" t="s">
        <v>7295</v>
      </c>
      <c r="H882" s="22"/>
      <c r="I882" s="11">
        <f>Table1[[#This Row],[Qty]]*Table1[[#This Row],[Price]]</f>
        <v>0</v>
      </c>
    </row>
    <row r="883" spans="1:9" ht="13.5" customHeight="1" x14ac:dyDescent="0.25">
      <c r="A883" s="28">
        <v>5425017730545</v>
      </c>
      <c r="B883" s="29" t="s">
        <v>4324</v>
      </c>
      <c r="C883" s="30" t="s">
        <v>3393</v>
      </c>
      <c r="D883" s="31" t="s">
        <v>4325</v>
      </c>
      <c r="E883" s="51">
        <v>4.88</v>
      </c>
      <c r="F883" s="32" t="s">
        <v>13</v>
      </c>
      <c r="G883" s="32" t="s">
        <v>7296</v>
      </c>
      <c r="H883" s="22"/>
      <c r="I883" s="11">
        <f>Table1[[#This Row],[Qty]]*Table1[[#This Row],[Price]]</f>
        <v>0</v>
      </c>
    </row>
    <row r="884" spans="1:9" ht="13.5" customHeight="1" x14ac:dyDescent="0.25">
      <c r="A884" s="28">
        <v>5425017730552</v>
      </c>
      <c r="B884" s="29" t="s">
        <v>4326</v>
      </c>
      <c r="C884" s="33" t="s">
        <v>3393</v>
      </c>
      <c r="D884" s="31" t="s">
        <v>4327</v>
      </c>
      <c r="E884" s="51">
        <v>4.88</v>
      </c>
      <c r="F884" s="32" t="s">
        <v>13</v>
      </c>
      <c r="G884" s="32" t="s">
        <v>7297</v>
      </c>
      <c r="H884" s="22"/>
      <c r="I884" s="11">
        <f>Table1[[#This Row],[Qty]]*Table1[[#This Row],[Price]]</f>
        <v>0</v>
      </c>
    </row>
    <row r="885" spans="1:9" ht="13.5" customHeight="1" x14ac:dyDescent="0.25">
      <c r="A885" s="28">
        <v>5425017730620</v>
      </c>
      <c r="B885" s="29" t="s">
        <v>4328</v>
      </c>
      <c r="C885" s="30" t="s">
        <v>3393</v>
      </c>
      <c r="D885" s="31" t="s">
        <v>4329</v>
      </c>
      <c r="E885" s="51">
        <v>4.88</v>
      </c>
      <c r="F885" s="32" t="s">
        <v>13</v>
      </c>
      <c r="G885" s="32" t="s">
        <v>7298</v>
      </c>
      <c r="H885" s="14"/>
      <c r="I885" s="11">
        <f>Table1[[#This Row],[Qty]]*Table1[[#This Row],[Price]]</f>
        <v>0</v>
      </c>
    </row>
    <row r="886" spans="1:9" ht="13.5" customHeight="1" x14ac:dyDescent="0.25">
      <c r="A886" s="28">
        <v>5425017730712</v>
      </c>
      <c r="B886" s="29" t="s">
        <v>4330</v>
      </c>
      <c r="C886" s="33" t="s">
        <v>3393</v>
      </c>
      <c r="D886" s="31" t="s">
        <v>4331</v>
      </c>
      <c r="E886" s="51">
        <v>4.63</v>
      </c>
      <c r="F886" s="32" t="s">
        <v>13</v>
      </c>
      <c r="G886" s="32" t="s">
        <v>7299</v>
      </c>
      <c r="H886" s="22"/>
      <c r="I886" s="11">
        <f>Table1[[#This Row],[Qty]]*Table1[[#This Row],[Price]]</f>
        <v>0</v>
      </c>
    </row>
    <row r="887" spans="1:9" ht="13.5" customHeight="1" x14ac:dyDescent="0.25">
      <c r="A887" s="28">
        <v>5425017730873</v>
      </c>
      <c r="B887" s="29" t="s">
        <v>4332</v>
      </c>
      <c r="C887" s="30" t="s">
        <v>3393</v>
      </c>
      <c r="D887" s="31" t="s">
        <v>4333</v>
      </c>
      <c r="E887" s="51">
        <v>4.87</v>
      </c>
      <c r="F887" s="32" t="s">
        <v>13</v>
      </c>
      <c r="G887" s="32" t="s">
        <v>7300</v>
      </c>
      <c r="H887" s="12"/>
      <c r="I887" s="11">
        <f>Table1[[#This Row],[Qty]]*Table1[[#This Row],[Price]]</f>
        <v>0</v>
      </c>
    </row>
    <row r="888" spans="1:9" ht="13.5" customHeight="1" x14ac:dyDescent="0.25">
      <c r="A888" s="28">
        <v>5425017730910</v>
      </c>
      <c r="B888" s="29" t="s">
        <v>4334</v>
      </c>
      <c r="C888" s="30" t="s">
        <v>3393</v>
      </c>
      <c r="D888" s="31" t="s">
        <v>4335</v>
      </c>
      <c r="E888" s="51">
        <v>5.13</v>
      </c>
      <c r="F888" s="32" t="s">
        <v>13</v>
      </c>
      <c r="G888" s="32" t="s">
        <v>7301</v>
      </c>
      <c r="H888" s="12"/>
      <c r="I888" s="11">
        <f>Table1[[#This Row],[Qty]]*Table1[[#This Row],[Price]]</f>
        <v>0</v>
      </c>
    </row>
    <row r="889" spans="1:9" ht="13.5" customHeight="1" x14ac:dyDescent="0.25">
      <c r="A889" s="28">
        <v>5425017732082</v>
      </c>
      <c r="B889" s="29" t="s">
        <v>4336</v>
      </c>
      <c r="C889" s="33" t="s">
        <v>3393</v>
      </c>
      <c r="D889" s="31" t="s">
        <v>4337</v>
      </c>
      <c r="E889" s="51">
        <v>5.13</v>
      </c>
      <c r="F889" s="32" t="s">
        <v>13</v>
      </c>
      <c r="G889" s="32" t="s">
        <v>7302</v>
      </c>
      <c r="H889" s="22"/>
      <c r="I889" s="11">
        <f>Table1[[#This Row],[Qty]]*Table1[[#This Row],[Price]]</f>
        <v>0</v>
      </c>
    </row>
    <row r="890" spans="1:9" ht="13.5" customHeight="1" x14ac:dyDescent="0.25">
      <c r="A890" s="28">
        <v>5425017734468</v>
      </c>
      <c r="B890" s="29" t="s">
        <v>4338</v>
      </c>
      <c r="C890" s="30" t="s">
        <v>3393</v>
      </c>
      <c r="D890" s="31" t="s">
        <v>4339</v>
      </c>
      <c r="E890" s="51">
        <v>4.88</v>
      </c>
      <c r="F890" s="32" t="s">
        <v>13</v>
      </c>
      <c r="G890" s="32" t="s">
        <v>7303</v>
      </c>
      <c r="H890" s="14"/>
      <c r="I890" s="11">
        <f>Table1[[#This Row],[Qty]]*Table1[[#This Row],[Price]]</f>
        <v>0</v>
      </c>
    </row>
    <row r="891" spans="1:9" ht="13.5" customHeight="1" x14ac:dyDescent="0.25">
      <c r="A891" s="28">
        <v>5425017735069</v>
      </c>
      <c r="B891" s="29" t="s">
        <v>4340</v>
      </c>
      <c r="C891" s="30" t="s">
        <v>3393</v>
      </c>
      <c r="D891" s="31" t="s">
        <v>4341</v>
      </c>
      <c r="E891" s="51">
        <v>4.88</v>
      </c>
      <c r="F891" s="32" t="s">
        <v>13</v>
      </c>
      <c r="G891" s="32" t="s">
        <v>7304</v>
      </c>
      <c r="H891" s="12"/>
      <c r="I891" s="11">
        <f>Table1[[#This Row],[Qty]]*Table1[[#This Row],[Price]]</f>
        <v>0</v>
      </c>
    </row>
    <row r="892" spans="1:9" ht="13.5" customHeight="1" x14ac:dyDescent="0.25">
      <c r="A892" s="28">
        <v>5425017735137</v>
      </c>
      <c r="B892" s="29" t="s">
        <v>4342</v>
      </c>
      <c r="C892" s="30" t="s">
        <v>3393</v>
      </c>
      <c r="D892" s="31" t="s">
        <v>4343</v>
      </c>
      <c r="E892" s="51">
        <v>5.38</v>
      </c>
      <c r="F892" s="32" t="s">
        <v>13</v>
      </c>
      <c r="G892" s="32" t="s">
        <v>7305</v>
      </c>
      <c r="H892" s="22"/>
      <c r="I892" s="11">
        <f>Table1[[#This Row],[Qty]]*Table1[[#This Row],[Price]]</f>
        <v>0</v>
      </c>
    </row>
    <row r="893" spans="1:9" ht="13.5" customHeight="1" x14ac:dyDescent="0.25">
      <c r="A893" s="28">
        <v>5425017735151</v>
      </c>
      <c r="B893" s="29" t="s">
        <v>4344</v>
      </c>
      <c r="C893" s="30" t="s">
        <v>3393</v>
      </c>
      <c r="D893" s="31" t="s">
        <v>4345</v>
      </c>
      <c r="E893" s="51">
        <v>4.88</v>
      </c>
      <c r="F893" s="32" t="s">
        <v>13</v>
      </c>
      <c r="G893" s="32" t="s">
        <v>7306</v>
      </c>
      <c r="H893" s="12"/>
      <c r="I893" s="11">
        <f>Table1[[#This Row],[Qty]]*Table1[[#This Row],[Price]]</f>
        <v>0</v>
      </c>
    </row>
    <row r="894" spans="1:9" ht="13.5" customHeight="1" x14ac:dyDescent="0.25">
      <c r="A894" s="28">
        <v>5425017736455</v>
      </c>
      <c r="B894" s="29" t="s">
        <v>4346</v>
      </c>
      <c r="C894" s="30" t="s">
        <v>3393</v>
      </c>
      <c r="D894" s="31" t="s">
        <v>4347</v>
      </c>
      <c r="E894" s="51">
        <v>4.88</v>
      </c>
      <c r="F894" s="32" t="s">
        <v>13</v>
      </c>
      <c r="G894" s="32" t="s">
        <v>7307</v>
      </c>
      <c r="H894" s="12"/>
      <c r="I894" s="11">
        <f>Table1[[#This Row],[Qty]]*Table1[[#This Row],[Price]]</f>
        <v>0</v>
      </c>
    </row>
    <row r="895" spans="1:9" ht="13.5" customHeight="1" x14ac:dyDescent="0.25">
      <c r="A895" s="28">
        <v>5425017736479</v>
      </c>
      <c r="B895" s="29" t="s">
        <v>4348</v>
      </c>
      <c r="C895" s="30" t="s">
        <v>3393</v>
      </c>
      <c r="D895" s="31" t="s">
        <v>4349</v>
      </c>
      <c r="E895" s="51">
        <v>5.38</v>
      </c>
      <c r="F895" s="32" t="s">
        <v>13</v>
      </c>
      <c r="G895" s="32" t="s">
        <v>7308</v>
      </c>
      <c r="H895" s="12"/>
      <c r="I895" s="11">
        <f>Table1[[#This Row],[Qty]]*Table1[[#This Row],[Price]]</f>
        <v>0</v>
      </c>
    </row>
    <row r="896" spans="1:9" ht="13.5" customHeight="1" x14ac:dyDescent="0.25">
      <c r="A896" s="28">
        <v>5425039220123</v>
      </c>
      <c r="B896" s="29" t="s">
        <v>4350</v>
      </c>
      <c r="C896" s="30" t="s">
        <v>3393</v>
      </c>
      <c r="D896" s="31" t="s">
        <v>4351</v>
      </c>
      <c r="E896" s="51">
        <v>5.13</v>
      </c>
      <c r="F896" s="32" t="s">
        <v>13</v>
      </c>
      <c r="G896" s="32" t="s">
        <v>7309</v>
      </c>
      <c r="H896" s="12"/>
      <c r="I896" s="11">
        <f>Table1[[#This Row],[Qty]]*Table1[[#This Row],[Price]]</f>
        <v>0</v>
      </c>
    </row>
    <row r="897" spans="1:9" ht="13.5" customHeight="1" x14ac:dyDescent="0.25">
      <c r="A897" s="28">
        <v>5425039220246</v>
      </c>
      <c r="B897" s="29" t="s">
        <v>4352</v>
      </c>
      <c r="C897" s="30" t="s">
        <v>3393</v>
      </c>
      <c r="D897" s="31" t="s">
        <v>4353</v>
      </c>
      <c r="E897" s="51">
        <v>5.13</v>
      </c>
      <c r="F897" s="32" t="s">
        <v>13</v>
      </c>
      <c r="G897" s="32" t="s">
        <v>7310</v>
      </c>
      <c r="H897" s="12"/>
      <c r="I897" s="11">
        <f>Table1[[#This Row],[Qty]]*Table1[[#This Row],[Price]]</f>
        <v>0</v>
      </c>
    </row>
    <row r="898" spans="1:9" ht="13.5" customHeight="1" x14ac:dyDescent="0.25">
      <c r="A898" s="28">
        <v>5425039220482</v>
      </c>
      <c r="B898" s="29" t="s">
        <v>4354</v>
      </c>
      <c r="C898" s="30" t="s">
        <v>3393</v>
      </c>
      <c r="D898" s="31" t="s">
        <v>4355</v>
      </c>
      <c r="E898" s="51">
        <v>4.88</v>
      </c>
      <c r="F898" s="32" t="s">
        <v>13</v>
      </c>
      <c r="G898" s="32" t="s">
        <v>7311</v>
      </c>
      <c r="H898" s="12"/>
      <c r="I898" s="11">
        <f>Table1[[#This Row],[Qty]]*Table1[[#This Row],[Price]]</f>
        <v>0</v>
      </c>
    </row>
    <row r="899" spans="1:9" ht="13.5" customHeight="1" x14ac:dyDescent="0.25">
      <c r="A899" s="28">
        <v>5425017730637</v>
      </c>
      <c r="B899" s="29" t="s">
        <v>4356</v>
      </c>
      <c r="C899" s="30" t="s">
        <v>3393</v>
      </c>
      <c r="D899" s="31" t="s">
        <v>4357</v>
      </c>
      <c r="E899" s="51">
        <v>4.88</v>
      </c>
      <c r="F899" s="32" t="s">
        <v>13</v>
      </c>
      <c r="G899" s="32" t="s">
        <v>7312</v>
      </c>
      <c r="H899" s="12"/>
      <c r="I899" s="11">
        <f>Table1[[#This Row],[Qty]]*Table1[[#This Row],[Price]]</f>
        <v>0</v>
      </c>
    </row>
    <row r="900" spans="1:9" ht="13.5" customHeight="1" x14ac:dyDescent="0.25">
      <c r="A900" s="28">
        <v>5425017735106</v>
      </c>
      <c r="B900" s="29" t="s">
        <v>4358</v>
      </c>
      <c r="C900" s="30" t="s">
        <v>3393</v>
      </c>
      <c r="D900" s="31" t="s">
        <v>4359</v>
      </c>
      <c r="E900" s="51">
        <v>4.88</v>
      </c>
      <c r="F900" s="32" t="s">
        <v>13</v>
      </c>
      <c r="G900" s="32" t="s">
        <v>7313</v>
      </c>
      <c r="H900" s="12"/>
      <c r="I900" s="11">
        <f>Table1[[#This Row],[Qty]]*Table1[[#This Row],[Price]]</f>
        <v>0</v>
      </c>
    </row>
    <row r="901" spans="1:9" ht="13.5" customHeight="1" x14ac:dyDescent="0.25">
      <c r="A901" s="28">
        <v>5425039220550</v>
      </c>
      <c r="B901" s="29" t="s">
        <v>4360</v>
      </c>
      <c r="C901" s="30" t="s">
        <v>3393</v>
      </c>
      <c r="D901" s="31" t="s">
        <v>4361</v>
      </c>
      <c r="E901" s="51">
        <v>4.88</v>
      </c>
      <c r="F901" s="32" t="s">
        <v>13</v>
      </c>
      <c r="G901" s="32" t="s">
        <v>7314</v>
      </c>
      <c r="H901" s="22"/>
      <c r="I901" s="11">
        <f>Table1[[#This Row],[Qty]]*Table1[[#This Row],[Price]]</f>
        <v>0</v>
      </c>
    </row>
    <row r="902" spans="1:9" ht="13.5" customHeight="1" x14ac:dyDescent="0.25">
      <c r="A902" s="28">
        <v>5425039222752</v>
      </c>
      <c r="B902" s="29" t="s">
        <v>4362</v>
      </c>
      <c r="C902" s="30" t="s">
        <v>3393</v>
      </c>
      <c r="D902" s="31" t="s">
        <v>4363</v>
      </c>
      <c r="E902" s="51">
        <v>5.63</v>
      </c>
      <c r="F902" s="32" t="s">
        <v>13</v>
      </c>
      <c r="G902" s="32" t="s">
        <v>7315</v>
      </c>
      <c r="H902" s="14"/>
      <c r="I902" s="11">
        <f>Table1[[#This Row],[Qty]]*Table1[[#This Row],[Price]]</f>
        <v>0</v>
      </c>
    </row>
    <row r="903" spans="1:9" ht="13.5" customHeight="1" x14ac:dyDescent="0.25">
      <c r="A903" s="28">
        <v>5425017730651</v>
      </c>
      <c r="B903" s="29" t="s">
        <v>4364</v>
      </c>
      <c r="C903" s="30" t="s">
        <v>3393</v>
      </c>
      <c r="D903" s="31" t="s">
        <v>4365</v>
      </c>
      <c r="E903" s="51">
        <v>5.13</v>
      </c>
      <c r="F903" s="32" t="s">
        <v>13</v>
      </c>
      <c r="G903" s="32" t="s">
        <v>7316</v>
      </c>
      <c r="H903" s="12"/>
      <c r="I903" s="11">
        <f>Table1[[#This Row],[Qty]]*Table1[[#This Row],[Price]]</f>
        <v>0</v>
      </c>
    </row>
    <row r="904" spans="1:9" ht="13.5" customHeight="1" x14ac:dyDescent="0.25">
      <c r="A904" s="28">
        <v>5425017730668</v>
      </c>
      <c r="B904" s="29" t="s">
        <v>4366</v>
      </c>
      <c r="C904" s="30" t="s">
        <v>3393</v>
      </c>
      <c r="D904" s="31" t="s">
        <v>4367</v>
      </c>
      <c r="E904" s="51">
        <v>5.38</v>
      </c>
      <c r="F904" s="32" t="s">
        <v>13</v>
      </c>
      <c r="G904" s="32" t="s">
        <v>7317</v>
      </c>
      <c r="H904" s="12"/>
      <c r="I904" s="11">
        <f>Table1[[#This Row],[Qty]]*Table1[[#This Row],[Price]]</f>
        <v>0</v>
      </c>
    </row>
    <row r="905" spans="1:9" ht="13.5" customHeight="1" x14ac:dyDescent="0.25">
      <c r="A905" s="28">
        <v>5425017735076</v>
      </c>
      <c r="B905" s="29" t="s">
        <v>4368</v>
      </c>
      <c r="C905" s="33" t="s">
        <v>3393</v>
      </c>
      <c r="D905" s="31" t="s">
        <v>4369</v>
      </c>
      <c r="E905" s="51">
        <v>5.13</v>
      </c>
      <c r="F905" s="32" t="s">
        <v>13</v>
      </c>
      <c r="G905" s="32" t="s">
        <v>7318</v>
      </c>
      <c r="H905" s="22"/>
      <c r="I905" s="11">
        <f>Table1[[#This Row],[Qty]]*Table1[[#This Row],[Price]]</f>
        <v>0</v>
      </c>
    </row>
    <row r="906" spans="1:9" ht="13.5" customHeight="1" x14ac:dyDescent="0.25">
      <c r="A906" s="28">
        <v>5425039220116</v>
      </c>
      <c r="B906" s="29" t="s">
        <v>4370</v>
      </c>
      <c r="C906" s="30" t="s">
        <v>3393</v>
      </c>
      <c r="D906" s="31" t="s">
        <v>4371</v>
      </c>
      <c r="E906" s="51">
        <v>4.88</v>
      </c>
      <c r="F906" s="32" t="s">
        <v>13</v>
      </c>
      <c r="G906" s="32" t="s">
        <v>7319</v>
      </c>
      <c r="H906" s="22"/>
      <c r="I906" s="11">
        <f>Table1[[#This Row],[Qty]]*Table1[[#This Row],[Price]]</f>
        <v>0</v>
      </c>
    </row>
    <row r="907" spans="1:9" ht="13.5" customHeight="1" x14ac:dyDescent="0.25">
      <c r="A907" s="28">
        <v>5425039220154</v>
      </c>
      <c r="B907" s="29" t="s">
        <v>4372</v>
      </c>
      <c r="C907" s="30" t="s">
        <v>3393</v>
      </c>
      <c r="D907" s="31" t="s">
        <v>4373</v>
      </c>
      <c r="E907" s="51">
        <v>5.13</v>
      </c>
      <c r="F907" s="32" t="s">
        <v>13</v>
      </c>
      <c r="G907" s="32" t="s">
        <v>7320</v>
      </c>
      <c r="H907" s="12"/>
      <c r="I907" s="11">
        <f>Table1[[#This Row],[Qty]]*Table1[[#This Row],[Price]]</f>
        <v>0</v>
      </c>
    </row>
    <row r="908" spans="1:9" ht="13.5" customHeight="1" x14ac:dyDescent="0.25">
      <c r="A908" s="28">
        <v>5425039220260</v>
      </c>
      <c r="B908" s="29" t="s">
        <v>4374</v>
      </c>
      <c r="C908" s="33" t="s">
        <v>3393</v>
      </c>
      <c r="D908" s="31" t="s">
        <v>4375</v>
      </c>
      <c r="E908" s="51">
        <v>5.13</v>
      </c>
      <c r="F908" s="32" t="s">
        <v>13</v>
      </c>
      <c r="G908" s="32" t="s">
        <v>7321</v>
      </c>
      <c r="H908" s="22"/>
      <c r="I908" s="11">
        <f>Table1[[#This Row],[Qty]]*Table1[[#This Row],[Price]]</f>
        <v>0</v>
      </c>
    </row>
    <row r="909" spans="1:9" ht="13.5" customHeight="1" x14ac:dyDescent="0.25">
      <c r="A909" s="28">
        <v>5425039221175</v>
      </c>
      <c r="B909" s="29" t="s">
        <v>4376</v>
      </c>
      <c r="C909" s="30" t="s">
        <v>3393</v>
      </c>
      <c r="D909" s="31" t="s">
        <v>4377</v>
      </c>
      <c r="E909" s="51">
        <v>4.88</v>
      </c>
      <c r="F909" s="32" t="s">
        <v>13</v>
      </c>
      <c r="G909" s="32" t="s">
        <v>7322</v>
      </c>
      <c r="H909" s="22"/>
      <c r="I909" s="11">
        <f>Table1[[#This Row],[Qty]]*Table1[[#This Row],[Price]]</f>
        <v>0</v>
      </c>
    </row>
    <row r="910" spans="1:9" ht="13.5" customHeight="1" x14ac:dyDescent="0.25">
      <c r="A910" s="28">
        <v>5425017733683</v>
      </c>
      <c r="B910" s="29" t="s">
        <v>4378</v>
      </c>
      <c r="C910" s="30" t="s">
        <v>3393</v>
      </c>
      <c r="D910" s="31" t="s">
        <v>4379</v>
      </c>
      <c r="E910" s="51">
        <v>5.13</v>
      </c>
      <c r="F910" s="32" t="s">
        <v>13</v>
      </c>
      <c r="G910" s="32" t="s">
        <v>7323</v>
      </c>
      <c r="H910" s="22"/>
      <c r="I910" s="11">
        <f>Table1[[#This Row],[Qty]]*Table1[[#This Row],[Price]]</f>
        <v>0</v>
      </c>
    </row>
    <row r="911" spans="1:9" ht="13.5" customHeight="1" x14ac:dyDescent="0.25">
      <c r="A911" s="28">
        <v>5425039220949</v>
      </c>
      <c r="B911" s="29" t="s">
        <v>4380</v>
      </c>
      <c r="C911" s="30" t="s">
        <v>3393</v>
      </c>
      <c r="D911" s="31" t="s">
        <v>4381</v>
      </c>
      <c r="E911" s="51">
        <v>4.88</v>
      </c>
      <c r="F911" s="32" t="s">
        <v>13</v>
      </c>
      <c r="G911" s="32" t="s">
        <v>7324</v>
      </c>
      <c r="H911" s="12"/>
      <c r="I911" s="11">
        <f>Table1[[#This Row],[Qty]]*Table1[[#This Row],[Price]]</f>
        <v>0</v>
      </c>
    </row>
    <row r="912" spans="1:9" ht="13.5" customHeight="1" x14ac:dyDescent="0.25">
      <c r="A912" s="28">
        <v>5425039221632</v>
      </c>
      <c r="B912" s="29" t="s">
        <v>4382</v>
      </c>
      <c r="C912" s="30" t="s">
        <v>3393</v>
      </c>
      <c r="D912" s="31" t="s">
        <v>4383</v>
      </c>
      <c r="E912" s="51">
        <v>4.88</v>
      </c>
      <c r="F912" s="32" t="s">
        <v>13</v>
      </c>
      <c r="G912" s="32" t="s">
        <v>7325</v>
      </c>
      <c r="H912" s="22"/>
      <c r="I912" s="11">
        <f>Table1[[#This Row],[Qty]]*Table1[[#This Row],[Price]]</f>
        <v>0</v>
      </c>
    </row>
    <row r="913" spans="1:9" ht="13.5" customHeight="1" x14ac:dyDescent="0.25">
      <c r="A913" s="28">
        <v>5425039222967</v>
      </c>
      <c r="B913" s="29" t="s">
        <v>4384</v>
      </c>
      <c r="C913" s="30" t="s">
        <v>3393</v>
      </c>
      <c r="D913" s="31" t="s">
        <v>4385</v>
      </c>
      <c r="E913" s="51">
        <v>5.38</v>
      </c>
      <c r="F913" s="32" t="s">
        <v>13</v>
      </c>
      <c r="G913" s="32" t="s">
        <v>7326</v>
      </c>
      <c r="H913" s="12"/>
      <c r="I913" s="11">
        <f>Table1[[#This Row],[Qty]]*Table1[[#This Row],[Price]]</f>
        <v>0</v>
      </c>
    </row>
    <row r="914" spans="1:9" ht="13.5" customHeight="1" x14ac:dyDescent="0.25">
      <c r="A914" s="28">
        <v>5425017734314</v>
      </c>
      <c r="B914" s="29" t="s">
        <v>4386</v>
      </c>
      <c r="C914" s="30" t="s">
        <v>3393</v>
      </c>
      <c r="D914" s="31" t="s">
        <v>4387</v>
      </c>
      <c r="E914" s="51">
        <v>5.13</v>
      </c>
      <c r="F914" s="32" t="s">
        <v>13</v>
      </c>
      <c r="G914" s="32" t="s">
        <v>7327</v>
      </c>
      <c r="H914" s="22"/>
      <c r="I914" s="11">
        <f>Table1[[#This Row],[Qty]]*Table1[[#This Row],[Price]]</f>
        <v>0</v>
      </c>
    </row>
    <row r="915" spans="1:9" ht="13.5" customHeight="1" x14ac:dyDescent="0.25">
      <c r="A915" s="28">
        <v>5425039220338</v>
      </c>
      <c r="B915" s="29" t="s">
        <v>4388</v>
      </c>
      <c r="C915" s="30" t="s">
        <v>3393</v>
      </c>
      <c r="D915" s="31" t="s">
        <v>4389</v>
      </c>
      <c r="E915" s="51">
        <v>5.13</v>
      </c>
      <c r="F915" s="32" t="s">
        <v>13</v>
      </c>
      <c r="G915" s="32" t="s">
        <v>7328</v>
      </c>
      <c r="H915" s="12"/>
      <c r="I915" s="11">
        <f>Table1[[#This Row],[Qty]]*Table1[[#This Row],[Price]]</f>
        <v>0</v>
      </c>
    </row>
    <row r="916" spans="1:9" ht="13.5" customHeight="1" x14ac:dyDescent="0.25">
      <c r="A916" s="28">
        <v>5425039222950</v>
      </c>
      <c r="B916" s="29" t="s">
        <v>4390</v>
      </c>
      <c r="C916" s="30" t="s">
        <v>3393</v>
      </c>
      <c r="D916" s="31" t="s">
        <v>4391</v>
      </c>
      <c r="E916" s="51">
        <v>5.13</v>
      </c>
      <c r="F916" s="32" t="s">
        <v>13</v>
      </c>
      <c r="G916" s="32" t="s">
        <v>7329</v>
      </c>
      <c r="H916" s="12"/>
      <c r="I916" s="11">
        <f>Table1[[#This Row],[Qty]]*Table1[[#This Row],[Price]]</f>
        <v>0</v>
      </c>
    </row>
    <row r="917" spans="1:9" ht="13.5" customHeight="1" x14ac:dyDescent="0.25">
      <c r="A917" s="28">
        <v>5425039220062</v>
      </c>
      <c r="B917" s="29" t="s">
        <v>4392</v>
      </c>
      <c r="C917" s="30" t="s">
        <v>3393</v>
      </c>
      <c r="D917" s="31" t="s">
        <v>4393</v>
      </c>
      <c r="E917" s="51">
        <v>5.63</v>
      </c>
      <c r="F917" s="32" t="s">
        <v>13</v>
      </c>
      <c r="G917" s="32" t="s">
        <v>7330</v>
      </c>
      <c r="H917" s="12"/>
      <c r="I917" s="11">
        <f>Table1[[#This Row],[Qty]]*Table1[[#This Row],[Price]]</f>
        <v>0</v>
      </c>
    </row>
    <row r="918" spans="1:9" ht="13.5" customHeight="1" x14ac:dyDescent="0.25">
      <c r="A918" s="28">
        <v>5425039220758</v>
      </c>
      <c r="B918" s="29" t="s">
        <v>4394</v>
      </c>
      <c r="C918" s="30" t="s">
        <v>3393</v>
      </c>
      <c r="D918" s="31" t="s">
        <v>4395</v>
      </c>
      <c r="E918" s="51">
        <v>8.6300000000000008</v>
      </c>
      <c r="F918" s="32" t="s">
        <v>13</v>
      </c>
      <c r="G918" s="32" t="s">
        <v>7331</v>
      </c>
      <c r="H918" s="22"/>
      <c r="I918" s="11">
        <f>Table1[[#This Row],[Qty]]*Table1[[#This Row],[Price]]</f>
        <v>0</v>
      </c>
    </row>
    <row r="919" spans="1:9" ht="13.5" customHeight="1" x14ac:dyDescent="0.25">
      <c r="A919" s="28">
        <v>5425017734413</v>
      </c>
      <c r="B919" s="29" t="s">
        <v>4396</v>
      </c>
      <c r="C919" s="33" t="s">
        <v>3393</v>
      </c>
      <c r="D919" s="31" t="s">
        <v>4397</v>
      </c>
      <c r="E919" s="51">
        <v>5.13</v>
      </c>
      <c r="F919" s="32" t="s">
        <v>13</v>
      </c>
      <c r="G919" s="32" t="s">
        <v>7332</v>
      </c>
      <c r="H919" s="22"/>
      <c r="I919" s="11">
        <f>Table1[[#This Row],[Qty]]*Table1[[#This Row],[Price]]</f>
        <v>0</v>
      </c>
    </row>
    <row r="920" spans="1:9" ht="13.5" customHeight="1" x14ac:dyDescent="0.25">
      <c r="A920" s="28">
        <v>5425017734451</v>
      </c>
      <c r="B920" s="29" t="s">
        <v>4398</v>
      </c>
      <c r="C920" s="30" t="s">
        <v>3393</v>
      </c>
      <c r="D920" s="31" t="s">
        <v>4399</v>
      </c>
      <c r="E920" s="51">
        <v>5.13</v>
      </c>
      <c r="F920" s="32" t="s">
        <v>13</v>
      </c>
      <c r="G920" s="32" t="s">
        <v>7333</v>
      </c>
      <c r="H920" s="12"/>
      <c r="I920" s="11">
        <f>Table1[[#This Row],[Qty]]*Table1[[#This Row],[Price]]</f>
        <v>0</v>
      </c>
    </row>
    <row r="921" spans="1:9" ht="13.5" customHeight="1" x14ac:dyDescent="0.25">
      <c r="A921" s="28">
        <v>5425039220109</v>
      </c>
      <c r="B921" s="29" t="s">
        <v>4400</v>
      </c>
      <c r="C921" s="30" t="s">
        <v>3393</v>
      </c>
      <c r="D921" s="31" t="s">
        <v>4401</v>
      </c>
      <c r="E921" s="51">
        <v>5.88</v>
      </c>
      <c r="F921" s="32" t="s">
        <v>13</v>
      </c>
      <c r="G921" s="32" t="s">
        <v>7334</v>
      </c>
      <c r="H921" s="12"/>
      <c r="I921" s="11">
        <f>Table1[[#This Row],[Qty]]*Table1[[#This Row],[Price]]</f>
        <v>0</v>
      </c>
    </row>
    <row r="922" spans="1:9" ht="13.5" customHeight="1" x14ac:dyDescent="0.25">
      <c r="A922" s="28">
        <v>5425039221045</v>
      </c>
      <c r="B922" s="29" t="s">
        <v>4402</v>
      </c>
      <c r="C922" s="30" t="s">
        <v>3393</v>
      </c>
      <c r="D922" s="31" t="s">
        <v>4403</v>
      </c>
      <c r="E922" s="51">
        <v>5.13</v>
      </c>
      <c r="F922" s="32" t="s">
        <v>13</v>
      </c>
      <c r="G922" s="32" t="s">
        <v>7335</v>
      </c>
      <c r="H922" s="12"/>
      <c r="I922" s="11">
        <f>Table1[[#This Row],[Qty]]*Table1[[#This Row],[Price]]</f>
        <v>0</v>
      </c>
    </row>
    <row r="923" spans="1:9" ht="13.5" customHeight="1" x14ac:dyDescent="0.25">
      <c r="A923" s="28">
        <v>5425039220093</v>
      </c>
      <c r="B923" s="29" t="s">
        <v>4404</v>
      </c>
      <c r="C923" s="30" t="s">
        <v>3393</v>
      </c>
      <c r="D923" s="31" t="s">
        <v>4405</v>
      </c>
      <c r="E923" s="51">
        <v>5.88</v>
      </c>
      <c r="F923" s="32" t="s">
        <v>13</v>
      </c>
      <c r="G923" s="32" t="s">
        <v>7336</v>
      </c>
      <c r="H923" s="12"/>
      <c r="I923" s="11">
        <f>Table1[[#This Row],[Qty]]*Table1[[#This Row],[Price]]</f>
        <v>0</v>
      </c>
    </row>
    <row r="924" spans="1:9" ht="13.5" customHeight="1" x14ac:dyDescent="0.25">
      <c r="A924" s="28">
        <v>5425039220901</v>
      </c>
      <c r="B924" s="29" t="s">
        <v>4406</v>
      </c>
      <c r="C924" s="30" t="s">
        <v>3393</v>
      </c>
      <c r="D924" s="31" t="s">
        <v>4407</v>
      </c>
      <c r="E924" s="51">
        <v>5.87</v>
      </c>
      <c r="F924" s="32" t="s">
        <v>13</v>
      </c>
      <c r="G924" s="32" t="s">
        <v>7337</v>
      </c>
      <c r="H924" s="12"/>
      <c r="I924" s="11">
        <f>Table1[[#This Row],[Qty]]*Table1[[#This Row],[Price]]</f>
        <v>0</v>
      </c>
    </row>
    <row r="925" spans="1:9" ht="13.5" customHeight="1" x14ac:dyDescent="0.25">
      <c r="A925" s="28">
        <v>5425017735793</v>
      </c>
      <c r="B925" s="29" t="s">
        <v>4408</v>
      </c>
      <c r="C925" s="30" t="s">
        <v>3393</v>
      </c>
      <c r="D925" s="31" t="s">
        <v>4409</v>
      </c>
      <c r="E925" s="51">
        <v>5.13</v>
      </c>
      <c r="F925" s="32" t="s">
        <v>13</v>
      </c>
      <c r="G925" s="32" t="s">
        <v>7338</v>
      </c>
      <c r="H925" s="22"/>
      <c r="I925" s="11">
        <f>Table1[[#This Row],[Qty]]*Table1[[#This Row],[Price]]</f>
        <v>0</v>
      </c>
    </row>
    <row r="926" spans="1:9" ht="13.5" customHeight="1" x14ac:dyDescent="0.25">
      <c r="A926" s="28">
        <v>5425039222974</v>
      </c>
      <c r="B926" s="29" t="s">
        <v>4410</v>
      </c>
      <c r="C926" s="30" t="s">
        <v>3393</v>
      </c>
      <c r="D926" s="31" t="s">
        <v>4411</v>
      </c>
      <c r="E926" s="51">
        <v>5.13</v>
      </c>
      <c r="F926" s="32" t="s">
        <v>13</v>
      </c>
      <c r="G926" s="32" t="s">
        <v>7339</v>
      </c>
      <c r="H926" s="12"/>
      <c r="I926" s="11">
        <f>Table1[[#This Row],[Qty]]*Table1[[#This Row],[Price]]</f>
        <v>0</v>
      </c>
    </row>
    <row r="927" spans="1:9" ht="13.5" customHeight="1" x14ac:dyDescent="0.25">
      <c r="A927" s="28">
        <v>5425039220413</v>
      </c>
      <c r="B927" s="29" t="s">
        <v>4412</v>
      </c>
      <c r="C927" s="30" t="s">
        <v>3393</v>
      </c>
      <c r="D927" s="31" t="s">
        <v>4413</v>
      </c>
      <c r="E927" s="51">
        <v>6.13</v>
      </c>
      <c r="F927" s="32" t="s">
        <v>13</v>
      </c>
      <c r="G927" s="32" t="s">
        <v>7340</v>
      </c>
      <c r="H927" s="12"/>
      <c r="I927" s="11">
        <f>Table1[[#This Row],[Qty]]*Table1[[#This Row],[Price]]</f>
        <v>0</v>
      </c>
    </row>
    <row r="928" spans="1:9" ht="13.5" customHeight="1" x14ac:dyDescent="0.25">
      <c r="A928" s="28">
        <v>5425039221083</v>
      </c>
      <c r="B928" s="29" t="s">
        <v>4414</v>
      </c>
      <c r="C928" s="30" t="s">
        <v>3393</v>
      </c>
      <c r="D928" s="31" t="s">
        <v>4415</v>
      </c>
      <c r="E928" s="51">
        <v>5.38</v>
      </c>
      <c r="F928" s="32" t="s">
        <v>13</v>
      </c>
      <c r="G928" s="32" t="s">
        <v>7341</v>
      </c>
      <c r="H928" s="12"/>
      <c r="I928" s="11">
        <f>Table1[[#This Row],[Qty]]*Table1[[#This Row],[Price]]</f>
        <v>0</v>
      </c>
    </row>
    <row r="929" spans="1:9" ht="13.5" customHeight="1" x14ac:dyDescent="0.25">
      <c r="A929" s="28">
        <v>5425039221649</v>
      </c>
      <c r="B929" s="29" t="s">
        <v>4416</v>
      </c>
      <c r="C929" s="33" t="s">
        <v>3393</v>
      </c>
      <c r="D929" s="31" t="s">
        <v>4417</v>
      </c>
      <c r="E929" s="51">
        <v>5.38</v>
      </c>
      <c r="F929" s="32" t="s">
        <v>13</v>
      </c>
      <c r="G929" s="32" t="s">
        <v>7342</v>
      </c>
      <c r="H929" s="22"/>
      <c r="I929" s="11">
        <f>Table1[[#This Row],[Qty]]*Table1[[#This Row],[Price]]</f>
        <v>0</v>
      </c>
    </row>
    <row r="930" spans="1:9" ht="13.5" customHeight="1" x14ac:dyDescent="0.25">
      <c r="A930" s="28">
        <v>5425017735809</v>
      </c>
      <c r="B930" s="29" t="s">
        <v>4418</v>
      </c>
      <c r="C930" s="30" t="s">
        <v>3393</v>
      </c>
      <c r="D930" s="31" t="s">
        <v>4419</v>
      </c>
      <c r="E930" s="51">
        <v>4.88</v>
      </c>
      <c r="F930" s="32" t="s">
        <v>13</v>
      </c>
      <c r="G930" s="32" t="s">
        <v>7343</v>
      </c>
      <c r="H930" s="22"/>
      <c r="I930" s="11">
        <f>Table1[[#This Row],[Qty]]*Table1[[#This Row],[Price]]</f>
        <v>0</v>
      </c>
    </row>
    <row r="931" spans="1:9" ht="13.5" customHeight="1" x14ac:dyDescent="0.25">
      <c r="A931" s="28">
        <v>5425017737087</v>
      </c>
      <c r="B931" s="29" t="s">
        <v>4420</v>
      </c>
      <c r="C931" s="30" t="s">
        <v>3393</v>
      </c>
      <c r="D931" s="31" t="s">
        <v>4421</v>
      </c>
      <c r="E931" s="51">
        <v>4.88</v>
      </c>
      <c r="F931" s="32" t="s">
        <v>13</v>
      </c>
      <c r="G931" s="32" t="s">
        <v>7344</v>
      </c>
      <c r="H931" s="22"/>
      <c r="I931" s="11">
        <f>Table1[[#This Row],[Qty]]*Table1[[#This Row],[Price]]</f>
        <v>0</v>
      </c>
    </row>
    <row r="932" spans="1:9" ht="13.5" customHeight="1" x14ac:dyDescent="0.25">
      <c r="A932" s="28">
        <v>5425017730644</v>
      </c>
      <c r="B932" s="29" t="s">
        <v>4422</v>
      </c>
      <c r="C932" s="30" t="s">
        <v>3393</v>
      </c>
      <c r="D932" s="31" t="s">
        <v>4423</v>
      </c>
      <c r="E932" s="51">
        <v>5.13</v>
      </c>
      <c r="F932" s="32" t="s">
        <v>13</v>
      </c>
      <c r="G932" s="32" t="s">
        <v>7345</v>
      </c>
      <c r="H932" s="22"/>
      <c r="I932" s="11">
        <f>Table1[[#This Row],[Qty]]*Table1[[#This Row],[Price]]</f>
        <v>0</v>
      </c>
    </row>
    <row r="933" spans="1:9" ht="13.5" customHeight="1" x14ac:dyDescent="0.25">
      <c r="A933" s="28">
        <v>5425039220239</v>
      </c>
      <c r="B933" s="29" t="s">
        <v>4424</v>
      </c>
      <c r="C933" s="30" t="s">
        <v>3393</v>
      </c>
      <c r="D933" s="31" t="s">
        <v>4425</v>
      </c>
      <c r="E933" s="51">
        <v>4.88</v>
      </c>
      <c r="F933" s="32" t="s">
        <v>13</v>
      </c>
      <c r="G933" s="32" t="s">
        <v>7346</v>
      </c>
      <c r="H933" s="22"/>
      <c r="I933" s="11">
        <f>Table1[[#This Row],[Qty]]*Table1[[#This Row],[Price]]</f>
        <v>0</v>
      </c>
    </row>
    <row r="934" spans="1:9" ht="13.5" customHeight="1" x14ac:dyDescent="0.25">
      <c r="A934" s="28">
        <v>5425039220925</v>
      </c>
      <c r="B934" s="29" t="s">
        <v>4426</v>
      </c>
      <c r="C934" s="30" t="s">
        <v>3393</v>
      </c>
      <c r="D934" s="31" t="s">
        <v>4427</v>
      </c>
      <c r="E934" s="51">
        <v>4.88</v>
      </c>
      <c r="F934" s="32" t="s">
        <v>13</v>
      </c>
      <c r="G934" s="32" t="s">
        <v>7347</v>
      </c>
      <c r="H934" s="12"/>
      <c r="I934" s="11">
        <f>Table1[[#This Row],[Qty]]*Table1[[#This Row],[Price]]</f>
        <v>0</v>
      </c>
    </row>
    <row r="935" spans="1:9" ht="13.5" customHeight="1" x14ac:dyDescent="0.25">
      <c r="A935" s="28">
        <v>5425017733560</v>
      </c>
      <c r="B935" s="29" t="s">
        <v>4428</v>
      </c>
      <c r="C935" s="30" t="s">
        <v>3393</v>
      </c>
      <c r="D935" s="31" t="s">
        <v>4429</v>
      </c>
      <c r="E935" s="51">
        <v>5.13</v>
      </c>
      <c r="F935" s="32" t="s">
        <v>13</v>
      </c>
      <c r="G935" s="32" t="s">
        <v>7348</v>
      </c>
      <c r="H935" s="12"/>
      <c r="I935" s="11">
        <f>Table1[[#This Row],[Qty]]*Table1[[#This Row],[Price]]</f>
        <v>0</v>
      </c>
    </row>
    <row r="936" spans="1:9" ht="13.5" customHeight="1" x14ac:dyDescent="0.25">
      <c r="A936" s="28">
        <v>5425017734277</v>
      </c>
      <c r="B936" s="29" t="s">
        <v>4430</v>
      </c>
      <c r="C936" s="30" t="s">
        <v>3393</v>
      </c>
      <c r="D936" s="31" t="s">
        <v>4431</v>
      </c>
      <c r="E936" s="51">
        <v>5.13</v>
      </c>
      <c r="F936" s="32" t="s">
        <v>13</v>
      </c>
      <c r="G936" s="32" t="s">
        <v>7349</v>
      </c>
      <c r="H936" s="22"/>
      <c r="I936" s="11">
        <f>Table1[[#This Row],[Qty]]*Table1[[#This Row],[Price]]</f>
        <v>0</v>
      </c>
    </row>
    <row r="937" spans="1:9" ht="13.5" customHeight="1" x14ac:dyDescent="0.25">
      <c r="A937" s="28">
        <v>5425039220192</v>
      </c>
      <c r="B937" s="29" t="s">
        <v>4432</v>
      </c>
      <c r="C937" s="30" t="s">
        <v>3393</v>
      </c>
      <c r="D937" s="31" t="s">
        <v>4433</v>
      </c>
      <c r="E937" s="51">
        <v>4.88</v>
      </c>
      <c r="F937" s="32" t="s">
        <v>13</v>
      </c>
      <c r="G937" s="32" t="s">
        <v>7350</v>
      </c>
      <c r="H937" s="22"/>
      <c r="I937" s="11">
        <f>Table1[[#This Row],[Qty]]*Table1[[#This Row],[Price]]</f>
        <v>0</v>
      </c>
    </row>
    <row r="938" spans="1:9" ht="13.5" customHeight="1" x14ac:dyDescent="0.25">
      <c r="A938" s="28">
        <v>5425039220475</v>
      </c>
      <c r="B938" s="29" t="s">
        <v>4434</v>
      </c>
      <c r="C938" s="30" t="s">
        <v>3393</v>
      </c>
      <c r="D938" s="31" t="s">
        <v>4435</v>
      </c>
      <c r="E938" s="51">
        <v>5.13</v>
      </c>
      <c r="F938" s="32" t="s">
        <v>13</v>
      </c>
      <c r="G938" s="32" t="s">
        <v>7351</v>
      </c>
      <c r="H938" s="12"/>
      <c r="I938" s="11">
        <f>Table1[[#This Row],[Qty]]*Table1[[#This Row],[Price]]</f>
        <v>0</v>
      </c>
    </row>
    <row r="939" spans="1:9" ht="13.5" customHeight="1" x14ac:dyDescent="0.25">
      <c r="A939" s="28">
        <v>5425039222769</v>
      </c>
      <c r="B939" s="29" t="s">
        <v>4436</v>
      </c>
      <c r="C939" s="30" t="s">
        <v>3393</v>
      </c>
      <c r="D939" s="31" t="s">
        <v>4437</v>
      </c>
      <c r="E939" s="51">
        <v>5.63</v>
      </c>
      <c r="F939" s="32" t="s">
        <v>13</v>
      </c>
      <c r="G939" s="32" t="s">
        <v>7352</v>
      </c>
      <c r="H939" s="12"/>
      <c r="I939" s="11">
        <f>Table1[[#This Row],[Qty]]*Table1[[#This Row],[Price]]</f>
        <v>0</v>
      </c>
    </row>
    <row r="940" spans="1:9" ht="13.5" customHeight="1" x14ac:dyDescent="0.25">
      <c r="A940" s="28">
        <v>5425039220307</v>
      </c>
      <c r="B940" s="29" t="s">
        <v>4438</v>
      </c>
      <c r="C940" s="30" t="s">
        <v>3393</v>
      </c>
      <c r="D940" s="31" t="s">
        <v>4439</v>
      </c>
      <c r="E940" s="51">
        <v>8.6300000000000008</v>
      </c>
      <c r="F940" s="32" t="s">
        <v>13</v>
      </c>
      <c r="G940" s="32" t="s">
        <v>7353</v>
      </c>
      <c r="H940" s="22"/>
      <c r="I940" s="11">
        <f>Table1[[#This Row],[Qty]]*Table1[[#This Row],[Price]]</f>
        <v>0</v>
      </c>
    </row>
    <row r="941" spans="1:9" ht="13.5" customHeight="1" x14ac:dyDescent="0.25">
      <c r="A941" s="28">
        <v>5425039221144</v>
      </c>
      <c r="B941" s="29" t="s">
        <v>4440</v>
      </c>
      <c r="C941" s="30" t="s">
        <v>3393</v>
      </c>
      <c r="D941" s="31" t="s">
        <v>4441</v>
      </c>
      <c r="E941" s="51">
        <v>9.1300000000000008</v>
      </c>
      <c r="F941" s="32" t="s">
        <v>13</v>
      </c>
      <c r="G941" s="32" t="s">
        <v>7354</v>
      </c>
      <c r="H941" s="22"/>
      <c r="I941" s="11">
        <f>Table1[[#This Row],[Qty]]*Table1[[#This Row],[Price]]</f>
        <v>0</v>
      </c>
    </row>
    <row r="942" spans="1:9" ht="13.5" customHeight="1" x14ac:dyDescent="0.25">
      <c r="A942" s="28">
        <v>5425039222295</v>
      </c>
      <c r="B942" s="29" t="s">
        <v>4442</v>
      </c>
      <c r="C942" s="30" t="s">
        <v>3393</v>
      </c>
      <c r="D942" s="31" t="s">
        <v>4443</v>
      </c>
      <c r="E942" s="51">
        <v>9.1300000000000008</v>
      </c>
      <c r="F942" s="32" t="s">
        <v>13</v>
      </c>
      <c r="G942" s="32" t="s">
        <v>7355</v>
      </c>
      <c r="H942" s="12"/>
      <c r="I942" s="11">
        <f>Table1[[#This Row],[Qty]]*Table1[[#This Row],[Price]]</f>
        <v>0</v>
      </c>
    </row>
    <row r="943" spans="1:9" ht="13.5" customHeight="1" x14ac:dyDescent="0.25">
      <c r="A943" s="28">
        <v>5425039222547</v>
      </c>
      <c r="B943" s="29" t="s">
        <v>4444</v>
      </c>
      <c r="C943" s="30" t="s">
        <v>3393</v>
      </c>
      <c r="D943" s="31" t="s">
        <v>4445</v>
      </c>
      <c r="E943" s="51">
        <v>9.1300000000000008</v>
      </c>
      <c r="F943" s="32" t="s">
        <v>13</v>
      </c>
      <c r="G943" s="32" t="s">
        <v>7356</v>
      </c>
      <c r="H943" s="22"/>
      <c r="I943" s="11">
        <f>Table1[[#This Row],[Qty]]*Table1[[#This Row],[Price]]</f>
        <v>0</v>
      </c>
    </row>
    <row r="944" spans="1:9" ht="13.5" customHeight="1" x14ac:dyDescent="0.25">
      <c r="A944" s="28">
        <v>5425039222554</v>
      </c>
      <c r="B944" s="29" t="s">
        <v>4446</v>
      </c>
      <c r="C944" s="30" t="s">
        <v>3393</v>
      </c>
      <c r="D944" s="31" t="s">
        <v>4447</v>
      </c>
      <c r="E944" s="51">
        <v>9.1300000000000008</v>
      </c>
      <c r="F944" s="32" t="s">
        <v>13</v>
      </c>
      <c r="G944" s="32" t="s">
        <v>7357</v>
      </c>
      <c r="H944" s="12"/>
      <c r="I944" s="11">
        <f>Table1[[#This Row],[Qty]]*Table1[[#This Row],[Price]]</f>
        <v>0</v>
      </c>
    </row>
    <row r="945" spans="1:9" ht="13.5" customHeight="1" x14ac:dyDescent="0.25">
      <c r="A945" s="28">
        <v>5425017734895</v>
      </c>
      <c r="B945" s="29" t="s">
        <v>4448</v>
      </c>
      <c r="C945" s="30" t="s">
        <v>3393</v>
      </c>
      <c r="D945" s="31" t="s">
        <v>4449</v>
      </c>
      <c r="E945" s="51">
        <v>8.6300000000000008</v>
      </c>
      <c r="F945" s="32" t="s">
        <v>13</v>
      </c>
      <c r="G945" s="32" t="s">
        <v>7358</v>
      </c>
      <c r="H945" s="12"/>
      <c r="I945" s="11">
        <f>Table1[[#This Row],[Qty]]*Table1[[#This Row],[Price]]</f>
        <v>0</v>
      </c>
    </row>
    <row r="946" spans="1:9" ht="13.5" customHeight="1" x14ac:dyDescent="0.25">
      <c r="A946" s="28">
        <v>5425017734901</v>
      </c>
      <c r="B946" s="29" t="s">
        <v>4450</v>
      </c>
      <c r="C946" s="30" t="s">
        <v>3393</v>
      </c>
      <c r="D946" s="31" t="s">
        <v>4451</v>
      </c>
      <c r="E946" s="51">
        <v>9.1300000000000008</v>
      </c>
      <c r="F946" s="32" t="s">
        <v>13</v>
      </c>
      <c r="G946" s="32" t="s">
        <v>7359</v>
      </c>
      <c r="H946" s="22"/>
      <c r="I946" s="11">
        <f>Table1[[#This Row],[Qty]]*Table1[[#This Row],[Price]]</f>
        <v>0</v>
      </c>
    </row>
    <row r="947" spans="1:9" ht="13.5" customHeight="1" x14ac:dyDescent="0.25">
      <c r="A947" s="28">
        <v>5425039220765</v>
      </c>
      <c r="B947" s="29" t="s">
        <v>4452</v>
      </c>
      <c r="C947" s="30" t="s">
        <v>3393</v>
      </c>
      <c r="D947" s="31" t="s">
        <v>4453</v>
      </c>
      <c r="E947" s="51">
        <v>9.1300000000000008</v>
      </c>
      <c r="F947" s="32" t="s">
        <v>13</v>
      </c>
      <c r="G947" s="32" t="s">
        <v>7360</v>
      </c>
      <c r="H947" s="12"/>
      <c r="I947" s="11">
        <f>Table1[[#This Row],[Qty]]*Table1[[#This Row],[Price]]</f>
        <v>0</v>
      </c>
    </row>
    <row r="948" spans="1:9" ht="13.5" customHeight="1" x14ac:dyDescent="0.25">
      <c r="A948" s="28">
        <v>5425017734321</v>
      </c>
      <c r="B948" s="29" t="s">
        <v>4454</v>
      </c>
      <c r="C948" s="30" t="s">
        <v>3393</v>
      </c>
      <c r="D948" s="31" t="s">
        <v>4455</v>
      </c>
      <c r="E948" s="51">
        <v>4.88</v>
      </c>
      <c r="F948" s="32" t="s">
        <v>13</v>
      </c>
      <c r="G948" s="32" t="s">
        <v>7361</v>
      </c>
      <c r="H948" s="14"/>
      <c r="I948" s="11">
        <f>Table1[[#This Row],[Qty]]*Table1[[#This Row],[Price]]</f>
        <v>0</v>
      </c>
    </row>
    <row r="949" spans="1:9" ht="13.5" customHeight="1" x14ac:dyDescent="0.25">
      <c r="A949" s="28">
        <v>5425039221496</v>
      </c>
      <c r="B949" s="29" t="s">
        <v>4456</v>
      </c>
      <c r="C949" s="30" t="s">
        <v>3393</v>
      </c>
      <c r="D949" s="31" t="s">
        <v>4457</v>
      </c>
      <c r="E949" s="51">
        <v>5.13</v>
      </c>
      <c r="F949" s="32" t="s">
        <v>13</v>
      </c>
      <c r="G949" s="32" t="s">
        <v>7362</v>
      </c>
      <c r="H949" s="12"/>
      <c r="I949" s="11">
        <f>Table1[[#This Row],[Qty]]*Table1[[#This Row],[Price]]</f>
        <v>0</v>
      </c>
    </row>
    <row r="950" spans="1:9" ht="13.5" customHeight="1" x14ac:dyDescent="0.25">
      <c r="A950" s="28">
        <v>5425017735090</v>
      </c>
      <c r="B950" s="29" t="s">
        <v>4458</v>
      </c>
      <c r="C950" s="30" t="s">
        <v>3393</v>
      </c>
      <c r="D950" s="31" t="s">
        <v>4459</v>
      </c>
      <c r="E950" s="51">
        <v>5.13</v>
      </c>
      <c r="F950" s="32" t="s">
        <v>13</v>
      </c>
      <c r="G950" s="32" t="s">
        <v>7363</v>
      </c>
      <c r="H950" s="12"/>
      <c r="I950" s="11">
        <f>Table1[[#This Row],[Qty]]*Table1[[#This Row],[Price]]</f>
        <v>0</v>
      </c>
    </row>
    <row r="951" spans="1:9" ht="13.5" customHeight="1" x14ac:dyDescent="0.25">
      <c r="A951" s="28">
        <v>5425039220772</v>
      </c>
      <c r="B951" s="29" t="s">
        <v>4460</v>
      </c>
      <c r="C951" s="30" t="s">
        <v>3393</v>
      </c>
      <c r="D951" s="31" t="s">
        <v>4461</v>
      </c>
      <c r="E951" s="51">
        <v>9.1300000000000008</v>
      </c>
      <c r="F951" s="32" t="s">
        <v>13</v>
      </c>
      <c r="G951" s="32" t="s">
        <v>7364</v>
      </c>
      <c r="H951" s="22"/>
      <c r="I951" s="11">
        <f>Table1[[#This Row],[Qty]]*Table1[[#This Row],[Price]]</f>
        <v>0</v>
      </c>
    </row>
    <row r="952" spans="1:9" ht="13.5" customHeight="1" x14ac:dyDescent="0.25">
      <c r="A952" s="28">
        <v>3349668617173</v>
      </c>
      <c r="B952" s="29" t="s">
        <v>48</v>
      </c>
      <c r="C952" s="30" t="s">
        <v>49</v>
      </c>
      <c r="D952" s="31" t="s">
        <v>50</v>
      </c>
      <c r="E952" s="51">
        <v>54.5</v>
      </c>
      <c r="F952" s="32" t="s">
        <v>13</v>
      </c>
      <c r="G952" s="32" t="s">
        <v>5620</v>
      </c>
      <c r="H952" s="22"/>
      <c r="I952" s="11">
        <f>Table1[[#This Row],[Qty]]*Table1[[#This Row],[Price]]</f>
        <v>0</v>
      </c>
    </row>
    <row r="953" spans="1:9" ht="13.5" customHeight="1" x14ac:dyDescent="0.25">
      <c r="A953" s="28">
        <v>3349668630349</v>
      </c>
      <c r="B953" s="29" t="s">
        <v>4163</v>
      </c>
      <c r="C953" s="30" t="s">
        <v>49</v>
      </c>
      <c r="D953" s="31" t="s">
        <v>4164</v>
      </c>
      <c r="E953" s="51">
        <v>64.290000000000006</v>
      </c>
      <c r="F953" s="32" t="s">
        <v>13</v>
      </c>
      <c r="G953" s="32" t="s">
        <v>7227</v>
      </c>
      <c r="H953" s="22"/>
      <c r="I953" s="11">
        <f>Table1[[#This Row],[Qty]]*Table1[[#This Row],[Price]]</f>
        <v>0</v>
      </c>
    </row>
    <row r="954" spans="1:9" ht="13.5" customHeight="1" x14ac:dyDescent="0.25">
      <c r="A954" s="28">
        <v>3349668641772</v>
      </c>
      <c r="B954" s="29" t="s">
        <v>3301</v>
      </c>
      <c r="C954" s="30" t="s">
        <v>49</v>
      </c>
      <c r="D954" s="31" t="s">
        <v>3302</v>
      </c>
      <c r="E954" s="51">
        <v>70.7</v>
      </c>
      <c r="F954" s="32" t="s">
        <v>13</v>
      </c>
      <c r="G954" s="32" t="s">
        <v>7379</v>
      </c>
      <c r="H954" s="12"/>
      <c r="I954" s="11">
        <f>Table1[[#This Row],[Qty]]*Table1[[#This Row],[Price]]</f>
        <v>0</v>
      </c>
    </row>
    <row r="955" spans="1:9" ht="13.5" customHeight="1" x14ac:dyDescent="0.25">
      <c r="A955" s="28">
        <v>608940536094</v>
      </c>
      <c r="B955" s="29" t="s">
        <v>2721</v>
      </c>
      <c r="C955" s="30" t="s">
        <v>497</v>
      </c>
      <c r="D955" s="31" t="s">
        <v>2722</v>
      </c>
      <c r="E955" s="51">
        <v>26.93</v>
      </c>
      <c r="F955" s="32" t="s">
        <v>13</v>
      </c>
      <c r="G955" s="32" t="s">
        <v>7365</v>
      </c>
      <c r="H955" s="12"/>
      <c r="I955" s="11">
        <f>Table1[[#This Row],[Qty]]*Table1[[#This Row],[Price]]</f>
        <v>0</v>
      </c>
    </row>
    <row r="956" spans="1:9" ht="13.5" customHeight="1" x14ac:dyDescent="0.25">
      <c r="A956" s="28">
        <v>844061015647</v>
      </c>
      <c r="B956" s="29" t="s">
        <v>4226</v>
      </c>
      <c r="C956" s="30" t="s">
        <v>209</v>
      </c>
      <c r="D956" s="31" t="s">
        <v>4227</v>
      </c>
      <c r="E956" s="51">
        <v>22</v>
      </c>
      <c r="F956" s="32" t="s">
        <v>13</v>
      </c>
      <c r="G956" s="32" t="s">
        <v>5745</v>
      </c>
      <c r="H956" s="22"/>
      <c r="I956" s="11">
        <f>Table1[[#This Row],[Qty]]*Table1[[#This Row],[Price]]</f>
        <v>0</v>
      </c>
    </row>
    <row r="957" spans="1:9" ht="13.5" customHeight="1" x14ac:dyDescent="0.25">
      <c r="A957" s="28">
        <v>844061009493</v>
      </c>
      <c r="B957" s="29" t="s">
        <v>4063</v>
      </c>
      <c r="C957" s="30" t="s">
        <v>209</v>
      </c>
      <c r="D957" s="31" t="s">
        <v>4064</v>
      </c>
      <c r="E957" s="51">
        <v>17.97</v>
      </c>
      <c r="F957" s="32" t="s">
        <v>13</v>
      </c>
      <c r="G957" s="32" t="s">
        <v>7189</v>
      </c>
      <c r="H957" s="12"/>
      <c r="I957" s="11">
        <f>Table1[[#This Row],[Qty]]*Table1[[#This Row],[Price]]</f>
        <v>0</v>
      </c>
    </row>
    <row r="958" spans="1:9" ht="13.5" customHeight="1" x14ac:dyDescent="0.25">
      <c r="A958" s="28">
        <v>844061006157</v>
      </c>
      <c r="B958" s="29" t="s">
        <v>4081</v>
      </c>
      <c r="C958" s="30" t="s">
        <v>209</v>
      </c>
      <c r="D958" s="31" t="s">
        <v>4082</v>
      </c>
      <c r="E958" s="51">
        <v>16.43</v>
      </c>
      <c r="F958" s="32" t="s">
        <v>13</v>
      </c>
      <c r="G958" s="32" t="s">
        <v>7195</v>
      </c>
      <c r="H958" s="12"/>
      <c r="I958" s="11">
        <f>Table1[[#This Row],[Qty]]*Table1[[#This Row],[Price]]</f>
        <v>0</v>
      </c>
    </row>
    <row r="959" spans="1:9" ht="13.5" customHeight="1" x14ac:dyDescent="0.25">
      <c r="A959" s="28">
        <v>844061015678</v>
      </c>
      <c r="B959" s="29" t="s">
        <v>2765</v>
      </c>
      <c r="C959" s="30" t="s">
        <v>209</v>
      </c>
      <c r="D959" s="31" t="s">
        <v>2766</v>
      </c>
      <c r="E959" s="51">
        <v>23.97</v>
      </c>
      <c r="F959" s="32" t="s">
        <v>13</v>
      </c>
      <c r="G959" s="32" t="s">
        <v>7380</v>
      </c>
      <c r="H959" s="12"/>
      <c r="I959" s="11">
        <f>Table1[[#This Row],[Qty]]*Table1[[#This Row],[Price]]</f>
        <v>0</v>
      </c>
    </row>
    <row r="960" spans="1:9" ht="13.5" customHeight="1" x14ac:dyDescent="0.25">
      <c r="A960" s="28">
        <v>3614274000597</v>
      </c>
      <c r="B960" s="29" t="s">
        <v>4109</v>
      </c>
      <c r="C960" s="30" t="s">
        <v>839</v>
      </c>
      <c r="D960" s="31" t="s">
        <v>4110</v>
      </c>
      <c r="E960" s="51">
        <v>81.13</v>
      </c>
      <c r="F960" s="32" t="s">
        <v>13</v>
      </c>
      <c r="G960" s="32" t="s">
        <v>7205</v>
      </c>
      <c r="H960" s="12"/>
      <c r="I960" s="11">
        <f>Table1[[#This Row],[Qty]]*Table1[[#This Row],[Price]]</f>
        <v>0</v>
      </c>
    </row>
    <row r="961" spans="1:9" ht="13.5" customHeight="1" x14ac:dyDescent="0.25">
      <c r="A961" s="28">
        <v>3660732616886</v>
      </c>
      <c r="B961" s="29" t="s">
        <v>96</v>
      </c>
      <c r="C961" s="30" t="s">
        <v>97</v>
      </c>
      <c r="D961" s="31" t="s">
        <v>98</v>
      </c>
      <c r="E961" s="51">
        <v>35</v>
      </c>
      <c r="F961" s="32" t="s">
        <v>13</v>
      </c>
      <c r="G961" s="32" t="s">
        <v>5639</v>
      </c>
      <c r="H961" s="12"/>
      <c r="I961" s="11">
        <f>Table1[[#This Row],[Qty]]*Table1[[#This Row],[Price]]</f>
        <v>0</v>
      </c>
    </row>
    <row r="962" spans="1:9" ht="13.5" customHeight="1" x14ac:dyDescent="0.25">
      <c r="A962" s="28">
        <v>3605970416089</v>
      </c>
      <c r="B962" s="29" t="s">
        <v>106</v>
      </c>
      <c r="C962" s="33" t="s">
        <v>97</v>
      </c>
      <c r="D962" s="31" t="s">
        <v>107</v>
      </c>
      <c r="E962" s="51">
        <v>25.5</v>
      </c>
      <c r="F962" s="32" t="s">
        <v>13</v>
      </c>
      <c r="G962" s="32" t="s">
        <v>5643</v>
      </c>
      <c r="H962" s="22"/>
      <c r="I962" s="11">
        <f>Table1[[#This Row],[Qty]]*Table1[[#This Row],[Price]]</f>
        <v>0</v>
      </c>
    </row>
    <row r="963" spans="1:9" ht="13.5" customHeight="1" x14ac:dyDescent="0.25">
      <c r="A963" s="28">
        <v>3605970416003</v>
      </c>
      <c r="B963" s="29" t="s">
        <v>114</v>
      </c>
      <c r="C963" s="30" t="s">
        <v>97</v>
      </c>
      <c r="D963" s="31" t="s">
        <v>115</v>
      </c>
      <c r="E963" s="51">
        <v>34</v>
      </c>
      <c r="F963" s="32" t="s">
        <v>13</v>
      </c>
      <c r="G963" s="32" t="s">
        <v>5646</v>
      </c>
      <c r="H963" s="12"/>
      <c r="I963" s="11">
        <f>Table1[[#This Row],[Qty]]*Table1[[#This Row],[Price]]</f>
        <v>0</v>
      </c>
    </row>
    <row r="964" spans="1:9" ht="13.5" customHeight="1" x14ac:dyDescent="0.25">
      <c r="A964" s="28">
        <v>3360372012825</v>
      </c>
      <c r="B964" s="29" t="s">
        <v>4067</v>
      </c>
      <c r="C964" s="30" t="s">
        <v>97</v>
      </c>
      <c r="D964" s="31" t="s">
        <v>4068</v>
      </c>
      <c r="E964" s="51">
        <v>37.5</v>
      </c>
      <c r="F964" s="32" t="s">
        <v>13</v>
      </c>
      <c r="G964" s="32" t="s">
        <v>7191</v>
      </c>
      <c r="H964" s="12"/>
      <c r="I964" s="11">
        <f>Table1[[#This Row],[Qty]]*Table1[[#This Row],[Price]]</f>
        <v>0</v>
      </c>
    </row>
    <row r="965" spans="1:9" ht="13.5" customHeight="1" x14ac:dyDescent="0.25">
      <c r="A965" s="28">
        <v>614514555132</v>
      </c>
      <c r="B965" s="29" t="s">
        <v>4135</v>
      </c>
      <c r="C965" s="30" t="s">
        <v>335</v>
      </c>
      <c r="D965" s="31" t="s">
        <v>4136</v>
      </c>
      <c r="E965" s="51">
        <v>31</v>
      </c>
      <c r="F965" s="32" t="s">
        <v>13</v>
      </c>
      <c r="G965" s="32" t="s">
        <v>5728</v>
      </c>
      <c r="H965" s="22"/>
      <c r="I965" s="11">
        <f>Table1[[#This Row],[Qty]]*Table1[[#This Row],[Price]]</f>
        <v>0</v>
      </c>
    </row>
    <row r="966" spans="1:9" ht="13.5" customHeight="1" x14ac:dyDescent="0.25">
      <c r="A966" s="28">
        <v>810023677345</v>
      </c>
      <c r="B966" s="29" t="s">
        <v>4224</v>
      </c>
      <c r="C966" s="30" t="s">
        <v>3167</v>
      </c>
      <c r="D966" s="31" t="s">
        <v>4225</v>
      </c>
      <c r="E966" s="51">
        <v>26.09</v>
      </c>
      <c r="F966" s="32" t="s">
        <v>13</v>
      </c>
      <c r="G966" s="32" t="s">
        <v>7248</v>
      </c>
      <c r="H966" s="12"/>
      <c r="I966" s="11">
        <f>Table1[[#This Row],[Qty]]*Table1[[#This Row],[Price]]</f>
        <v>0</v>
      </c>
    </row>
    <row r="967" spans="1:9" ht="13.5" customHeight="1" x14ac:dyDescent="0.25">
      <c r="A967" s="28">
        <v>22548055373</v>
      </c>
      <c r="B967" s="29" t="s">
        <v>4101</v>
      </c>
      <c r="C967" s="30" t="s">
        <v>1014</v>
      </c>
      <c r="D967" s="31" t="s">
        <v>4102</v>
      </c>
      <c r="E967" s="51">
        <v>10.35</v>
      </c>
      <c r="F967" s="32" t="s">
        <v>13</v>
      </c>
      <c r="G967" s="32" t="s">
        <v>7202</v>
      </c>
      <c r="H967" s="22"/>
      <c r="I967" s="11">
        <f>Table1[[#This Row],[Qty]]*Table1[[#This Row],[Price]]</f>
        <v>0</v>
      </c>
    </row>
    <row r="968" spans="1:9" ht="13.5" customHeight="1" x14ac:dyDescent="0.25">
      <c r="A968" s="28">
        <v>8436603331647</v>
      </c>
      <c r="B968" s="29" t="s">
        <v>182</v>
      </c>
      <c r="C968" s="30" t="s">
        <v>183</v>
      </c>
      <c r="D968" s="31" t="s">
        <v>184</v>
      </c>
      <c r="E968" s="51">
        <v>38</v>
      </c>
      <c r="F968" s="32" t="s">
        <v>13</v>
      </c>
      <c r="G968" s="32" t="s">
        <v>5675</v>
      </c>
      <c r="H968" s="22"/>
      <c r="I968" s="11">
        <f>Table1[[#This Row],[Qty]]*Table1[[#This Row],[Price]]</f>
        <v>0</v>
      </c>
    </row>
    <row r="969" spans="1:9" ht="13.5" customHeight="1" x14ac:dyDescent="0.25">
      <c r="A969" s="28">
        <v>8436550509694</v>
      </c>
      <c r="B969" s="29" t="s">
        <v>3874</v>
      </c>
      <c r="C969" s="30" t="s">
        <v>183</v>
      </c>
      <c r="D969" s="31" t="s">
        <v>3875</v>
      </c>
      <c r="E969" s="51">
        <v>21.62</v>
      </c>
      <c r="F969" s="32" t="s">
        <v>13</v>
      </c>
      <c r="G969" s="32" t="s">
        <v>7107</v>
      </c>
      <c r="H969" s="22"/>
      <c r="I969" s="11">
        <f>Table1[[#This Row],[Qty]]*Table1[[#This Row],[Price]]</f>
        <v>0</v>
      </c>
    </row>
    <row r="970" spans="1:9" ht="13.5" customHeight="1" x14ac:dyDescent="0.25">
      <c r="A970" s="28">
        <v>8436038837349</v>
      </c>
      <c r="B970" s="29" t="s">
        <v>3208</v>
      </c>
      <c r="C970" s="30" t="s">
        <v>183</v>
      </c>
      <c r="D970" s="31" t="s">
        <v>3209</v>
      </c>
      <c r="E970" s="51">
        <v>26.25</v>
      </c>
      <c r="F970" s="32" t="s">
        <v>13</v>
      </c>
      <c r="G970" s="32" t="s">
        <v>7373</v>
      </c>
      <c r="H970" s="22"/>
      <c r="I970" s="11">
        <f>Table1[[#This Row],[Qty]]*Table1[[#This Row],[Price]]</f>
        <v>0</v>
      </c>
    </row>
    <row r="971" spans="1:9" ht="13.5" customHeight="1" x14ac:dyDescent="0.25">
      <c r="A971" s="28">
        <v>8433982022425</v>
      </c>
      <c r="B971" s="29" t="s">
        <v>4105</v>
      </c>
      <c r="C971" s="30" t="s">
        <v>517</v>
      </c>
      <c r="D971" s="31" t="s">
        <v>4106</v>
      </c>
      <c r="E971" s="51">
        <v>9.5</v>
      </c>
      <c r="F971" s="32" t="s">
        <v>13</v>
      </c>
      <c r="G971" s="32" t="s">
        <v>5740</v>
      </c>
      <c r="H971" s="22"/>
      <c r="I971" s="11">
        <f>Table1[[#This Row],[Qty]]*Table1[[#This Row],[Price]]</f>
        <v>0</v>
      </c>
    </row>
    <row r="972" spans="1:9" ht="13.5" customHeight="1" x14ac:dyDescent="0.25">
      <c r="A972" s="28">
        <v>860004550372</v>
      </c>
      <c r="B972" s="29" t="s">
        <v>3997</v>
      </c>
      <c r="C972" s="30" t="s">
        <v>517</v>
      </c>
      <c r="D972" s="31" t="s">
        <v>3998</v>
      </c>
      <c r="E972" s="51">
        <v>31.25</v>
      </c>
      <c r="F972" s="32" t="s">
        <v>13</v>
      </c>
      <c r="G972" s="32" t="s">
        <v>7158</v>
      </c>
      <c r="H972" s="22"/>
      <c r="I972" s="11">
        <f>Table1[[#This Row],[Qty]]*Table1[[#This Row],[Price]]</f>
        <v>0</v>
      </c>
    </row>
    <row r="973" spans="1:9" ht="13.5" customHeight="1" x14ac:dyDescent="0.25">
      <c r="A973" s="28">
        <v>3614273261401</v>
      </c>
      <c r="B973" s="29" t="s">
        <v>4001</v>
      </c>
      <c r="C973" s="30" t="s">
        <v>629</v>
      </c>
      <c r="D973" s="31" t="s">
        <v>4002</v>
      </c>
      <c r="E973" s="51">
        <v>76.599999999999994</v>
      </c>
      <c r="F973" s="32" t="s">
        <v>13</v>
      </c>
      <c r="G973" s="32" t="s">
        <v>7160</v>
      </c>
      <c r="H973" s="12"/>
      <c r="I973" s="11">
        <f>Table1[[#This Row],[Qty]]*Table1[[#This Row],[Price]]</f>
        <v>0</v>
      </c>
    </row>
    <row r="974" spans="1:9" ht="13.5" customHeight="1" x14ac:dyDescent="0.25">
      <c r="A974" s="28">
        <v>8011003817498</v>
      </c>
      <c r="B974" s="29" t="s">
        <v>4053</v>
      </c>
      <c r="C974" s="30" t="s">
        <v>100</v>
      </c>
      <c r="D974" s="31" t="s">
        <v>4054</v>
      </c>
      <c r="E974" s="51">
        <v>63</v>
      </c>
      <c r="F974" s="32" t="s">
        <v>13</v>
      </c>
      <c r="G974" s="32" t="s">
        <v>7184</v>
      </c>
      <c r="H974" s="12"/>
      <c r="I974" s="11">
        <f>Table1[[#This Row],[Qty]]*Table1[[#This Row],[Price]]</f>
        <v>0</v>
      </c>
    </row>
    <row r="975" spans="1:9" ht="13.5" customHeight="1" x14ac:dyDescent="0.25">
      <c r="A975" s="28">
        <v>8018365500037</v>
      </c>
      <c r="B975" s="29" t="s">
        <v>4264</v>
      </c>
      <c r="C975" s="30" t="s">
        <v>100</v>
      </c>
      <c r="D975" s="31" t="s">
        <v>4265</v>
      </c>
      <c r="E975" s="51">
        <v>40.770000000000003</v>
      </c>
      <c r="F975" s="32" t="s">
        <v>13</v>
      </c>
      <c r="G975" s="32" t="s">
        <v>7266</v>
      </c>
      <c r="H975" s="12"/>
      <c r="I975" s="11">
        <f>Table1[[#This Row],[Qty]]*Table1[[#This Row],[Price]]</f>
        <v>0</v>
      </c>
    </row>
    <row r="976" spans="1:9" ht="13.5" customHeight="1" x14ac:dyDescent="0.25">
      <c r="A976" s="28">
        <v>197575027409</v>
      </c>
      <c r="B976" s="29" t="s">
        <v>3260</v>
      </c>
      <c r="C976" s="30" t="s">
        <v>3261</v>
      </c>
      <c r="D976" s="31" t="s">
        <v>3262</v>
      </c>
      <c r="E976" s="51">
        <v>10.5</v>
      </c>
      <c r="F976" s="32" t="s">
        <v>13</v>
      </c>
      <c r="G976" s="32" t="s">
        <v>7369</v>
      </c>
      <c r="H976" s="12"/>
      <c r="I976" s="11">
        <f>Table1[[#This Row],[Qty]]*Table1[[#This Row],[Price]]</f>
        <v>0</v>
      </c>
    </row>
    <row r="977" spans="1:9" ht="13.5" customHeight="1" x14ac:dyDescent="0.25">
      <c r="A977" s="28">
        <v>3605521515346</v>
      </c>
      <c r="B977" s="29" t="s">
        <v>63</v>
      </c>
      <c r="C977" s="30" t="s">
        <v>64</v>
      </c>
      <c r="D977" s="31" t="s">
        <v>65</v>
      </c>
      <c r="E977" s="51">
        <v>36</v>
      </c>
      <c r="F977" s="32" t="s">
        <v>13</v>
      </c>
      <c r="G977" s="32" t="s">
        <v>5626</v>
      </c>
      <c r="H977" s="22"/>
      <c r="I977" s="11">
        <f>Table1[[#This Row],[Qty]]*Table1[[#This Row],[Price]]</f>
        <v>0</v>
      </c>
    </row>
    <row r="978" spans="1:9" ht="13.5" customHeight="1" x14ac:dyDescent="0.25">
      <c r="A978" s="28">
        <v>3360374000059</v>
      </c>
      <c r="B978" s="29" t="s">
        <v>83</v>
      </c>
      <c r="C978" s="30" t="s">
        <v>64</v>
      </c>
      <c r="D978" s="31" t="s">
        <v>84</v>
      </c>
      <c r="E978" s="51">
        <v>59.37</v>
      </c>
      <c r="F978" s="32" t="s">
        <v>13</v>
      </c>
      <c r="G978" s="32" t="s">
        <v>5634</v>
      </c>
      <c r="H978" s="12"/>
      <c r="I978" s="11">
        <f>Table1[[#This Row],[Qty]]*Table1[[#This Row],[Price]]</f>
        <v>0</v>
      </c>
    </row>
    <row r="979" spans="1:9" ht="13.5" customHeight="1" x14ac:dyDescent="0.25">
      <c r="A979" s="28">
        <v>3614274417685</v>
      </c>
      <c r="B979" s="29" t="s">
        <v>4123</v>
      </c>
      <c r="C979" s="33" t="s">
        <v>64</v>
      </c>
      <c r="D979" s="31" t="s">
        <v>4124</v>
      </c>
      <c r="E979" s="51">
        <v>19</v>
      </c>
      <c r="F979" s="32" t="s">
        <v>13</v>
      </c>
      <c r="G979" s="32" t="s">
        <v>5731</v>
      </c>
      <c r="H979" s="22"/>
      <c r="I979" s="11">
        <f>Table1[[#This Row],[Qty]]*Table1[[#This Row],[Price]]</f>
        <v>0</v>
      </c>
    </row>
    <row r="980" spans="1:9" ht="13.5" customHeight="1" x14ac:dyDescent="0.25">
      <c r="A980" s="28">
        <v>3614270659652</v>
      </c>
      <c r="B980" s="29" t="s">
        <v>3979</v>
      </c>
      <c r="C980" s="30" t="s">
        <v>64</v>
      </c>
      <c r="D980" s="31" t="s">
        <v>3980</v>
      </c>
      <c r="E980" s="51">
        <v>42</v>
      </c>
      <c r="F980" s="32" t="s">
        <v>13</v>
      </c>
      <c r="G980" s="32" t="s">
        <v>7152</v>
      </c>
      <c r="H980" s="22"/>
      <c r="I980" s="11">
        <f>Table1[[#This Row],[Qty]]*Table1[[#This Row],[Price]]</f>
        <v>0</v>
      </c>
    </row>
    <row r="981" spans="1:9" ht="13.5" customHeight="1" x14ac:dyDescent="0.25">
      <c r="A981" s="28">
        <v>3614272191556</v>
      </c>
      <c r="B981" s="29" t="s">
        <v>3983</v>
      </c>
      <c r="C981" s="30" t="s">
        <v>64</v>
      </c>
      <c r="D981" s="31" t="s">
        <v>3984</v>
      </c>
      <c r="E981" s="51">
        <v>48.71</v>
      </c>
      <c r="F981" s="32" t="s">
        <v>13</v>
      </c>
      <c r="G981" s="32" t="s">
        <v>7154</v>
      </c>
      <c r="H981" s="22"/>
      <c r="I981" s="11">
        <f>Table1[[#This Row],[Qty]]*Table1[[#This Row],[Price]]</f>
        <v>0</v>
      </c>
    </row>
    <row r="982" spans="1:9" ht="13.5" customHeight="1" x14ac:dyDescent="0.25">
      <c r="A982" s="28">
        <v>3365440316560</v>
      </c>
      <c r="B982" s="29" t="s">
        <v>4114</v>
      </c>
      <c r="C982" s="33" t="s">
        <v>644</v>
      </c>
      <c r="D982" s="31" t="s">
        <v>4115</v>
      </c>
      <c r="E982" s="51">
        <v>59</v>
      </c>
      <c r="F982" s="32" t="s">
        <v>13</v>
      </c>
      <c r="G982" s="32" t="s">
        <v>5732</v>
      </c>
      <c r="H982" s="22"/>
      <c r="I982" s="11">
        <f>Table1[[#This Row],[Qty]]*Table1[[#This Row],[Price]]</f>
        <v>0</v>
      </c>
    </row>
    <row r="983" spans="1:9" ht="13.5" customHeight="1" x14ac:dyDescent="0.25">
      <c r="A983" s="28">
        <v>3614273683401</v>
      </c>
      <c r="B983" s="29" t="s">
        <v>4181</v>
      </c>
      <c r="C983" s="30" t="s">
        <v>644</v>
      </c>
      <c r="D983" s="31" t="s">
        <v>4182</v>
      </c>
      <c r="E983" s="51">
        <v>79.02</v>
      </c>
      <c r="F983" s="32" t="s">
        <v>13</v>
      </c>
      <c r="G983" s="32" t="s">
        <v>7233</v>
      </c>
      <c r="H983" s="12"/>
      <c r="I983" s="11">
        <f>Table1[[#This Row],[Qty]]*Table1[[#This Row],[Price]]</f>
        <v>0</v>
      </c>
    </row>
    <row r="984" spans="1:9" ht="13.5" customHeight="1" x14ac:dyDescent="0.25">
      <c r="A984" s="28">
        <v>6291108731697</v>
      </c>
      <c r="B984" s="29" t="s">
        <v>4087</v>
      </c>
      <c r="C984" s="30" t="s">
        <v>253</v>
      </c>
      <c r="D984" s="31" t="s">
        <v>4088</v>
      </c>
      <c r="E984" s="51">
        <v>17</v>
      </c>
      <c r="F984" s="32" t="s">
        <v>13</v>
      </c>
      <c r="G984" s="32" t="s">
        <v>5736</v>
      </c>
      <c r="H984" s="14"/>
      <c r="I984" s="11">
        <f>Table1[[#This Row],[Qty]]*Table1[[#This Row],[Price]]</f>
        <v>0</v>
      </c>
    </row>
    <row r="985" spans="1:9" ht="13.5" customHeight="1" x14ac:dyDescent="0.25">
      <c r="A985" s="28">
        <v>6291108731550</v>
      </c>
      <c r="B985" s="29" t="s">
        <v>4083</v>
      </c>
      <c r="C985" s="30" t="s">
        <v>253</v>
      </c>
      <c r="D985" s="31" t="s">
        <v>4084</v>
      </c>
      <c r="E985" s="51">
        <v>16</v>
      </c>
      <c r="F985" s="32" t="s">
        <v>13</v>
      </c>
      <c r="G985" s="32" t="s">
        <v>5738</v>
      </c>
      <c r="H985" s="12"/>
      <c r="I985" s="11">
        <f>Table1[[#This Row],[Qty]]*Table1[[#This Row],[Price]]</f>
        <v>0</v>
      </c>
    </row>
    <row r="986" spans="1:9" ht="13.5" customHeight="1" x14ac:dyDescent="0.25">
      <c r="A986" s="28">
        <v>4011700740772</v>
      </c>
      <c r="B986" s="29" t="s">
        <v>2189</v>
      </c>
      <c r="C986" s="30">
        <v>4711</v>
      </c>
      <c r="D986" s="31" t="s">
        <v>2190</v>
      </c>
      <c r="E986" s="51">
        <v>9.25</v>
      </c>
      <c r="F986" s="32" t="s">
        <v>15</v>
      </c>
      <c r="G986" s="32" t="s">
        <v>6394</v>
      </c>
      <c r="H986" s="22"/>
      <c r="I986" s="11">
        <f>Table1[[#This Row],[Qty]]*Table1[[#This Row],[Price]]</f>
        <v>0</v>
      </c>
    </row>
    <row r="987" spans="1:9" ht="13.5" customHeight="1" x14ac:dyDescent="0.25">
      <c r="A987" s="28">
        <v>85715169525</v>
      </c>
      <c r="B987" s="29" t="s">
        <v>4766</v>
      </c>
      <c r="C987" s="30" t="s">
        <v>2918</v>
      </c>
      <c r="D987" s="31" t="s">
        <v>4767</v>
      </c>
      <c r="E987" s="51">
        <v>29</v>
      </c>
      <c r="F987" s="32" t="s">
        <v>15</v>
      </c>
      <c r="G987" s="32" t="s">
        <v>7400</v>
      </c>
      <c r="H987" s="12"/>
      <c r="I987" s="11">
        <f>Table1[[#This Row],[Qty]]*Table1[[#This Row],[Price]]</f>
        <v>0</v>
      </c>
    </row>
    <row r="988" spans="1:9" ht="13.5" customHeight="1" x14ac:dyDescent="0.25">
      <c r="A988" s="28">
        <v>85715166012</v>
      </c>
      <c r="B988" s="29" t="s">
        <v>5127</v>
      </c>
      <c r="C988" s="30" t="s">
        <v>2918</v>
      </c>
      <c r="D988" s="31" t="s">
        <v>5128</v>
      </c>
      <c r="E988" s="51">
        <v>26</v>
      </c>
      <c r="F988" s="32" t="s">
        <v>15</v>
      </c>
      <c r="G988" s="32" t="s">
        <v>7403</v>
      </c>
      <c r="H988" s="12"/>
      <c r="I988" s="11">
        <f>Table1[[#This Row],[Qty]]*Table1[[#This Row],[Price]]</f>
        <v>0</v>
      </c>
    </row>
    <row r="989" spans="1:9" ht="13.5" customHeight="1" x14ac:dyDescent="0.25">
      <c r="A989" s="28">
        <v>8028713150029</v>
      </c>
      <c r="B989" s="29" t="s">
        <v>1315</v>
      </c>
      <c r="C989" s="30" t="s">
        <v>1316</v>
      </c>
      <c r="D989" s="31" t="s">
        <v>1317</v>
      </c>
      <c r="E989" s="51">
        <v>60.42</v>
      </c>
      <c r="F989" s="32" t="s">
        <v>15</v>
      </c>
      <c r="G989" s="32" t="s">
        <v>6189</v>
      </c>
      <c r="H989" s="12"/>
      <c r="I989" s="11">
        <f>Table1[[#This Row],[Qty]]*Table1[[#This Row],[Price]]</f>
        <v>0</v>
      </c>
    </row>
    <row r="990" spans="1:9" ht="13.5" customHeight="1" x14ac:dyDescent="0.25">
      <c r="A990" s="28">
        <v>8028713270024</v>
      </c>
      <c r="B990" s="29" t="s">
        <v>1349</v>
      </c>
      <c r="C990" s="33" t="s">
        <v>1316</v>
      </c>
      <c r="D990" s="31" t="s">
        <v>1350</v>
      </c>
      <c r="E990" s="51">
        <v>55.12</v>
      </c>
      <c r="F990" s="32" t="s">
        <v>15</v>
      </c>
      <c r="G990" s="32" t="s">
        <v>6196</v>
      </c>
      <c r="H990" s="22"/>
      <c r="I990" s="11">
        <f>Table1[[#This Row],[Qty]]*Table1[[#This Row],[Price]]</f>
        <v>0</v>
      </c>
    </row>
    <row r="991" spans="1:9" ht="13.5" customHeight="1" x14ac:dyDescent="0.25">
      <c r="A991" s="28">
        <v>3607345397498</v>
      </c>
      <c r="B991" s="29" t="s">
        <v>66</v>
      </c>
      <c r="C991" s="30" t="s">
        <v>67</v>
      </c>
      <c r="D991" s="31" t="s">
        <v>68</v>
      </c>
      <c r="E991" s="51">
        <v>4</v>
      </c>
      <c r="F991" s="32" t="s">
        <v>15</v>
      </c>
      <c r="G991" s="32" t="s">
        <v>5627</v>
      </c>
      <c r="H991" s="22"/>
      <c r="I991" s="11">
        <f>Table1[[#This Row],[Qty]]*Table1[[#This Row],[Price]]</f>
        <v>0</v>
      </c>
    </row>
    <row r="992" spans="1:9" ht="13.5" customHeight="1" x14ac:dyDescent="0.25">
      <c r="A992" s="28">
        <v>3607345397597</v>
      </c>
      <c r="B992" s="29" t="s">
        <v>1060</v>
      </c>
      <c r="C992" s="33" t="s">
        <v>67</v>
      </c>
      <c r="D992" s="31" t="s">
        <v>1061</v>
      </c>
      <c r="E992" s="51">
        <v>7</v>
      </c>
      <c r="F992" s="32" t="s">
        <v>15</v>
      </c>
      <c r="G992" s="32" t="s">
        <v>6110</v>
      </c>
      <c r="H992" s="22"/>
      <c r="I992" s="11">
        <f>Table1[[#This Row],[Qty]]*Table1[[#This Row],[Price]]</f>
        <v>0</v>
      </c>
    </row>
    <row r="993" spans="1:9" ht="13.5" customHeight="1" x14ac:dyDescent="0.25">
      <c r="A993" s="28">
        <v>3412242310071</v>
      </c>
      <c r="B993" s="29" t="s">
        <v>2240</v>
      </c>
      <c r="C993" s="30" t="s">
        <v>67</v>
      </c>
      <c r="D993" s="31" t="s">
        <v>2241</v>
      </c>
      <c r="E993" s="51">
        <v>7</v>
      </c>
      <c r="F993" s="32" t="s">
        <v>15</v>
      </c>
      <c r="G993" s="32" t="s">
        <v>6396</v>
      </c>
      <c r="H993" s="12"/>
      <c r="I993" s="11">
        <f>Table1[[#This Row],[Qty]]*Table1[[#This Row],[Price]]</f>
        <v>0</v>
      </c>
    </row>
    <row r="994" spans="1:9" ht="13.5" customHeight="1" x14ac:dyDescent="0.25">
      <c r="A994" s="28">
        <v>3607345397641</v>
      </c>
      <c r="B994" s="29" t="s">
        <v>2242</v>
      </c>
      <c r="C994" s="30" t="s">
        <v>67</v>
      </c>
      <c r="D994" s="31" t="s">
        <v>2243</v>
      </c>
      <c r="E994" s="51">
        <v>7</v>
      </c>
      <c r="F994" s="32" t="s">
        <v>15</v>
      </c>
      <c r="G994" s="32">
        <v>0</v>
      </c>
      <c r="H994" s="12"/>
      <c r="I994" s="11">
        <f>Table1[[#This Row],[Qty]]*Table1[[#This Row],[Price]]</f>
        <v>0</v>
      </c>
    </row>
    <row r="995" spans="1:9" ht="13.5" customHeight="1" x14ac:dyDescent="0.25">
      <c r="A995" s="28">
        <v>3607346551035</v>
      </c>
      <c r="B995" s="29" t="s">
        <v>2244</v>
      </c>
      <c r="C995" s="30" t="s">
        <v>67</v>
      </c>
      <c r="D995" s="31" t="s">
        <v>2245</v>
      </c>
      <c r="E995" s="51">
        <v>7</v>
      </c>
      <c r="F995" s="32" t="s">
        <v>15</v>
      </c>
      <c r="G995" s="32" t="s">
        <v>6397</v>
      </c>
      <c r="H995" s="22"/>
      <c r="I995" s="11">
        <f>Table1[[#This Row],[Qty]]*Table1[[#This Row],[Price]]</f>
        <v>0</v>
      </c>
    </row>
    <row r="996" spans="1:9" ht="13.5" customHeight="1" x14ac:dyDescent="0.25">
      <c r="A996" s="28">
        <v>3616303322021</v>
      </c>
      <c r="B996" s="29" t="s">
        <v>4018</v>
      </c>
      <c r="C996" s="30" t="s">
        <v>67</v>
      </c>
      <c r="D996" s="31" t="s">
        <v>4019</v>
      </c>
      <c r="E996" s="51">
        <v>4.8499999999999996</v>
      </c>
      <c r="F996" s="32" t="s">
        <v>15</v>
      </c>
      <c r="G996" s="32" t="s">
        <v>7168</v>
      </c>
      <c r="H996" s="22"/>
      <c r="I996" s="11">
        <f>Table1[[#This Row],[Qty]]*Table1[[#This Row],[Price]]</f>
        <v>0</v>
      </c>
    </row>
    <row r="997" spans="1:9" ht="13.5" customHeight="1" x14ac:dyDescent="0.25">
      <c r="A997" s="28">
        <v>810044120486</v>
      </c>
      <c r="B997" s="29" t="s">
        <v>1037</v>
      </c>
      <c r="C997" s="30" t="s">
        <v>1038</v>
      </c>
      <c r="D997" s="31" t="s">
        <v>1039</v>
      </c>
      <c r="E997" s="51">
        <v>11.5</v>
      </c>
      <c r="F997" s="32" t="s">
        <v>15</v>
      </c>
      <c r="G997" s="32">
        <v>0</v>
      </c>
      <c r="H997" s="12"/>
      <c r="I997" s="11">
        <f>Table1[[#This Row],[Qty]]*Table1[[#This Row],[Price]]</f>
        <v>0</v>
      </c>
    </row>
    <row r="998" spans="1:9" ht="13.5" customHeight="1" x14ac:dyDescent="0.25">
      <c r="A998" s="28">
        <v>810044120479</v>
      </c>
      <c r="B998" s="29" t="s">
        <v>5024</v>
      </c>
      <c r="C998" s="30" t="s">
        <v>1038</v>
      </c>
      <c r="D998" s="31" t="s">
        <v>5025</v>
      </c>
      <c r="E998" s="51">
        <v>11.5</v>
      </c>
      <c r="F998" s="32" t="s">
        <v>15</v>
      </c>
      <c r="G998" s="32">
        <v>0</v>
      </c>
      <c r="H998" s="22"/>
      <c r="I998" s="11">
        <f>Table1[[#This Row],[Qty]]*Table1[[#This Row],[Price]]</f>
        <v>0</v>
      </c>
    </row>
    <row r="999" spans="1:9" ht="13.5" customHeight="1" x14ac:dyDescent="0.25">
      <c r="A999" s="28">
        <v>810044120493</v>
      </c>
      <c r="B999" s="29" t="s">
        <v>4982</v>
      </c>
      <c r="C999" s="30" t="s">
        <v>1038</v>
      </c>
      <c r="D999" s="31" t="s">
        <v>4983</v>
      </c>
      <c r="E999" s="51">
        <v>10.5</v>
      </c>
      <c r="F999" s="32" t="s">
        <v>15</v>
      </c>
      <c r="G999" s="32">
        <v>0</v>
      </c>
      <c r="H999" s="12"/>
      <c r="I999" s="11">
        <f>Table1[[#This Row],[Qty]]*Table1[[#This Row],[Price]]</f>
        <v>0</v>
      </c>
    </row>
    <row r="1000" spans="1:9" ht="13.5" customHeight="1" x14ac:dyDescent="0.25">
      <c r="A1000" s="28">
        <v>810044120981</v>
      </c>
      <c r="B1000" s="29" t="s">
        <v>4984</v>
      </c>
      <c r="C1000" s="30" t="s">
        <v>1038</v>
      </c>
      <c r="D1000" s="31" t="s">
        <v>4985</v>
      </c>
      <c r="E1000" s="51">
        <v>10.5</v>
      </c>
      <c r="F1000" s="32" t="s">
        <v>15</v>
      </c>
      <c r="G1000" s="32">
        <v>0</v>
      </c>
      <c r="H1000" s="12"/>
      <c r="I1000" s="11">
        <f>Table1[[#This Row],[Qty]]*Table1[[#This Row],[Price]]</f>
        <v>0</v>
      </c>
    </row>
    <row r="1001" spans="1:9" ht="13.5" customHeight="1" x14ac:dyDescent="0.25">
      <c r="A1001" s="28">
        <v>810044122695</v>
      </c>
      <c r="B1001" s="29" t="s">
        <v>4986</v>
      </c>
      <c r="C1001" s="30" t="s">
        <v>1038</v>
      </c>
      <c r="D1001" s="31" t="s">
        <v>4987</v>
      </c>
      <c r="E1001" s="51">
        <v>10.5</v>
      </c>
      <c r="F1001" s="32" t="s">
        <v>15</v>
      </c>
      <c r="G1001" s="32">
        <v>0</v>
      </c>
      <c r="H1001" s="12"/>
      <c r="I1001" s="11">
        <f>Table1[[#This Row],[Qty]]*Table1[[#This Row],[Price]]</f>
        <v>0</v>
      </c>
    </row>
    <row r="1002" spans="1:9" ht="13.5" customHeight="1" x14ac:dyDescent="0.25">
      <c r="A1002" s="28">
        <v>810044122701</v>
      </c>
      <c r="B1002" s="29" t="s">
        <v>4988</v>
      </c>
      <c r="C1002" s="30" t="s">
        <v>1038</v>
      </c>
      <c r="D1002" s="31" t="s">
        <v>4989</v>
      </c>
      <c r="E1002" s="51">
        <v>10.5</v>
      </c>
      <c r="F1002" s="32" t="s">
        <v>15</v>
      </c>
      <c r="G1002" s="32">
        <v>0</v>
      </c>
      <c r="H1002" s="12"/>
      <c r="I1002" s="11">
        <f>Table1[[#This Row],[Qty]]*Table1[[#This Row],[Price]]</f>
        <v>0</v>
      </c>
    </row>
    <row r="1003" spans="1:9" ht="13.5" customHeight="1" x14ac:dyDescent="0.25">
      <c r="A1003" s="28">
        <v>810044122015</v>
      </c>
      <c r="B1003" s="29" t="s">
        <v>4990</v>
      </c>
      <c r="C1003" s="30" t="s">
        <v>1038</v>
      </c>
      <c r="D1003" s="31" t="s">
        <v>4991</v>
      </c>
      <c r="E1003" s="51">
        <v>10.5</v>
      </c>
      <c r="F1003" s="32" t="s">
        <v>15</v>
      </c>
      <c r="G1003" s="32">
        <v>0</v>
      </c>
      <c r="H1003" s="12"/>
      <c r="I1003" s="11">
        <f>Table1[[#This Row],[Qty]]*Table1[[#This Row],[Price]]</f>
        <v>0</v>
      </c>
    </row>
    <row r="1004" spans="1:9" ht="13.5" customHeight="1" x14ac:dyDescent="0.25">
      <c r="A1004" s="28">
        <v>810044122916</v>
      </c>
      <c r="B1004" s="29" t="s">
        <v>4992</v>
      </c>
      <c r="C1004" s="30" t="s">
        <v>1038</v>
      </c>
      <c r="D1004" s="31" t="s">
        <v>4993</v>
      </c>
      <c r="E1004" s="51">
        <v>10.5</v>
      </c>
      <c r="F1004" s="32" t="s">
        <v>15</v>
      </c>
      <c r="G1004" s="32">
        <v>0</v>
      </c>
      <c r="H1004" s="12"/>
      <c r="I1004" s="11">
        <f>Table1[[#This Row],[Qty]]*Table1[[#This Row],[Price]]</f>
        <v>0</v>
      </c>
    </row>
    <row r="1005" spans="1:9" ht="13.5" customHeight="1" x14ac:dyDescent="0.25">
      <c r="A1005" s="28">
        <v>810044120516</v>
      </c>
      <c r="B1005" s="29" t="s">
        <v>4994</v>
      </c>
      <c r="C1005" s="30" t="s">
        <v>1038</v>
      </c>
      <c r="D1005" s="31" t="s">
        <v>4995</v>
      </c>
      <c r="E1005" s="51">
        <v>10.5</v>
      </c>
      <c r="F1005" s="32" t="s">
        <v>15</v>
      </c>
      <c r="G1005" s="32">
        <v>0</v>
      </c>
      <c r="H1005" s="12"/>
      <c r="I1005" s="11">
        <f>Table1[[#This Row],[Qty]]*Table1[[#This Row],[Price]]</f>
        <v>0</v>
      </c>
    </row>
    <row r="1006" spans="1:9" ht="13.5" customHeight="1" x14ac:dyDescent="0.25">
      <c r="A1006" s="28">
        <v>819029018503</v>
      </c>
      <c r="B1006" s="29" t="s">
        <v>4958</v>
      </c>
      <c r="C1006" s="33" t="s">
        <v>1038</v>
      </c>
      <c r="D1006" s="31" t="s">
        <v>4959</v>
      </c>
      <c r="E1006" s="51">
        <v>7.5</v>
      </c>
      <c r="F1006" s="32" t="s">
        <v>15</v>
      </c>
      <c r="G1006" s="32">
        <v>0</v>
      </c>
      <c r="H1006" s="22"/>
      <c r="I1006" s="11">
        <f>Table1[[#This Row],[Qty]]*Table1[[#This Row],[Price]]</f>
        <v>0</v>
      </c>
    </row>
    <row r="1007" spans="1:9" ht="13.5" customHeight="1" x14ac:dyDescent="0.25">
      <c r="A1007" s="28">
        <v>6290171070573</v>
      </c>
      <c r="B1007" s="29" t="s">
        <v>172</v>
      </c>
      <c r="C1007" s="30" t="s">
        <v>112</v>
      </c>
      <c r="D1007" s="31" t="s">
        <v>173</v>
      </c>
      <c r="E1007" s="51">
        <v>19.399999999999999</v>
      </c>
      <c r="F1007" s="32" t="s">
        <v>15</v>
      </c>
      <c r="G1007" s="32" t="s">
        <v>5670</v>
      </c>
      <c r="H1007" s="12"/>
      <c r="I1007" s="11">
        <f>Table1[[#This Row],[Qty]]*Table1[[#This Row],[Price]]</f>
        <v>0</v>
      </c>
    </row>
    <row r="1008" spans="1:9" ht="13.5" customHeight="1" x14ac:dyDescent="0.25">
      <c r="A1008" s="28">
        <v>6290171070603</v>
      </c>
      <c r="B1008" s="29" t="s">
        <v>255</v>
      </c>
      <c r="C1008" s="30" t="s">
        <v>112</v>
      </c>
      <c r="D1008" s="31" t="s">
        <v>256</v>
      </c>
      <c r="E1008" s="51">
        <v>20</v>
      </c>
      <c r="F1008" s="32" t="s">
        <v>15</v>
      </c>
      <c r="G1008" s="32" t="s">
        <v>5707</v>
      </c>
      <c r="H1008" s="12"/>
      <c r="I1008" s="11">
        <f>Table1[[#This Row],[Qty]]*Table1[[#This Row],[Price]]</f>
        <v>0</v>
      </c>
    </row>
    <row r="1009" spans="1:9" ht="13.5" customHeight="1" x14ac:dyDescent="0.25">
      <c r="A1009" s="28">
        <v>6290171075288</v>
      </c>
      <c r="B1009" s="29" t="s">
        <v>383</v>
      </c>
      <c r="C1009" s="33" t="s">
        <v>112</v>
      </c>
      <c r="D1009" s="31" t="s">
        <v>384</v>
      </c>
      <c r="E1009" s="51">
        <v>24.61</v>
      </c>
      <c r="F1009" s="32" t="s">
        <v>15</v>
      </c>
      <c r="G1009" s="32" t="s">
        <v>5804</v>
      </c>
      <c r="H1009" s="22"/>
      <c r="I1009" s="11">
        <f>Table1[[#This Row],[Qty]]*Table1[[#This Row],[Price]]</f>
        <v>0</v>
      </c>
    </row>
    <row r="1010" spans="1:9" ht="13.5" customHeight="1" x14ac:dyDescent="0.25">
      <c r="A1010" s="28">
        <v>6290171076001</v>
      </c>
      <c r="B1010" s="29" t="s">
        <v>422</v>
      </c>
      <c r="C1010" s="30" t="s">
        <v>112</v>
      </c>
      <c r="D1010" s="31" t="s">
        <v>423</v>
      </c>
      <c r="E1010" s="51">
        <v>29.8</v>
      </c>
      <c r="F1010" s="32" t="s">
        <v>15</v>
      </c>
      <c r="G1010" s="32" t="s">
        <v>5823</v>
      </c>
      <c r="H1010" s="22"/>
      <c r="I1010" s="11">
        <f>Table1[[#This Row],[Qty]]*Table1[[#This Row],[Price]]</f>
        <v>0</v>
      </c>
    </row>
    <row r="1011" spans="1:9" ht="13.5" customHeight="1" x14ac:dyDescent="0.25">
      <c r="A1011" s="28">
        <v>6290171074373</v>
      </c>
      <c r="B1011" s="29" t="s">
        <v>458</v>
      </c>
      <c r="C1011" s="30" t="s">
        <v>112</v>
      </c>
      <c r="D1011" s="31" t="s">
        <v>459</v>
      </c>
      <c r="E1011" s="51">
        <v>26.57</v>
      </c>
      <c r="F1011" s="32" t="s">
        <v>15</v>
      </c>
      <c r="G1011" s="32" t="s">
        <v>5840</v>
      </c>
      <c r="H1011" s="12"/>
      <c r="I1011" s="11">
        <f>Table1[[#This Row],[Qty]]*Table1[[#This Row],[Price]]</f>
        <v>0</v>
      </c>
    </row>
    <row r="1012" spans="1:9" ht="13.5" customHeight="1" x14ac:dyDescent="0.25">
      <c r="A1012" s="28">
        <v>6290171072607</v>
      </c>
      <c r="B1012" s="29" t="s">
        <v>598</v>
      </c>
      <c r="C1012" s="30" t="s">
        <v>112</v>
      </c>
      <c r="D1012" s="31" t="s">
        <v>599</v>
      </c>
      <c r="E1012" s="51">
        <v>19.510000000000002</v>
      </c>
      <c r="F1012" s="32" t="s">
        <v>15</v>
      </c>
      <c r="G1012" s="32" t="s">
        <v>5903</v>
      </c>
      <c r="H1012" s="12"/>
      <c r="I1012" s="11">
        <f>Table1[[#This Row],[Qty]]*Table1[[#This Row],[Price]]</f>
        <v>0</v>
      </c>
    </row>
    <row r="1013" spans="1:9" ht="13.5" customHeight="1" x14ac:dyDescent="0.25">
      <c r="A1013" s="28">
        <v>6290171076704</v>
      </c>
      <c r="B1013" s="29" t="s">
        <v>606</v>
      </c>
      <c r="C1013" s="30" t="s">
        <v>112</v>
      </c>
      <c r="D1013" s="31" t="s">
        <v>607</v>
      </c>
      <c r="E1013" s="51">
        <v>23.92</v>
      </c>
      <c r="F1013" s="32" t="s">
        <v>15</v>
      </c>
      <c r="G1013" s="32" t="s">
        <v>5907</v>
      </c>
      <c r="H1013" s="12"/>
      <c r="I1013" s="11">
        <f>Table1[[#This Row],[Qty]]*Table1[[#This Row],[Price]]</f>
        <v>0</v>
      </c>
    </row>
    <row r="1014" spans="1:9" ht="13.5" customHeight="1" x14ac:dyDescent="0.25">
      <c r="A1014" s="28">
        <v>6290171070580</v>
      </c>
      <c r="B1014" s="29" t="s">
        <v>709</v>
      </c>
      <c r="C1014" s="30" t="s">
        <v>112</v>
      </c>
      <c r="D1014" s="31" t="s">
        <v>710</v>
      </c>
      <c r="E1014" s="51">
        <v>22.04</v>
      </c>
      <c r="F1014" s="32" t="s">
        <v>15</v>
      </c>
      <c r="G1014" s="32" t="s">
        <v>5953</v>
      </c>
      <c r="H1014" s="22"/>
      <c r="I1014" s="11">
        <f>Table1[[#This Row],[Qty]]*Table1[[#This Row],[Price]]</f>
        <v>0</v>
      </c>
    </row>
    <row r="1015" spans="1:9" ht="13.5" customHeight="1" x14ac:dyDescent="0.25">
      <c r="A1015" s="28">
        <v>6290171072836</v>
      </c>
      <c r="B1015" s="29" t="s">
        <v>739</v>
      </c>
      <c r="C1015" s="30" t="s">
        <v>112</v>
      </c>
      <c r="D1015" s="31" t="s">
        <v>740</v>
      </c>
      <c r="E1015" s="51">
        <v>20.41</v>
      </c>
      <c r="F1015" s="32" t="s">
        <v>15</v>
      </c>
      <c r="G1015" s="32" t="s">
        <v>5967</v>
      </c>
      <c r="H1015" s="12"/>
      <c r="I1015" s="11">
        <f>Table1[[#This Row],[Qty]]*Table1[[#This Row],[Price]]</f>
        <v>0</v>
      </c>
    </row>
    <row r="1016" spans="1:9" ht="13.5" customHeight="1" x14ac:dyDescent="0.25">
      <c r="A1016" s="28">
        <v>6290171074243</v>
      </c>
      <c r="B1016" s="29" t="s">
        <v>775</v>
      </c>
      <c r="C1016" s="30" t="s">
        <v>112</v>
      </c>
      <c r="D1016" s="31" t="s">
        <v>776</v>
      </c>
      <c r="E1016" s="51">
        <v>25.68</v>
      </c>
      <c r="F1016" s="32" t="s">
        <v>15</v>
      </c>
      <c r="G1016" s="32" t="s">
        <v>5984</v>
      </c>
      <c r="H1016" s="12"/>
      <c r="I1016" s="11">
        <f>Table1[[#This Row],[Qty]]*Table1[[#This Row],[Price]]</f>
        <v>0</v>
      </c>
    </row>
    <row r="1017" spans="1:9" ht="13.5" customHeight="1" x14ac:dyDescent="0.25">
      <c r="A1017" s="28">
        <v>6290171073949</v>
      </c>
      <c r="B1017" s="29" t="s">
        <v>985</v>
      </c>
      <c r="C1017" s="30" t="s">
        <v>112</v>
      </c>
      <c r="D1017" s="31" t="s">
        <v>986</v>
      </c>
      <c r="E1017" s="51">
        <v>27.19</v>
      </c>
      <c r="F1017" s="32" t="s">
        <v>15</v>
      </c>
      <c r="G1017" s="32" t="s">
        <v>6077</v>
      </c>
      <c r="H1017" s="12"/>
      <c r="I1017" s="11">
        <f>Table1[[#This Row],[Qty]]*Table1[[#This Row],[Price]]</f>
        <v>0</v>
      </c>
    </row>
    <row r="1018" spans="1:9" ht="13.5" customHeight="1" x14ac:dyDescent="0.25">
      <c r="A1018" s="28">
        <v>6290171072980</v>
      </c>
      <c r="B1018" s="29" t="s">
        <v>1024</v>
      </c>
      <c r="C1018" s="30" t="s">
        <v>112</v>
      </c>
      <c r="D1018" s="31" t="s">
        <v>1025</v>
      </c>
      <c r="E1018" s="51">
        <v>29.25</v>
      </c>
      <c r="F1018" s="32" t="s">
        <v>15</v>
      </c>
      <c r="G1018" s="32" t="s">
        <v>6095</v>
      </c>
      <c r="H1018" s="14"/>
      <c r="I1018" s="11">
        <f>Table1[[#This Row],[Qty]]*Table1[[#This Row],[Price]]</f>
        <v>0</v>
      </c>
    </row>
    <row r="1019" spans="1:9" ht="13.5" customHeight="1" x14ac:dyDescent="0.25">
      <c r="A1019" s="28">
        <v>6290171000983</v>
      </c>
      <c r="B1019" s="29" t="s">
        <v>1076</v>
      </c>
      <c r="C1019" s="30" t="s">
        <v>112</v>
      </c>
      <c r="D1019" s="31" t="s">
        <v>1077</v>
      </c>
      <c r="E1019" s="51">
        <v>17.95</v>
      </c>
      <c r="F1019" s="32" t="s">
        <v>15</v>
      </c>
      <c r="G1019" s="32">
        <v>0</v>
      </c>
      <c r="H1019" s="22"/>
      <c r="I1019" s="11">
        <f>Table1[[#This Row],[Qty]]*Table1[[#This Row],[Price]]</f>
        <v>0</v>
      </c>
    </row>
    <row r="1020" spans="1:9" ht="13.5" customHeight="1" x14ac:dyDescent="0.25">
      <c r="A1020" s="28">
        <v>6290171075752</v>
      </c>
      <c r="B1020" s="29" t="s">
        <v>1553</v>
      </c>
      <c r="C1020" s="30" t="s">
        <v>112</v>
      </c>
      <c r="D1020" s="31" t="s">
        <v>1554</v>
      </c>
      <c r="E1020" s="51">
        <v>30.93</v>
      </c>
      <c r="F1020" s="32" t="s">
        <v>15</v>
      </c>
      <c r="G1020" s="32" t="s">
        <v>6242</v>
      </c>
      <c r="H1020" s="12"/>
      <c r="I1020" s="11">
        <f>Table1[[#This Row],[Qty]]*Table1[[#This Row],[Price]]</f>
        <v>0</v>
      </c>
    </row>
    <row r="1021" spans="1:9" ht="13.5" customHeight="1" x14ac:dyDescent="0.25">
      <c r="A1021" s="28">
        <v>6290171070214</v>
      </c>
      <c r="B1021" s="29" t="s">
        <v>1592</v>
      </c>
      <c r="C1021" s="30" t="s">
        <v>112</v>
      </c>
      <c r="D1021" s="31" t="s">
        <v>1593</v>
      </c>
      <c r="E1021" s="51">
        <v>29.51</v>
      </c>
      <c r="F1021" s="32" t="s">
        <v>15</v>
      </c>
      <c r="G1021" s="32" t="s">
        <v>6251</v>
      </c>
      <c r="H1021" s="14"/>
      <c r="I1021" s="11">
        <f>Table1[[#This Row],[Qty]]*Table1[[#This Row],[Price]]</f>
        <v>0</v>
      </c>
    </row>
    <row r="1022" spans="1:9" ht="13.5" customHeight="1" x14ac:dyDescent="0.25">
      <c r="A1022" s="28">
        <v>6290171002253</v>
      </c>
      <c r="B1022" s="29" t="s">
        <v>1872</v>
      </c>
      <c r="C1022" s="30" t="s">
        <v>112</v>
      </c>
      <c r="D1022" s="31" t="s">
        <v>1873</v>
      </c>
      <c r="E1022" s="51">
        <v>17.809999999999999</v>
      </c>
      <c r="F1022" s="32" t="s">
        <v>15</v>
      </c>
      <c r="G1022" s="32" t="s">
        <v>6320</v>
      </c>
      <c r="H1022" s="12"/>
      <c r="I1022" s="11">
        <f>Table1[[#This Row],[Qty]]*Table1[[#This Row],[Price]]</f>
        <v>0</v>
      </c>
    </row>
    <row r="1023" spans="1:9" ht="13.5" customHeight="1" x14ac:dyDescent="0.25">
      <c r="A1023" s="28">
        <v>6290171040682</v>
      </c>
      <c r="B1023" s="29" t="s">
        <v>1888</v>
      </c>
      <c r="C1023" s="30" t="s">
        <v>112</v>
      </c>
      <c r="D1023" s="31" t="s">
        <v>1889</v>
      </c>
      <c r="E1023" s="51">
        <v>16.79</v>
      </c>
      <c r="F1023" s="32" t="s">
        <v>15</v>
      </c>
      <c r="G1023" s="32" t="s">
        <v>6327</v>
      </c>
      <c r="H1023" s="12"/>
      <c r="I1023" s="11">
        <f>Table1[[#This Row],[Qty]]*Table1[[#This Row],[Price]]</f>
        <v>0</v>
      </c>
    </row>
    <row r="1024" spans="1:9" ht="13.5" customHeight="1" x14ac:dyDescent="0.25">
      <c r="A1024" s="28">
        <v>6290171071044</v>
      </c>
      <c r="B1024" s="29" t="s">
        <v>1975</v>
      </c>
      <c r="C1024" s="30" t="s">
        <v>112</v>
      </c>
      <c r="D1024" s="31" t="s">
        <v>1976</v>
      </c>
      <c r="E1024" s="51">
        <v>15</v>
      </c>
      <c r="F1024" s="32" t="s">
        <v>15</v>
      </c>
      <c r="G1024" s="32">
        <v>0</v>
      </c>
      <c r="H1024" s="22"/>
      <c r="I1024" s="11">
        <f>Table1[[#This Row],[Qty]]*Table1[[#This Row],[Price]]</f>
        <v>0</v>
      </c>
    </row>
    <row r="1025" spans="1:9" ht="13.5" customHeight="1" x14ac:dyDescent="0.25">
      <c r="A1025" s="28">
        <v>6290171073840</v>
      </c>
      <c r="B1025" s="29" t="s">
        <v>2342</v>
      </c>
      <c r="C1025" s="30" t="s">
        <v>112</v>
      </c>
      <c r="D1025" s="31" t="s">
        <v>2343</v>
      </c>
      <c r="E1025" s="51">
        <v>27.5</v>
      </c>
      <c r="F1025" s="32" t="s">
        <v>15</v>
      </c>
      <c r="G1025" s="32" t="s">
        <v>6419</v>
      </c>
      <c r="H1025" s="12"/>
      <c r="I1025" s="11">
        <f>Table1[[#This Row],[Qty]]*Table1[[#This Row],[Price]]</f>
        <v>0</v>
      </c>
    </row>
    <row r="1026" spans="1:9" ht="13.5" customHeight="1" x14ac:dyDescent="0.25">
      <c r="A1026" s="28">
        <v>6290171075073</v>
      </c>
      <c r="B1026" s="29" t="s">
        <v>3150</v>
      </c>
      <c r="C1026" s="30" t="s">
        <v>112</v>
      </c>
      <c r="D1026" s="31" t="s">
        <v>3151</v>
      </c>
      <c r="E1026" s="51">
        <v>29.45</v>
      </c>
      <c r="F1026" s="32" t="s">
        <v>15</v>
      </c>
      <c r="G1026" s="32" t="s">
        <v>6715</v>
      </c>
      <c r="H1026" s="12"/>
      <c r="I1026" s="11">
        <f>Table1[[#This Row],[Qty]]*Table1[[#This Row],[Price]]</f>
        <v>0</v>
      </c>
    </row>
    <row r="1027" spans="1:9" ht="13.5" customHeight="1" x14ac:dyDescent="0.25">
      <c r="A1027" s="28">
        <v>6290171077459</v>
      </c>
      <c r="B1027" s="29" t="s">
        <v>3160</v>
      </c>
      <c r="C1027" s="30" t="s">
        <v>112</v>
      </c>
      <c r="D1027" s="31" t="s">
        <v>3161</v>
      </c>
      <c r="E1027" s="51">
        <v>29.51</v>
      </c>
      <c r="F1027" s="32" t="s">
        <v>15</v>
      </c>
      <c r="G1027" s="32" t="s">
        <v>6719</v>
      </c>
      <c r="H1027" s="22"/>
      <c r="I1027" s="11">
        <f>Table1[[#This Row],[Qty]]*Table1[[#This Row],[Price]]</f>
        <v>0</v>
      </c>
    </row>
    <row r="1028" spans="1:9" ht="13.5" customHeight="1" x14ac:dyDescent="0.25">
      <c r="A1028" s="28">
        <v>6290171077183</v>
      </c>
      <c r="B1028" s="29" t="s">
        <v>3212</v>
      </c>
      <c r="C1028" s="30" t="s">
        <v>112</v>
      </c>
      <c r="D1028" s="31" t="s">
        <v>3213</v>
      </c>
      <c r="E1028" s="51">
        <v>37.5</v>
      </c>
      <c r="F1028" s="32" t="s">
        <v>15</v>
      </c>
      <c r="G1028" s="32" t="s">
        <v>6742</v>
      </c>
      <c r="H1028" s="14"/>
      <c r="I1028" s="11">
        <f>Table1[[#This Row],[Qty]]*Table1[[#This Row],[Price]]</f>
        <v>0</v>
      </c>
    </row>
    <row r="1029" spans="1:9" ht="13.5" customHeight="1" x14ac:dyDescent="0.25">
      <c r="A1029" s="28">
        <v>6290171002048</v>
      </c>
      <c r="B1029" s="29" t="s">
        <v>3653</v>
      </c>
      <c r="C1029" s="30" t="s">
        <v>112</v>
      </c>
      <c r="D1029" s="31" t="s">
        <v>3654</v>
      </c>
      <c r="E1029" s="51">
        <v>17.25</v>
      </c>
      <c r="F1029" s="32" t="s">
        <v>15</v>
      </c>
      <c r="G1029" s="32" t="s">
        <v>6950</v>
      </c>
      <c r="H1029" s="12"/>
      <c r="I1029" s="11">
        <f>Table1[[#This Row],[Qty]]*Table1[[#This Row],[Price]]</f>
        <v>0</v>
      </c>
    </row>
    <row r="1030" spans="1:9" ht="13.5" customHeight="1" x14ac:dyDescent="0.25">
      <c r="A1030" s="28">
        <v>6290171002239</v>
      </c>
      <c r="B1030" s="29" t="s">
        <v>5465</v>
      </c>
      <c r="C1030" s="30" t="s">
        <v>112</v>
      </c>
      <c r="D1030" s="31" t="s">
        <v>5466</v>
      </c>
      <c r="E1030" s="51">
        <v>41</v>
      </c>
      <c r="F1030" s="32" t="s">
        <v>15</v>
      </c>
      <c r="G1030" s="32">
        <v>0</v>
      </c>
      <c r="H1030" s="12"/>
      <c r="I1030" s="11">
        <f>Table1[[#This Row],[Qty]]*Table1[[#This Row],[Price]]</f>
        <v>0</v>
      </c>
    </row>
    <row r="1031" spans="1:9" ht="13.5" customHeight="1" x14ac:dyDescent="0.25">
      <c r="A1031" s="28">
        <v>6290171002246</v>
      </c>
      <c r="B1031" s="29" t="s">
        <v>5467</v>
      </c>
      <c r="C1031" s="30" t="s">
        <v>112</v>
      </c>
      <c r="D1031" s="31" t="s">
        <v>5468</v>
      </c>
      <c r="E1031" s="51">
        <v>41</v>
      </c>
      <c r="F1031" s="32" t="s">
        <v>15</v>
      </c>
      <c r="G1031" s="32">
        <v>0</v>
      </c>
      <c r="H1031" s="22"/>
      <c r="I1031" s="11">
        <f>Table1[[#This Row],[Qty]]*Table1[[#This Row],[Price]]</f>
        <v>0</v>
      </c>
    </row>
    <row r="1032" spans="1:9" ht="13.5" customHeight="1" x14ac:dyDescent="0.25">
      <c r="A1032" s="28">
        <v>6290171070160</v>
      </c>
      <c r="B1032" s="29" t="s">
        <v>5469</v>
      </c>
      <c r="C1032" s="30" t="s">
        <v>112</v>
      </c>
      <c r="D1032" s="31" t="s">
        <v>5470</v>
      </c>
      <c r="E1032" s="51">
        <v>41</v>
      </c>
      <c r="F1032" s="32" t="s">
        <v>15</v>
      </c>
      <c r="G1032" s="32" t="s">
        <v>7390</v>
      </c>
      <c r="H1032" s="22"/>
      <c r="I1032" s="11">
        <f>Table1[[#This Row],[Qty]]*Table1[[#This Row],[Price]]</f>
        <v>0</v>
      </c>
    </row>
    <row r="1033" spans="1:9" ht="13.5" customHeight="1" x14ac:dyDescent="0.25">
      <c r="A1033" s="28">
        <v>6290171070177</v>
      </c>
      <c r="B1033" s="29" t="s">
        <v>5471</v>
      </c>
      <c r="C1033" s="30" t="s">
        <v>112</v>
      </c>
      <c r="D1033" s="31" t="s">
        <v>5472</v>
      </c>
      <c r="E1033" s="51">
        <v>41</v>
      </c>
      <c r="F1033" s="32" t="s">
        <v>15</v>
      </c>
      <c r="G1033" s="32" t="s">
        <v>7391</v>
      </c>
      <c r="H1033" s="22"/>
      <c r="I1033" s="11">
        <f>Table1[[#This Row],[Qty]]*Table1[[#This Row],[Price]]</f>
        <v>0</v>
      </c>
    </row>
    <row r="1034" spans="1:9" ht="13.5" customHeight="1" x14ac:dyDescent="0.25">
      <c r="A1034" s="28">
        <v>6290171002222</v>
      </c>
      <c r="B1034" s="29" t="s">
        <v>5473</v>
      </c>
      <c r="C1034" s="30" t="s">
        <v>112</v>
      </c>
      <c r="D1034" s="31" t="s">
        <v>5474</v>
      </c>
      <c r="E1034" s="51">
        <v>41</v>
      </c>
      <c r="F1034" s="32" t="s">
        <v>15</v>
      </c>
      <c r="G1034" s="32">
        <v>0</v>
      </c>
      <c r="H1034" s="12"/>
      <c r="I1034" s="11">
        <f>Table1[[#This Row],[Qty]]*Table1[[#This Row],[Price]]</f>
        <v>0</v>
      </c>
    </row>
    <row r="1035" spans="1:9" ht="13.5" customHeight="1" x14ac:dyDescent="0.25">
      <c r="A1035" s="28">
        <v>6290171002215</v>
      </c>
      <c r="B1035" s="29" t="s">
        <v>5475</v>
      </c>
      <c r="C1035" s="30" t="s">
        <v>112</v>
      </c>
      <c r="D1035" s="31" t="s">
        <v>5476</v>
      </c>
      <c r="E1035" s="51">
        <v>41</v>
      </c>
      <c r="F1035" s="32" t="s">
        <v>15</v>
      </c>
      <c r="G1035" s="32">
        <v>0</v>
      </c>
      <c r="H1035" s="12"/>
      <c r="I1035" s="11">
        <f>Table1[[#This Row],[Qty]]*Table1[[#This Row],[Price]]</f>
        <v>0</v>
      </c>
    </row>
    <row r="1036" spans="1:9" ht="13.5" customHeight="1" x14ac:dyDescent="0.25">
      <c r="A1036" s="28">
        <v>6290171071921</v>
      </c>
      <c r="B1036" s="29" t="s">
        <v>5459</v>
      </c>
      <c r="C1036" s="30" t="s">
        <v>112</v>
      </c>
      <c r="D1036" s="31" t="s">
        <v>5460</v>
      </c>
      <c r="E1036" s="51">
        <v>37</v>
      </c>
      <c r="F1036" s="32" t="s">
        <v>15</v>
      </c>
      <c r="G1036" s="32" t="s">
        <v>7393</v>
      </c>
      <c r="H1036" s="12"/>
      <c r="I1036" s="11">
        <f>Table1[[#This Row],[Qty]]*Table1[[#This Row],[Price]]</f>
        <v>0</v>
      </c>
    </row>
    <row r="1037" spans="1:9" ht="13.5" customHeight="1" x14ac:dyDescent="0.25">
      <c r="A1037" s="28">
        <v>6290171071938</v>
      </c>
      <c r="B1037" s="29" t="s">
        <v>5463</v>
      </c>
      <c r="C1037" s="30" t="s">
        <v>112</v>
      </c>
      <c r="D1037" s="31" t="s">
        <v>5464</v>
      </c>
      <c r="E1037" s="51">
        <v>37</v>
      </c>
      <c r="F1037" s="32" t="s">
        <v>15</v>
      </c>
      <c r="G1037" s="32" t="s">
        <v>7394</v>
      </c>
      <c r="H1037" s="12"/>
      <c r="I1037" s="11">
        <f>Table1[[#This Row],[Qty]]*Table1[[#This Row],[Price]]</f>
        <v>0</v>
      </c>
    </row>
    <row r="1038" spans="1:9" ht="13.5" customHeight="1" x14ac:dyDescent="0.25">
      <c r="A1038" s="28">
        <v>6290171071945</v>
      </c>
      <c r="B1038" s="29" t="s">
        <v>5461</v>
      </c>
      <c r="C1038" s="30" t="s">
        <v>112</v>
      </c>
      <c r="D1038" s="31" t="s">
        <v>5462</v>
      </c>
      <c r="E1038" s="51">
        <v>34.5</v>
      </c>
      <c r="F1038" s="32" t="s">
        <v>15</v>
      </c>
      <c r="G1038" s="32" t="s">
        <v>7395</v>
      </c>
      <c r="H1038" s="12"/>
      <c r="I1038" s="11">
        <f>Table1[[#This Row],[Qty]]*Table1[[#This Row],[Price]]</f>
        <v>0</v>
      </c>
    </row>
    <row r="1039" spans="1:9" ht="13.5" customHeight="1" x14ac:dyDescent="0.25">
      <c r="A1039" s="28">
        <v>6290171070207</v>
      </c>
      <c r="B1039" s="29" t="s">
        <v>5457</v>
      </c>
      <c r="C1039" s="30" t="s">
        <v>112</v>
      </c>
      <c r="D1039" s="31" t="s">
        <v>5458</v>
      </c>
      <c r="E1039" s="51">
        <v>31</v>
      </c>
      <c r="F1039" s="32" t="s">
        <v>15</v>
      </c>
      <c r="G1039" s="32" t="s">
        <v>7398</v>
      </c>
      <c r="H1039" s="22"/>
      <c r="I1039" s="11">
        <f>Table1[[#This Row],[Qty]]*Table1[[#This Row],[Price]]</f>
        <v>0</v>
      </c>
    </row>
    <row r="1040" spans="1:9" ht="13.5" customHeight="1" x14ac:dyDescent="0.25">
      <c r="A1040" s="28">
        <v>6290171073208</v>
      </c>
      <c r="B1040" s="29" t="s">
        <v>5440</v>
      </c>
      <c r="C1040" s="30" t="s">
        <v>112</v>
      </c>
      <c r="D1040" s="31" t="s">
        <v>5441</v>
      </c>
      <c r="E1040" s="51">
        <v>27</v>
      </c>
      <c r="F1040" s="32" t="s">
        <v>15</v>
      </c>
      <c r="G1040" s="32">
        <v>0</v>
      </c>
      <c r="H1040" s="12"/>
      <c r="I1040" s="11">
        <f>Table1[[#This Row],[Qty]]*Table1[[#This Row],[Price]]</f>
        <v>0</v>
      </c>
    </row>
    <row r="1041" spans="1:9" ht="13.5" customHeight="1" x14ac:dyDescent="0.25">
      <c r="A1041" s="28">
        <v>6290171071525</v>
      </c>
      <c r="B1041" s="29" t="s">
        <v>5436</v>
      </c>
      <c r="C1041" s="30" t="s">
        <v>112</v>
      </c>
      <c r="D1041" s="31" t="s">
        <v>5437</v>
      </c>
      <c r="E1041" s="51">
        <v>26</v>
      </c>
      <c r="F1041" s="32" t="s">
        <v>15</v>
      </c>
      <c r="G1041" s="32" t="s">
        <v>7401</v>
      </c>
      <c r="H1041" s="12"/>
      <c r="I1041" s="11">
        <f>Table1[[#This Row],[Qty]]*Table1[[#This Row],[Price]]</f>
        <v>0</v>
      </c>
    </row>
    <row r="1042" spans="1:9" ht="13.5" customHeight="1" x14ac:dyDescent="0.25">
      <c r="A1042" s="28">
        <v>6290171002109</v>
      </c>
      <c r="B1042" s="29" t="s">
        <v>5176</v>
      </c>
      <c r="C1042" s="30" t="s">
        <v>112</v>
      </c>
      <c r="D1042" s="31" t="s">
        <v>5177</v>
      </c>
      <c r="E1042" s="51">
        <v>24.5</v>
      </c>
      <c r="F1042" s="32" t="s">
        <v>15</v>
      </c>
      <c r="G1042" s="32"/>
      <c r="H1042" s="14"/>
      <c r="I1042" s="11">
        <f>Table1[[#This Row],[Qty]]*Table1[[#This Row],[Price]]</f>
        <v>0</v>
      </c>
    </row>
    <row r="1043" spans="1:9" ht="13.5" customHeight="1" x14ac:dyDescent="0.25">
      <c r="A1043" s="28">
        <v>6290171073277</v>
      </c>
      <c r="B1043" s="29" t="s">
        <v>5145</v>
      </c>
      <c r="C1043" s="30" t="s">
        <v>112</v>
      </c>
      <c r="D1043" s="31" t="s">
        <v>5146</v>
      </c>
      <c r="E1043" s="51">
        <v>22.5</v>
      </c>
      <c r="F1043" s="32" t="s">
        <v>15</v>
      </c>
      <c r="G1043" s="32">
        <v>0</v>
      </c>
      <c r="H1043" s="22"/>
      <c r="I1043" s="11">
        <f>Table1[[#This Row],[Qty]]*Table1[[#This Row],[Price]]</f>
        <v>0</v>
      </c>
    </row>
    <row r="1044" spans="1:9" ht="13.5" customHeight="1" x14ac:dyDescent="0.25">
      <c r="A1044" s="28">
        <v>6290171040675</v>
      </c>
      <c r="B1044" s="29" t="s">
        <v>5447</v>
      </c>
      <c r="C1044" s="30" t="s">
        <v>112</v>
      </c>
      <c r="D1044" s="31" t="s">
        <v>5448</v>
      </c>
      <c r="E1044" s="51">
        <v>21.25</v>
      </c>
      <c r="F1044" s="32" t="s">
        <v>15</v>
      </c>
      <c r="G1044" s="32">
        <v>0</v>
      </c>
      <c r="H1044" s="22"/>
      <c r="I1044" s="11">
        <f>Table1[[#This Row],[Qty]]*Table1[[#This Row],[Price]]</f>
        <v>0</v>
      </c>
    </row>
    <row r="1045" spans="1:9" ht="13.5" customHeight="1" x14ac:dyDescent="0.25">
      <c r="A1045" s="28">
        <v>6290171073130</v>
      </c>
      <c r="B1045" s="29" t="s">
        <v>5123</v>
      </c>
      <c r="C1045" s="30" t="s">
        <v>112</v>
      </c>
      <c r="D1045" s="31" t="s">
        <v>5124</v>
      </c>
      <c r="E1045" s="51">
        <v>19.75</v>
      </c>
      <c r="F1045" s="32" t="s">
        <v>15</v>
      </c>
      <c r="G1045" s="32">
        <v>0</v>
      </c>
      <c r="H1045" s="12"/>
      <c r="I1045" s="11">
        <f>Table1[[#This Row],[Qty]]*Table1[[#This Row],[Price]]</f>
        <v>0</v>
      </c>
    </row>
    <row r="1046" spans="1:9" ht="13.5" customHeight="1" x14ac:dyDescent="0.25">
      <c r="A1046" s="28">
        <v>6290171002284</v>
      </c>
      <c r="B1046" s="29" t="s">
        <v>5086</v>
      </c>
      <c r="C1046" s="30" t="s">
        <v>112</v>
      </c>
      <c r="D1046" s="31" t="s">
        <v>5087</v>
      </c>
      <c r="E1046" s="51">
        <v>18</v>
      </c>
      <c r="F1046" s="32" t="s">
        <v>15</v>
      </c>
      <c r="G1046" s="32" t="s">
        <v>7415</v>
      </c>
      <c r="H1046" s="14"/>
      <c r="I1046" s="11">
        <f>Table1[[#This Row],[Qty]]*Table1[[#This Row],[Price]]</f>
        <v>0</v>
      </c>
    </row>
    <row r="1047" spans="1:9" ht="13.5" customHeight="1" x14ac:dyDescent="0.25">
      <c r="A1047" s="28">
        <v>6290171002055</v>
      </c>
      <c r="B1047" s="29" t="s">
        <v>5425</v>
      </c>
      <c r="C1047" s="30" t="s">
        <v>112</v>
      </c>
      <c r="D1047" s="31" t="s">
        <v>5426</v>
      </c>
      <c r="E1047" s="51">
        <v>18</v>
      </c>
      <c r="F1047" s="32" t="s">
        <v>15</v>
      </c>
      <c r="G1047" s="32" t="s">
        <v>7416</v>
      </c>
      <c r="H1047" s="22"/>
      <c r="I1047" s="11">
        <f>Table1[[#This Row],[Qty]]*Table1[[#This Row],[Price]]</f>
        <v>0</v>
      </c>
    </row>
    <row r="1048" spans="1:9" ht="13.5" customHeight="1" x14ac:dyDescent="0.25">
      <c r="A1048" s="28">
        <v>6290171072614</v>
      </c>
      <c r="B1048" s="29" t="s">
        <v>5121</v>
      </c>
      <c r="C1048" s="30" t="s">
        <v>112</v>
      </c>
      <c r="D1048" s="31" t="s">
        <v>5122</v>
      </c>
      <c r="E1048" s="51">
        <v>16.95</v>
      </c>
      <c r="F1048" s="32" t="s">
        <v>15</v>
      </c>
      <c r="G1048" s="32" t="s">
        <v>7420</v>
      </c>
      <c r="H1048" s="12"/>
      <c r="I1048" s="11">
        <f>Table1[[#This Row],[Qty]]*Table1[[#This Row],[Price]]</f>
        <v>0</v>
      </c>
    </row>
    <row r="1049" spans="1:9" ht="13.5" customHeight="1" x14ac:dyDescent="0.25">
      <c r="A1049" s="28">
        <v>6290171073109</v>
      </c>
      <c r="B1049" s="29" t="s">
        <v>5413</v>
      </c>
      <c r="C1049" s="30" t="s">
        <v>112</v>
      </c>
      <c r="D1049" s="31" t="s">
        <v>5414</v>
      </c>
      <c r="E1049" s="51">
        <v>16</v>
      </c>
      <c r="F1049" s="32" t="s">
        <v>15</v>
      </c>
      <c r="G1049" s="32">
        <v>0</v>
      </c>
      <c r="H1049" s="22"/>
      <c r="I1049" s="11">
        <f>Table1[[#This Row],[Qty]]*Table1[[#This Row],[Price]]</f>
        <v>0</v>
      </c>
    </row>
    <row r="1050" spans="1:9" ht="13.5" customHeight="1" x14ac:dyDescent="0.25">
      <c r="A1050" s="28">
        <v>6290171073031</v>
      </c>
      <c r="B1050" s="29" t="s">
        <v>5427</v>
      </c>
      <c r="C1050" s="30" t="s">
        <v>112</v>
      </c>
      <c r="D1050" s="31" t="s">
        <v>5428</v>
      </c>
      <c r="E1050" s="51">
        <v>16</v>
      </c>
      <c r="F1050" s="32" t="s">
        <v>15</v>
      </c>
      <c r="G1050" s="32">
        <v>0</v>
      </c>
      <c r="H1050" s="22"/>
      <c r="I1050" s="11">
        <f>Table1[[#This Row],[Qty]]*Table1[[#This Row],[Price]]</f>
        <v>0</v>
      </c>
    </row>
    <row r="1051" spans="1:9" ht="13.5" customHeight="1" x14ac:dyDescent="0.25">
      <c r="A1051" s="28">
        <v>6290171073079</v>
      </c>
      <c r="B1051" s="29" t="s">
        <v>5073</v>
      </c>
      <c r="C1051" s="30" t="s">
        <v>112</v>
      </c>
      <c r="D1051" s="31" t="s">
        <v>5074</v>
      </c>
      <c r="E1051" s="51">
        <v>14.95</v>
      </c>
      <c r="F1051" s="32" t="s">
        <v>15</v>
      </c>
      <c r="G1051" s="32">
        <v>0</v>
      </c>
      <c r="H1051" s="12"/>
      <c r="I1051" s="11">
        <f>Table1[[#This Row],[Qty]]*Table1[[#This Row],[Price]]</f>
        <v>0</v>
      </c>
    </row>
    <row r="1052" spans="1:9" ht="13.5" customHeight="1" x14ac:dyDescent="0.25">
      <c r="A1052" s="28">
        <v>6290171010166</v>
      </c>
      <c r="B1052" s="29" t="s">
        <v>4996</v>
      </c>
      <c r="C1052" s="30" t="s">
        <v>112</v>
      </c>
      <c r="D1052" s="31" t="s">
        <v>4997</v>
      </c>
      <c r="E1052" s="51">
        <v>11.45</v>
      </c>
      <c r="F1052" s="32" t="s">
        <v>15</v>
      </c>
      <c r="G1052" s="32"/>
      <c r="H1052" s="22"/>
      <c r="I1052" s="11">
        <f>Table1[[#This Row],[Qty]]*Table1[[#This Row],[Price]]</f>
        <v>0</v>
      </c>
    </row>
    <row r="1053" spans="1:9" ht="13.5" customHeight="1" x14ac:dyDescent="0.25">
      <c r="A1053" s="28">
        <v>6290171010159</v>
      </c>
      <c r="B1053" s="29" t="s">
        <v>5006</v>
      </c>
      <c r="C1053" s="30" t="s">
        <v>112</v>
      </c>
      <c r="D1053" s="31" t="s">
        <v>5007</v>
      </c>
      <c r="E1053" s="51">
        <v>11.45</v>
      </c>
      <c r="F1053" s="32" t="s">
        <v>15</v>
      </c>
      <c r="G1053" s="32"/>
      <c r="H1053" s="12"/>
      <c r="I1053" s="11">
        <f>Table1[[#This Row],[Qty]]*Table1[[#This Row],[Price]]</f>
        <v>0</v>
      </c>
    </row>
    <row r="1054" spans="1:9" ht="13.5" customHeight="1" x14ac:dyDescent="0.25">
      <c r="A1054" s="28">
        <v>6293708010233</v>
      </c>
      <c r="B1054" s="29" t="s">
        <v>3945</v>
      </c>
      <c r="C1054" s="33" t="s">
        <v>1287</v>
      </c>
      <c r="D1054" s="31" t="s">
        <v>3946</v>
      </c>
      <c r="E1054" s="51">
        <v>20</v>
      </c>
      <c r="F1054" s="32" t="s">
        <v>15</v>
      </c>
      <c r="G1054" s="32" t="s">
        <v>5760</v>
      </c>
      <c r="H1054" s="22"/>
      <c r="I1054" s="11">
        <f>Table1[[#This Row],[Qty]]*Table1[[#This Row],[Price]]</f>
        <v>0</v>
      </c>
    </row>
    <row r="1055" spans="1:9" ht="13.5" customHeight="1" x14ac:dyDescent="0.25">
      <c r="A1055" s="28">
        <v>6293708007479</v>
      </c>
      <c r="B1055" s="29" t="s">
        <v>1286</v>
      </c>
      <c r="C1055" s="30" t="s">
        <v>1287</v>
      </c>
      <c r="D1055" s="31" t="s">
        <v>1288</v>
      </c>
      <c r="E1055" s="51">
        <v>65.72</v>
      </c>
      <c r="F1055" s="32" t="s">
        <v>15</v>
      </c>
      <c r="G1055" s="32" t="s">
        <v>6183</v>
      </c>
      <c r="H1055" s="13"/>
      <c r="I1055" s="11">
        <f>Table1[[#This Row],[Qty]]*Table1[[#This Row],[Price]]</f>
        <v>0</v>
      </c>
    </row>
    <row r="1056" spans="1:9" ht="13.5" customHeight="1" x14ac:dyDescent="0.25">
      <c r="A1056" s="28">
        <v>6291106813128</v>
      </c>
      <c r="B1056" s="29" t="s">
        <v>155</v>
      </c>
      <c r="C1056" s="30" t="s">
        <v>91</v>
      </c>
      <c r="D1056" s="31" t="s">
        <v>156</v>
      </c>
      <c r="E1056" s="51">
        <v>30</v>
      </c>
      <c r="F1056" s="32" t="s">
        <v>15</v>
      </c>
      <c r="G1056" s="32" t="s">
        <v>5663</v>
      </c>
      <c r="H1056" s="12"/>
      <c r="I1056" s="11">
        <f>Table1[[#This Row],[Qty]]*Table1[[#This Row],[Price]]</f>
        <v>0</v>
      </c>
    </row>
    <row r="1057" spans="1:9" ht="13.5" customHeight="1" x14ac:dyDescent="0.25">
      <c r="A1057" s="28">
        <v>6291100130283</v>
      </c>
      <c r="B1057" s="29" t="s">
        <v>250</v>
      </c>
      <c r="C1057" s="33" t="s">
        <v>91</v>
      </c>
      <c r="D1057" s="31" t="s">
        <v>251</v>
      </c>
      <c r="E1057" s="51">
        <v>24</v>
      </c>
      <c r="F1057" s="32" t="s">
        <v>15</v>
      </c>
      <c r="G1057" s="32" t="s">
        <v>5705</v>
      </c>
      <c r="H1057" s="22"/>
      <c r="I1057" s="11">
        <f>Table1[[#This Row],[Qty]]*Table1[[#This Row],[Price]]</f>
        <v>0</v>
      </c>
    </row>
    <row r="1058" spans="1:9" ht="13.5" customHeight="1" x14ac:dyDescent="0.25">
      <c r="A1058" s="28">
        <v>6291106814873</v>
      </c>
      <c r="B1058" s="29" t="s">
        <v>438</v>
      </c>
      <c r="C1058" s="30" t="s">
        <v>91</v>
      </c>
      <c r="D1058" s="31" t="s">
        <v>439</v>
      </c>
      <c r="E1058" s="51">
        <v>38.68</v>
      </c>
      <c r="F1058" s="32" t="s">
        <v>15</v>
      </c>
      <c r="G1058" s="32" t="s">
        <v>5831</v>
      </c>
      <c r="H1058" s="12"/>
      <c r="I1058" s="11">
        <f>Table1[[#This Row],[Qty]]*Table1[[#This Row],[Price]]</f>
        <v>0</v>
      </c>
    </row>
    <row r="1059" spans="1:9" ht="13.5" customHeight="1" x14ac:dyDescent="0.25">
      <c r="A1059" s="28">
        <v>6291106813036</v>
      </c>
      <c r="B1059" s="29" t="s">
        <v>582</v>
      </c>
      <c r="C1059" s="30" t="s">
        <v>91</v>
      </c>
      <c r="D1059" s="31" t="s">
        <v>583</v>
      </c>
      <c r="E1059" s="51">
        <v>36.159999999999997</v>
      </c>
      <c r="F1059" s="32" t="s">
        <v>15</v>
      </c>
      <c r="G1059" s="32" t="s">
        <v>5895</v>
      </c>
      <c r="H1059" s="22"/>
      <c r="I1059" s="11">
        <f>Table1[[#This Row],[Qty]]*Table1[[#This Row],[Price]]</f>
        <v>0</v>
      </c>
    </row>
    <row r="1060" spans="1:9" ht="13.5" customHeight="1" x14ac:dyDescent="0.25">
      <c r="A1060" s="28">
        <v>6291106813074</v>
      </c>
      <c r="B1060" s="29" t="s">
        <v>705</v>
      </c>
      <c r="C1060" s="30" t="s">
        <v>91</v>
      </c>
      <c r="D1060" s="31" t="s">
        <v>706</v>
      </c>
      <c r="E1060" s="51">
        <v>48.87</v>
      </c>
      <c r="F1060" s="32" t="s">
        <v>15</v>
      </c>
      <c r="G1060" s="32" t="s">
        <v>5951</v>
      </c>
      <c r="H1060" s="22"/>
      <c r="I1060" s="11">
        <f>Table1[[#This Row],[Qty]]*Table1[[#This Row],[Price]]</f>
        <v>0</v>
      </c>
    </row>
    <row r="1061" spans="1:9" ht="13.5" customHeight="1" x14ac:dyDescent="0.25">
      <c r="A1061" s="28">
        <v>6291100131617</v>
      </c>
      <c r="B1061" s="29" t="s">
        <v>715</v>
      </c>
      <c r="C1061" s="30" t="s">
        <v>91</v>
      </c>
      <c r="D1061" s="31" t="s">
        <v>716</v>
      </c>
      <c r="E1061" s="51">
        <v>29.92</v>
      </c>
      <c r="F1061" s="32" t="s">
        <v>15</v>
      </c>
      <c r="G1061" s="32" t="s">
        <v>5956</v>
      </c>
      <c r="H1061" s="12"/>
      <c r="I1061" s="11">
        <f>Table1[[#This Row],[Qty]]*Table1[[#This Row],[Price]]</f>
        <v>0</v>
      </c>
    </row>
    <row r="1062" spans="1:9" ht="13.5" customHeight="1" x14ac:dyDescent="0.25">
      <c r="A1062" s="28">
        <v>6291106813814</v>
      </c>
      <c r="B1062" s="29" t="s">
        <v>896</v>
      </c>
      <c r="C1062" s="30" t="s">
        <v>897</v>
      </c>
      <c r="D1062" s="31" t="s">
        <v>898</v>
      </c>
      <c r="E1062" s="51">
        <v>17.57</v>
      </c>
      <c r="F1062" s="32" t="s">
        <v>15</v>
      </c>
      <c r="G1062" s="32" t="s">
        <v>6036</v>
      </c>
      <c r="H1062" s="12"/>
      <c r="I1062" s="11">
        <f>Table1[[#This Row],[Qty]]*Table1[[#This Row],[Price]]</f>
        <v>0</v>
      </c>
    </row>
    <row r="1063" spans="1:9" ht="13.5" customHeight="1" x14ac:dyDescent="0.25">
      <c r="A1063" s="28">
        <v>6291106814910</v>
      </c>
      <c r="B1063" s="29" t="s">
        <v>942</v>
      </c>
      <c r="C1063" s="30" t="s">
        <v>91</v>
      </c>
      <c r="D1063" s="31" t="s">
        <v>943</v>
      </c>
      <c r="E1063" s="51">
        <v>36.33</v>
      </c>
      <c r="F1063" s="32" t="s">
        <v>15</v>
      </c>
      <c r="G1063" s="32" t="s">
        <v>6057</v>
      </c>
      <c r="H1063" s="12"/>
      <c r="I1063" s="11">
        <f>Table1[[#This Row],[Qty]]*Table1[[#This Row],[Price]]</f>
        <v>0</v>
      </c>
    </row>
    <row r="1064" spans="1:9" ht="13.5" customHeight="1" x14ac:dyDescent="0.25">
      <c r="A1064" s="28">
        <v>6291106813067</v>
      </c>
      <c r="B1064" s="29" t="s">
        <v>1092</v>
      </c>
      <c r="C1064" s="30" t="s">
        <v>91</v>
      </c>
      <c r="D1064" s="31" t="s">
        <v>1093</v>
      </c>
      <c r="E1064" s="51">
        <v>36.869999999999997</v>
      </c>
      <c r="F1064" s="32" t="s">
        <v>15</v>
      </c>
      <c r="G1064" s="32" t="s">
        <v>6125</v>
      </c>
      <c r="H1064" s="22"/>
      <c r="I1064" s="11">
        <f>Table1[[#This Row],[Qty]]*Table1[[#This Row],[Price]]</f>
        <v>0</v>
      </c>
    </row>
    <row r="1065" spans="1:9" ht="13.5" customHeight="1" x14ac:dyDescent="0.25">
      <c r="A1065" s="28">
        <v>6291100137275</v>
      </c>
      <c r="B1065" s="29" t="s">
        <v>1136</v>
      </c>
      <c r="C1065" s="30" t="s">
        <v>91</v>
      </c>
      <c r="D1065" s="31" t="s">
        <v>1137</v>
      </c>
      <c r="E1065" s="51">
        <v>14.75</v>
      </c>
      <c r="F1065" s="32" t="s">
        <v>15</v>
      </c>
      <c r="G1065" s="32" t="s">
        <v>6142</v>
      </c>
      <c r="H1065" s="12"/>
      <c r="I1065" s="11">
        <f>Table1[[#This Row],[Qty]]*Table1[[#This Row],[Price]]</f>
        <v>0</v>
      </c>
    </row>
    <row r="1066" spans="1:9" ht="13.5" customHeight="1" x14ac:dyDescent="0.25">
      <c r="A1066" s="28">
        <v>6291100133451</v>
      </c>
      <c r="B1066" s="29" t="s">
        <v>1421</v>
      </c>
      <c r="C1066" s="30" t="s">
        <v>91</v>
      </c>
      <c r="D1066" s="31" t="s">
        <v>1422</v>
      </c>
      <c r="E1066" s="51">
        <v>45.85</v>
      </c>
      <c r="F1066" s="32" t="s">
        <v>15</v>
      </c>
      <c r="G1066" s="32" t="s">
        <v>6207</v>
      </c>
      <c r="H1066" s="12"/>
      <c r="I1066" s="11">
        <f>Table1[[#This Row],[Qty]]*Table1[[#This Row],[Price]]</f>
        <v>0</v>
      </c>
    </row>
    <row r="1067" spans="1:9" ht="13.5" customHeight="1" x14ac:dyDescent="0.25">
      <c r="A1067" s="28">
        <v>6291100130160</v>
      </c>
      <c r="B1067" s="29" t="s">
        <v>1517</v>
      </c>
      <c r="C1067" s="33" t="s">
        <v>91</v>
      </c>
      <c r="D1067" s="31" t="s">
        <v>1518</v>
      </c>
      <c r="E1067" s="51">
        <v>34.5</v>
      </c>
      <c r="F1067" s="32" t="s">
        <v>15</v>
      </c>
      <c r="G1067" s="32" t="s">
        <v>6235</v>
      </c>
      <c r="H1067" s="22"/>
      <c r="I1067" s="11">
        <f>Table1[[#This Row],[Qty]]*Table1[[#This Row],[Price]]</f>
        <v>0</v>
      </c>
    </row>
    <row r="1068" spans="1:9" ht="13.5" customHeight="1" x14ac:dyDescent="0.25">
      <c r="A1068" s="28">
        <v>6291100132317</v>
      </c>
      <c r="B1068" s="29" t="s">
        <v>1536</v>
      </c>
      <c r="C1068" s="30" t="s">
        <v>91</v>
      </c>
      <c r="D1068" s="31" t="s">
        <v>1537</v>
      </c>
      <c r="E1068" s="51">
        <v>31.62</v>
      </c>
      <c r="F1068" s="32" t="s">
        <v>15</v>
      </c>
      <c r="G1068" s="32" t="s">
        <v>6239</v>
      </c>
      <c r="H1068" s="12"/>
      <c r="I1068" s="11">
        <f>Table1[[#This Row],[Qty]]*Table1[[#This Row],[Price]]</f>
        <v>0</v>
      </c>
    </row>
    <row r="1069" spans="1:9" ht="13.5" customHeight="1" x14ac:dyDescent="0.25">
      <c r="A1069" s="28">
        <v>6291100130986</v>
      </c>
      <c r="B1069" s="29" t="s">
        <v>1594</v>
      </c>
      <c r="C1069" s="30" t="s">
        <v>91</v>
      </c>
      <c r="D1069" s="31" t="s">
        <v>1595</v>
      </c>
      <c r="E1069" s="51">
        <v>28.25</v>
      </c>
      <c r="F1069" s="32" t="s">
        <v>15</v>
      </c>
      <c r="G1069" s="32" t="s">
        <v>6252</v>
      </c>
      <c r="H1069" s="12"/>
      <c r="I1069" s="11">
        <f>Table1[[#This Row],[Qty]]*Table1[[#This Row],[Price]]</f>
        <v>0</v>
      </c>
    </row>
    <row r="1070" spans="1:9" ht="13.5" customHeight="1" x14ac:dyDescent="0.25">
      <c r="A1070" s="28">
        <v>6291100131297</v>
      </c>
      <c r="B1070" s="29" t="s">
        <v>1669</v>
      </c>
      <c r="C1070" s="30" t="s">
        <v>91</v>
      </c>
      <c r="D1070" s="31" t="s">
        <v>1670</v>
      </c>
      <c r="E1070" s="51">
        <v>25.8</v>
      </c>
      <c r="F1070" s="32" t="s">
        <v>15</v>
      </c>
      <c r="G1070" s="32">
        <v>0</v>
      </c>
      <c r="H1070" s="12"/>
      <c r="I1070" s="11">
        <f>Table1[[#This Row],[Qty]]*Table1[[#This Row],[Price]]</f>
        <v>0</v>
      </c>
    </row>
    <row r="1071" spans="1:9" ht="13.5" customHeight="1" x14ac:dyDescent="0.25">
      <c r="A1071" s="28">
        <v>6291100131273</v>
      </c>
      <c r="B1071" s="29" t="s">
        <v>1677</v>
      </c>
      <c r="C1071" s="30" t="s">
        <v>91</v>
      </c>
      <c r="D1071" s="31" t="s">
        <v>1678</v>
      </c>
      <c r="E1071" s="51">
        <v>25.2</v>
      </c>
      <c r="F1071" s="32" t="s">
        <v>15</v>
      </c>
      <c r="G1071" s="32" t="s">
        <v>6270</v>
      </c>
      <c r="H1071" s="12"/>
      <c r="I1071" s="11">
        <f>Table1[[#This Row],[Qty]]*Table1[[#This Row],[Price]]</f>
        <v>0</v>
      </c>
    </row>
    <row r="1072" spans="1:9" ht="13.5" customHeight="1" x14ac:dyDescent="0.25">
      <c r="A1072" s="28">
        <v>6291100130849</v>
      </c>
      <c r="B1072" s="29" t="s">
        <v>1706</v>
      </c>
      <c r="C1072" s="30" t="s">
        <v>91</v>
      </c>
      <c r="D1072" s="31" t="s">
        <v>1707</v>
      </c>
      <c r="E1072" s="51">
        <v>23.9</v>
      </c>
      <c r="F1072" s="32" t="s">
        <v>15</v>
      </c>
      <c r="G1072" s="32" t="s">
        <v>6278</v>
      </c>
      <c r="H1072" s="22"/>
      <c r="I1072" s="11">
        <f>Table1[[#This Row],[Qty]]*Table1[[#This Row],[Price]]</f>
        <v>0</v>
      </c>
    </row>
    <row r="1073" spans="1:9" ht="13.5" customHeight="1" x14ac:dyDescent="0.25">
      <c r="A1073" s="28">
        <v>6291100132287</v>
      </c>
      <c r="B1073" s="29" t="s">
        <v>1723</v>
      </c>
      <c r="C1073" s="30" t="s">
        <v>91</v>
      </c>
      <c r="D1073" s="31" t="s">
        <v>1724</v>
      </c>
      <c r="E1073" s="51">
        <v>23</v>
      </c>
      <c r="F1073" s="32" t="s">
        <v>15</v>
      </c>
      <c r="G1073" s="32" t="s">
        <v>6283</v>
      </c>
      <c r="H1073" s="12"/>
      <c r="I1073" s="11">
        <f>Table1[[#This Row],[Qty]]*Table1[[#This Row],[Price]]</f>
        <v>0</v>
      </c>
    </row>
    <row r="1074" spans="1:9" ht="13.5" customHeight="1" x14ac:dyDescent="0.25">
      <c r="A1074" s="28">
        <v>6291100137565</v>
      </c>
      <c r="B1074" s="29" t="s">
        <v>1764</v>
      </c>
      <c r="C1074" s="30" t="s">
        <v>91</v>
      </c>
      <c r="D1074" s="31" t="s">
        <v>1765</v>
      </c>
      <c r="E1074" s="51">
        <v>21.47</v>
      </c>
      <c r="F1074" s="32" t="s">
        <v>15</v>
      </c>
      <c r="G1074" s="32" t="s">
        <v>6298</v>
      </c>
      <c r="H1074" s="22"/>
      <c r="I1074" s="11">
        <f>Table1[[#This Row],[Qty]]*Table1[[#This Row],[Price]]</f>
        <v>0</v>
      </c>
    </row>
    <row r="1075" spans="1:9" ht="13.5" customHeight="1" x14ac:dyDescent="0.25">
      <c r="A1075" s="28">
        <v>6291100133475</v>
      </c>
      <c r="B1075" s="29" t="s">
        <v>2317</v>
      </c>
      <c r="C1075" s="30" t="s">
        <v>91</v>
      </c>
      <c r="D1075" s="31" t="s">
        <v>2318</v>
      </c>
      <c r="E1075" s="51">
        <v>39.15</v>
      </c>
      <c r="F1075" s="32" t="s">
        <v>15</v>
      </c>
      <c r="G1075" s="32" t="s">
        <v>6411</v>
      </c>
      <c r="H1075" s="12"/>
      <c r="I1075" s="11">
        <f>Table1[[#This Row],[Qty]]*Table1[[#This Row],[Price]]</f>
        <v>0</v>
      </c>
    </row>
    <row r="1076" spans="1:9" ht="13.5" customHeight="1" x14ac:dyDescent="0.25">
      <c r="A1076" s="28">
        <v>6291100130597</v>
      </c>
      <c r="B1076" s="29" t="s">
        <v>2613</v>
      </c>
      <c r="C1076" s="30" t="s">
        <v>91</v>
      </c>
      <c r="D1076" s="31" t="s">
        <v>2614</v>
      </c>
      <c r="E1076" s="51">
        <v>22.91</v>
      </c>
      <c r="F1076" s="32" t="s">
        <v>15</v>
      </c>
      <c r="G1076" s="32" t="s">
        <v>6539</v>
      </c>
      <c r="H1076" s="22"/>
      <c r="I1076" s="11">
        <f>Table1[[#This Row],[Qty]]*Table1[[#This Row],[Price]]</f>
        <v>0</v>
      </c>
    </row>
    <row r="1077" spans="1:9" ht="13.5" customHeight="1" x14ac:dyDescent="0.25">
      <c r="A1077" s="28">
        <v>6291100132300</v>
      </c>
      <c r="B1077" s="29" t="s">
        <v>2856</v>
      </c>
      <c r="C1077" s="30" t="s">
        <v>91</v>
      </c>
      <c r="D1077" s="31" t="s">
        <v>2857</v>
      </c>
      <c r="E1077" s="51">
        <v>48.76</v>
      </c>
      <c r="F1077" s="32" t="s">
        <v>15</v>
      </c>
      <c r="G1077" s="32" t="s">
        <v>6630</v>
      </c>
      <c r="H1077" s="12"/>
      <c r="I1077" s="11">
        <f>Table1[[#This Row],[Qty]]*Table1[[#This Row],[Price]]</f>
        <v>0</v>
      </c>
    </row>
    <row r="1078" spans="1:9" ht="13.5" customHeight="1" x14ac:dyDescent="0.25">
      <c r="A1078" s="28">
        <v>6291100131594</v>
      </c>
      <c r="B1078" s="29" t="s">
        <v>3714</v>
      </c>
      <c r="C1078" s="30" t="s">
        <v>91</v>
      </c>
      <c r="D1078" s="31" t="s">
        <v>3715</v>
      </c>
      <c r="E1078" s="51">
        <v>30</v>
      </c>
      <c r="F1078" s="32" t="s">
        <v>15</v>
      </c>
      <c r="G1078" s="32" t="s">
        <v>7029</v>
      </c>
      <c r="H1078" s="12"/>
      <c r="I1078" s="11">
        <f>Table1[[#This Row],[Qty]]*Table1[[#This Row],[Price]]</f>
        <v>0</v>
      </c>
    </row>
    <row r="1079" spans="1:9" ht="13.5" customHeight="1" x14ac:dyDescent="0.25">
      <c r="A1079" s="28">
        <v>6291106813616</v>
      </c>
      <c r="B1079" s="29" t="s">
        <v>3724</v>
      </c>
      <c r="C1079" s="30" t="s">
        <v>91</v>
      </c>
      <c r="D1079" s="31" t="s">
        <v>3725</v>
      </c>
      <c r="E1079" s="51">
        <v>25</v>
      </c>
      <c r="F1079" s="32" t="s">
        <v>15</v>
      </c>
      <c r="G1079" s="32" t="s">
        <v>7034</v>
      </c>
      <c r="H1079" s="12"/>
      <c r="I1079" s="11">
        <f>Table1[[#This Row],[Qty]]*Table1[[#This Row],[Price]]</f>
        <v>0</v>
      </c>
    </row>
    <row r="1080" spans="1:9" ht="13.5" customHeight="1" x14ac:dyDescent="0.25">
      <c r="A1080" s="28">
        <v>6291106813029</v>
      </c>
      <c r="B1080" s="29" t="s">
        <v>3844</v>
      </c>
      <c r="C1080" s="30" t="s">
        <v>91</v>
      </c>
      <c r="D1080" s="31" t="s">
        <v>3845</v>
      </c>
      <c r="E1080" s="51">
        <v>27</v>
      </c>
      <c r="F1080" s="32" t="s">
        <v>15</v>
      </c>
      <c r="G1080" s="32" t="s">
        <v>7093</v>
      </c>
      <c r="H1080" s="12"/>
      <c r="I1080" s="11">
        <f>Table1[[#This Row],[Qty]]*Table1[[#This Row],[Price]]</f>
        <v>0</v>
      </c>
    </row>
    <row r="1081" spans="1:9" ht="13.5" customHeight="1" x14ac:dyDescent="0.25">
      <c r="A1081" s="28">
        <v>6291106814811</v>
      </c>
      <c r="B1081" s="29" t="s">
        <v>3173</v>
      </c>
      <c r="C1081" s="30" t="s">
        <v>91</v>
      </c>
      <c r="D1081" s="31" t="s">
        <v>7542</v>
      </c>
      <c r="E1081" s="51">
        <v>30.88</v>
      </c>
      <c r="F1081" s="32" t="s">
        <v>15</v>
      </c>
      <c r="G1081" s="32" t="s">
        <v>7368</v>
      </c>
      <c r="H1081" s="12"/>
      <c r="I1081" s="11">
        <f>Table1[[#This Row],[Qty]]*Table1[[#This Row],[Price]]</f>
        <v>0</v>
      </c>
    </row>
    <row r="1082" spans="1:9" ht="13.5" customHeight="1" x14ac:dyDescent="0.25">
      <c r="A1082" s="28">
        <v>6291106812589</v>
      </c>
      <c r="B1082" s="29" t="s">
        <v>5378</v>
      </c>
      <c r="C1082" s="30" t="s">
        <v>91</v>
      </c>
      <c r="D1082" s="31" t="s">
        <v>5379</v>
      </c>
      <c r="E1082" s="51">
        <v>44</v>
      </c>
      <c r="F1082" s="32" t="s">
        <v>15</v>
      </c>
      <c r="G1082" s="32" t="s">
        <v>7387</v>
      </c>
      <c r="H1082" s="12"/>
      <c r="I1082" s="11">
        <f>Table1[[#This Row],[Qty]]*Table1[[#This Row],[Price]]</f>
        <v>0</v>
      </c>
    </row>
    <row r="1083" spans="1:9" ht="13.5" customHeight="1" x14ac:dyDescent="0.25">
      <c r="A1083" s="28">
        <v>6291109270485</v>
      </c>
      <c r="B1083" s="29" t="s">
        <v>5213</v>
      </c>
      <c r="C1083" s="30" t="s">
        <v>91</v>
      </c>
      <c r="D1083" s="31" t="s">
        <v>5214</v>
      </c>
      <c r="E1083" s="51">
        <v>42</v>
      </c>
      <c r="F1083" s="32" t="s">
        <v>15</v>
      </c>
      <c r="G1083" s="32">
        <v>0</v>
      </c>
      <c r="H1083" s="12"/>
      <c r="I1083" s="11">
        <f>Table1[[#This Row],[Qty]]*Table1[[#This Row],[Price]]</f>
        <v>0</v>
      </c>
    </row>
    <row r="1084" spans="1:9" ht="13.5" customHeight="1" x14ac:dyDescent="0.25">
      <c r="A1084" s="28">
        <v>6291100130474</v>
      </c>
      <c r="B1084" s="29" t="s">
        <v>5374</v>
      </c>
      <c r="C1084" s="30" t="s">
        <v>91</v>
      </c>
      <c r="D1084" s="31" t="s">
        <v>5375</v>
      </c>
      <c r="E1084" s="51">
        <v>40.5</v>
      </c>
      <c r="F1084" s="32" t="s">
        <v>15</v>
      </c>
      <c r="G1084" s="32" t="s">
        <v>7392</v>
      </c>
      <c r="H1084" s="12"/>
      <c r="I1084" s="11">
        <f>Table1[[#This Row],[Qty]]*Table1[[#This Row],[Price]]</f>
        <v>0</v>
      </c>
    </row>
    <row r="1085" spans="1:9" ht="13.5" customHeight="1" x14ac:dyDescent="0.25">
      <c r="A1085" s="28">
        <v>6297001158333</v>
      </c>
      <c r="B1085" s="29" t="s">
        <v>5180</v>
      </c>
      <c r="C1085" s="30" t="s">
        <v>91</v>
      </c>
      <c r="D1085" s="31" t="s">
        <v>5181</v>
      </c>
      <c r="E1085" s="51">
        <v>27.5</v>
      </c>
      <c r="F1085" s="32" t="s">
        <v>15</v>
      </c>
      <c r="G1085" s="32">
        <v>0</v>
      </c>
      <c r="H1085" s="22"/>
      <c r="I1085" s="11">
        <f>Table1[[#This Row],[Qty]]*Table1[[#This Row],[Price]]</f>
        <v>0</v>
      </c>
    </row>
    <row r="1086" spans="1:9" ht="13.5" customHeight="1" x14ac:dyDescent="0.25">
      <c r="A1086" s="28">
        <v>6291109270171</v>
      </c>
      <c r="B1086" s="29" t="s">
        <v>5198</v>
      </c>
      <c r="C1086" s="30" t="s">
        <v>91</v>
      </c>
      <c r="D1086" s="31" t="s">
        <v>5199</v>
      </c>
      <c r="E1086" s="51">
        <v>27</v>
      </c>
      <c r="F1086" s="32" t="s">
        <v>15</v>
      </c>
      <c r="G1086" s="32">
        <v>0</v>
      </c>
      <c r="H1086" s="12"/>
      <c r="I1086" s="11">
        <f>Table1[[#This Row],[Qty]]*Table1[[#This Row],[Price]]</f>
        <v>0</v>
      </c>
    </row>
    <row r="1087" spans="1:9" ht="13.5" customHeight="1" x14ac:dyDescent="0.25">
      <c r="A1087" s="28">
        <v>6291100136285</v>
      </c>
      <c r="B1087" s="29" t="s">
        <v>5340</v>
      </c>
      <c r="C1087" s="33" t="s">
        <v>91</v>
      </c>
      <c r="D1087" s="31" t="s">
        <v>5341</v>
      </c>
      <c r="E1087" s="51">
        <v>20.75</v>
      </c>
      <c r="F1087" s="32" t="s">
        <v>15</v>
      </c>
      <c r="G1087" s="32" t="s">
        <v>7411</v>
      </c>
      <c r="H1087" s="22"/>
      <c r="I1087" s="11">
        <f>Table1[[#This Row],[Qty]]*Table1[[#This Row],[Price]]</f>
        <v>0</v>
      </c>
    </row>
    <row r="1088" spans="1:9" ht="13.5" customHeight="1" x14ac:dyDescent="0.25">
      <c r="A1088" s="28">
        <v>6291100131839</v>
      </c>
      <c r="B1088" s="29" t="s">
        <v>5364</v>
      </c>
      <c r="C1088" s="30" t="s">
        <v>91</v>
      </c>
      <c r="D1088" s="31" t="s">
        <v>5365</v>
      </c>
      <c r="E1088" s="51">
        <v>17</v>
      </c>
      <c r="F1088" s="32" t="s">
        <v>15</v>
      </c>
      <c r="G1088" s="32">
        <v>0</v>
      </c>
      <c r="H1088" s="12"/>
      <c r="I1088" s="11">
        <f>Table1[[#This Row],[Qty]]*Table1[[#This Row],[Price]]</f>
        <v>0</v>
      </c>
    </row>
    <row r="1089" spans="1:9" ht="13.5" customHeight="1" x14ac:dyDescent="0.25">
      <c r="A1089" s="28">
        <v>6291100131754</v>
      </c>
      <c r="B1089" s="29" t="s">
        <v>5342</v>
      </c>
      <c r="C1089" s="30" t="s">
        <v>91</v>
      </c>
      <c r="D1089" s="31" t="s">
        <v>5343</v>
      </c>
      <c r="E1089" s="51">
        <v>14</v>
      </c>
      <c r="F1089" s="32" t="s">
        <v>15</v>
      </c>
      <c r="G1089" s="32" t="s">
        <v>7426</v>
      </c>
      <c r="H1089" s="12"/>
      <c r="I1089" s="11">
        <f>Table1[[#This Row],[Qty]]*Table1[[#This Row],[Price]]</f>
        <v>0</v>
      </c>
    </row>
    <row r="1090" spans="1:9" ht="13.5" customHeight="1" x14ac:dyDescent="0.25">
      <c r="A1090" s="28">
        <v>5055810012786</v>
      </c>
      <c r="B1090" s="29" t="s">
        <v>1979</v>
      </c>
      <c r="C1090" s="30" t="s">
        <v>1980</v>
      </c>
      <c r="D1090" s="31" t="s">
        <v>1981</v>
      </c>
      <c r="E1090" s="51">
        <v>14.62</v>
      </c>
      <c r="F1090" s="32" t="s">
        <v>15</v>
      </c>
      <c r="G1090" s="32">
        <v>0</v>
      </c>
      <c r="H1090" s="12"/>
      <c r="I1090" s="11">
        <f>Table1[[#This Row],[Qty]]*Table1[[#This Row],[Price]]</f>
        <v>0</v>
      </c>
    </row>
    <row r="1091" spans="1:9" ht="13.5" customHeight="1" x14ac:dyDescent="0.25">
      <c r="A1091" s="28">
        <v>5055810042806</v>
      </c>
      <c r="B1091" s="29" t="s">
        <v>2873</v>
      </c>
      <c r="C1091" s="30" t="s">
        <v>1980</v>
      </c>
      <c r="D1091" s="31" t="s">
        <v>2874</v>
      </c>
      <c r="E1091" s="51">
        <v>15.5</v>
      </c>
      <c r="F1091" s="32" t="s">
        <v>15</v>
      </c>
      <c r="G1091" s="32" t="s">
        <v>6637</v>
      </c>
      <c r="H1091" s="22"/>
      <c r="I1091" s="11">
        <f>Table1[[#This Row],[Qty]]*Table1[[#This Row],[Price]]</f>
        <v>0</v>
      </c>
    </row>
    <row r="1092" spans="1:9" ht="13.5" customHeight="1" x14ac:dyDescent="0.25">
      <c r="A1092" s="28">
        <v>5055810029807</v>
      </c>
      <c r="B1092" s="29" t="s">
        <v>5053</v>
      </c>
      <c r="C1092" s="30" t="s">
        <v>1980</v>
      </c>
      <c r="D1092" s="31" t="s">
        <v>5054</v>
      </c>
      <c r="E1092" s="51">
        <v>11</v>
      </c>
      <c r="F1092" s="32" t="s">
        <v>15</v>
      </c>
      <c r="G1092" s="32">
        <v>0</v>
      </c>
      <c r="H1092" s="22"/>
      <c r="I1092" s="11">
        <f>Table1[[#This Row],[Qty]]*Table1[[#This Row],[Price]]</f>
        <v>0</v>
      </c>
    </row>
    <row r="1093" spans="1:9" ht="13.5" customHeight="1" x14ac:dyDescent="0.25">
      <c r="A1093" s="28">
        <v>719346634939</v>
      </c>
      <c r="B1093" s="29" t="s">
        <v>2924</v>
      </c>
      <c r="C1093" s="33" t="s">
        <v>2925</v>
      </c>
      <c r="D1093" s="31" t="s">
        <v>2926</v>
      </c>
      <c r="E1093" s="51">
        <v>5.9</v>
      </c>
      <c r="F1093" s="32" t="s">
        <v>15</v>
      </c>
      <c r="G1093" s="32" t="s">
        <v>6649</v>
      </c>
      <c r="H1093" s="22"/>
      <c r="I1093" s="11">
        <f>Table1[[#This Row],[Qty]]*Table1[[#This Row],[Price]]</f>
        <v>0</v>
      </c>
    </row>
    <row r="1094" spans="1:9" ht="13.5" customHeight="1" x14ac:dyDescent="0.25">
      <c r="A1094" s="28">
        <v>892456000037</v>
      </c>
      <c r="B1094" s="29" t="s">
        <v>1633</v>
      </c>
      <c r="C1094" s="30" t="s">
        <v>1634</v>
      </c>
      <c r="D1094" s="31" t="s">
        <v>1635</v>
      </c>
      <c r="E1094" s="51">
        <v>27</v>
      </c>
      <c r="F1094" s="32" t="s">
        <v>15</v>
      </c>
      <c r="G1094" s="32" t="s">
        <v>6263</v>
      </c>
      <c r="H1094" s="12"/>
      <c r="I1094" s="11">
        <f>Table1[[#This Row],[Qty]]*Table1[[#This Row],[Price]]</f>
        <v>0</v>
      </c>
    </row>
    <row r="1095" spans="1:9" ht="13.5" customHeight="1" x14ac:dyDescent="0.25">
      <c r="A1095" s="28">
        <v>892456000174</v>
      </c>
      <c r="B1095" s="29" t="s">
        <v>1731</v>
      </c>
      <c r="C1095" s="30" t="s">
        <v>1634</v>
      </c>
      <c r="D1095" s="31" t="s">
        <v>1732</v>
      </c>
      <c r="E1095" s="51">
        <v>22.5</v>
      </c>
      <c r="F1095" s="32" t="s">
        <v>15</v>
      </c>
      <c r="G1095" s="32" t="s">
        <v>6285</v>
      </c>
      <c r="H1095" s="22"/>
      <c r="I1095" s="11">
        <f>Table1[[#This Row],[Qty]]*Table1[[#This Row],[Price]]</f>
        <v>0</v>
      </c>
    </row>
    <row r="1096" spans="1:9" ht="13.5" customHeight="1" x14ac:dyDescent="0.25">
      <c r="A1096" s="28">
        <v>8411061035030</v>
      </c>
      <c r="B1096" s="29" t="s">
        <v>1868</v>
      </c>
      <c r="C1096" s="33" t="s">
        <v>657</v>
      </c>
      <c r="D1096" s="31" t="s">
        <v>1869</v>
      </c>
      <c r="E1096" s="51">
        <v>17.5</v>
      </c>
      <c r="F1096" s="32" t="s">
        <v>15</v>
      </c>
      <c r="G1096" s="32">
        <v>0</v>
      </c>
      <c r="H1096" s="22"/>
      <c r="I1096" s="11">
        <f>Table1[[#This Row],[Qty]]*Table1[[#This Row],[Price]]</f>
        <v>0</v>
      </c>
    </row>
    <row r="1097" spans="1:9" ht="13.5" customHeight="1" x14ac:dyDescent="0.25">
      <c r="A1097" s="28">
        <v>8411061007174</v>
      </c>
      <c r="B1097" s="29" t="s">
        <v>1923</v>
      </c>
      <c r="C1097" s="30" t="s">
        <v>657</v>
      </c>
      <c r="D1097" s="31" t="s">
        <v>1924</v>
      </c>
      <c r="E1097" s="51">
        <v>16</v>
      </c>
      <c r="F1097" s="32" t="s">
        <v>15</v>
      </c>
      <c r="G1097" s="32">
        <v>0</v>
      </c>
      <c r="H1097" s="22"/>
      <c r="I1097" s="11">
        <f>Table1[[#This Row],[Qty]]*Table1[[#This Row],[Price]]</f>
        <v>0</v>
      </c>
    </row>
    <row r="1098" spans="1:9" ht="13.5" customHeight="1" x14ac:dyDescent="0.25">
      <c r="A1098" s="28">
        <v>8411061791691</v>
      </c>
      <c r="B1098" s="29" t="s">
        <v>1929</v>
      </c>
      <c r="C1098" s="30" t="s">
        <v>657</v>
      </c>
      <c r="D1098" s="31" t="s">
        <v>1930</v>
      </c>
      <c r="E1098" s="51">
        <v>15.88</v>
      </c>
      <c r="F1098" s="32" t="s">
        <v>15</v>
      </c>
      <c r="G1098" s="32">
        <v>0</v>
      </c>
      <c r="H1098" s="12"/>
      <c r="I1098" s="11">
        <f>Table1[[#This Row],[Qty]]*Table1[[#This Row],[Price]]</f>
        <v>0</v>
      </c>
    </row>
    <row r="1099" spans="1:9" ht="13.5" customHeight="1" x14ac:dyDescent="0.25">
      <c r="A1099" s="28">
        <v>8411061779521</v>
      </c>
      <c r="B1099" s="29" t="s">
        <v>1931</v>
      </c>
      <c r="C1099" s="30" t="s">
        <v>657</v>
      </c>
      <c r="D1099" s="31" t="s">
        <v>1932</v>
      </c>
      <c r="E1099" s="51">
        <v>15.83</v>
      </c>
      <c r="F1099" s="32" t="s">
        <v>15</v>
      </c>
      <c r="G1099" s="32" t="s">
        <v>6338</v>
      </c>
      <c r="H1099" s="22"/>
      <c r="I1099" s="11">
        <f>Table1[[#This Row],[Qty]]*Table1[[#This Row],[Price]]</f>
        <v>0</v>
      </c>
    </row>
    <row r="1100" spans="1:9" ht="13.5" customHeight="1" x14ac:dyDescent="0.25">
      <c r="A1100" s="28">
        <v>8411061701034</v>
      </c>
      <c r="B1100" s="29" t="s">
        <v>1999</v>
      </c>
      <c r="C1100" s="30" t="s">
        <v>657</v>
      </c>
      <c r="D1100" s="31" t="s">
        <v>2000</v>
      </c>
      <c r="E1100" s="51">
        <v>14.21</v>
      </c>
      <c r="F1100" s="32" t="s">
        <v>15</v>
      </c>
      <c r="G1100" s="32" t="s">
        <v>6358</v>
      </c>
      <c r="H1100" s="22"/>
      <c r="I1100" s="11">
        <f>Table1[[#This Row],[Qty]]*Table1[[#This Row],[Price]]</f>
        <v>0</v>
      </c>
    </row>
    <row r="1101" spans="1:9" ht="13.5" customHeight="1" x14ac:dyDescent="0.25">
      <c r="A1101" s="28">
        <v>8411061722756</v>
      </c>
      <c r="B1101" s="29" t="s">
        <v>2003</v>
      </c>
      <c r="C1101" s="30" t="s">
        <v>657</v>
      </c>
      <c r="D1101" s="31" t="s">
        <v>2004</v>
      </c>
      <c r="E1101" s="51">
        <v>14</v>
      </c>
      <c r="F1101" s="32" t="s">
        <v>15</v>
      </c>
      <c r="G1101" s="32" t="s">
        <v>6360</v>
      </c>
      <c r="H1101" s="22"/>
      <c r="I1101" s="11">
        <f>Table1[[#This Row],[Qty]]*Table1[[#This Row],[Price]]</f>
        <v>0</v>
      </c>
    </row>
    <row r="1102" spans="1:9" ht="13.5" customHeight="1" x14ac:dyDescent="0.25">
      <c r="A1102" s="28">
        <v>8411061813973</v>
      </c>
      <c r="B1102" s="29" t="s">
        <v>2036</v>
      </c>
      <c r="C1102" s="30" t="s">
        <v>657</v>
      </c>
      <c r="D1102" s="31" t="s">
        <v>2037</v>
      </c>
      <c r="E1102" s="51">
        <v>13.01</v>
      </c>
      <c r="F1102" s="32" t="s">
        <v>15</v>
      </c>
      <c r="G1102" s="32" t="s">
        <v>6365</v>
      </c>
      <c r="H1102" s="12"/>
      <c r="I1102" s="11">
        <f>Table1[[#This Row],[Qty]]*Table1[[#This Row],[Price]]</f>
        <v>0</v>
      </c>
    </row>
    <row r="1103" spans="1:9" ht="13.5" customHeight="1" x14ac:dyDescent="0.25">
      <c r="A1103" s="28">
        <v>8411061944653</v>
      </c>
      <c r="B1103" s="29" t="s">
        <v>2108</v>
      </c>
      <c r="C1103" s="30" t="s">
        <v>657</v>
      </c>
      <c r="D1103" s="31" t="s">
        <v>2109</v>
      </c>
      <c r="E1103" s="51">
        <v>12.25</v>
      </c>
      <c r="F1103" s="32" t="s">
        <v>15</v>
      </c>
      <c r="G1103" s="32" t="s">
        <v>6378</v>
      </c>
      <c r="H1103" s="12"/>
      <c r="I1103" s="11">
        <f>Table1[[#This Row],[Qty]]*Table1[[#This Row],[Price]]</f>
        <v>0</v>
      </c>
    </row>
    <row r="1104" spans="1:9" ht="13.5" customHeight="1" x14ac:dyDescent="0.25">
      <c r="A1104" s="28">
        <v>8411061855065</v>
      </c>
      <c r="B1104" s="29" t="s">
        <v>2135</v>
      </c>
      <c r="C1104" s="30" t="s">
        <v>657</v>
      </c>
      <c r="D1104" s="31" t="s">
        <v>2136</v>
      </c>
      <c r="E1104" s="51">
        <v>11.5</v>
      </c>
      <c r="F1104" s="32" t="s">
        <v>15</v>
      </c>
      <c r="G1104" s="32">
        <v>0</v>
      </c>
      <c r="H1104" s="22"/>
      <c r="I1104" s="11">
        <f>Table1[[#This Row],[Qty]]*Table1[[#This Row],[Price]]</f>
        <v>0</v>
      </c>
    </row>
    <row r="1105" spans="1:9" ht="13.5" customHeight="1" x14ac:dyDescent="0.25">
      <c r="A1105" s="28">
        <v>8411061698594</v>
      </c>
      <c r="B1105" s="29" t="s">
        <v>2183</v>
      </c>
      <c r="C1105" s="30" t="s">
        <v>657</v>
      </c>
      <c r="D1105" s="31" t="s">
        <v>2184</v>
      </c>
      <c r="E1105" s="51">
        <v>9.5</v>
      </c>
      <c r="F1105" s="32" t="s">
        <v>15</v>
      </c>
      <c r="G1105" s="32" t="s">
        <v>6393</v>
      </c>
      <c r="H1105" s="22"/>
      <c r="I1105" s="11">
        <f>Table1[[#This Row],[Qty]]*Table1[[#This Row],[Price]]</f>
        <v>0</v>
      </c>
    </row>
    <row r="1106" spans="1:9" ht="13.5" customHeight="1" x14ac:dyDescent="0.25">
      <c r="A1106" s="28">
        <v>8411061695968</v>
      </c>
      <c r="B1106" s="29" t="s">
        <v>2197</v>
      </c>
      <c r="C1106" s="33" t="s">
        <v>657</v>
      </c>
      <c r="D1106" s="31" t="s">
        <v>2198</v>
      </c>
      <c r="E1106" s="51">
        <v>8.5</v>
      </c>
      <c r="F1106" s="32" t="s">
        <v>15</v>
      </c>
      <c r="G1106" s="32">
        <v>0</v>
      </c>
      <c r="H1106" s="22"/>
      <c r="I1106" s="11">
        <f>Table1[[#This Row],[Qty]]*Table1[[#This Row],[Price]]</f>
        <v>0</v>
      </c>
    </row>
    <row r="1107" spans="1:9" ht="13.5" customHeight="1" x14ac:dyDescent="0.25">
      <c r="A1107" s="28">
        <v>8411061820223</v>
      </c>
      <c r="B1107" s="29" t="s">
        <v>2911</v>
      </c>
      <c r="C1107" s="30" t="s">
        <v>657</v>
      </c>
      <c r="D1107" s="31" t="s">
        <v>2912</v>
      </c>
      <c r="E1107" s="51">
        <v>16</v>
      </c>
      <c r="F1107" s="32" t="s">
        <v>15</v>
      </c>
      <c r="G1107" s="32" t="s">
        <v>6645</v>
      </c>
      <c r="H1107" s="22"/>
      <c r="I1107" s="11">
        <f>Table1[[#This Row],[Qty]]*Table1[[#This Row],[Price]]</f>
        <v>0</v>
      </c>
    </row>
    <row r="1108" spans="1:9" ht="13.5" customHeight="1" x14ac:dyDescent="0.25">
      <c r="A1108" s="28">
        <v>8411061849330</v>
      </c>
      <c r="B1108" s="29" t="s">
        <v>2913</v>
      </c>
      <c r="C1108" s="30" t="s">
        <v>657</v>
      </c>
      <c r="D1108" s="31" t="s">
        <v>2914</v>
      </c>
      <c r="E1108" s="51">
        <v>9.15</v>
      </c>
      <c r="F1108" s="32" t="s">
        <v>15</v>
      </c>
      <c r="G1108" s="32">
        <v>0</v>
      </c>
      <c r="H1108" s="22"/>
      <c r="I1108" s="11">
        <f>Table1[[#This Row],[Qty]]*Table1[[#This Row],[Price]]</f>
        <v>0</v>
      </c>
    </row>
    <row r="1109" spans="1:9" ht="13.5" customHeight="1" x14ac:dyDescent="0.25">
      <c r="A1109" s="28">
        <v>8411061849361</v>
      </c>
      <c r="B1109" s="29" t="s">
        <v>2915</v>
      </c>
      <c r="C1109" s="33" t="s">
        <v>657</v>
      </c>
      <c r="D1109" s="31" t="s">
        <v>2916</v>
      </c>
      <c r="E1109" s="51">
        <v>13.25</v>
      </c>
      <c r="F1109" s="32" t="s">
        <v>15</v>
      </c>
      <c r="G1109" s="32" t="s">
        <v>6646</v>
      </c>
      <c r="H1109" s="22"/>
      <c r="I1109" s="11">
        <f>Table1[[#This Row],[Qty]]*Table1[[#This Row],[Price]]</f>
        <v>0</v>
      </c>
    </row>
    <row r="1110" spans="1:9" ht="13.5" customHeight="1" x14ac:dyDescent="0.25">
      <c r="A1110" s="28">
        <v>8411061923221</v>
      </c>
      <c r="B1110" s="29" t="s">
        <v>2146</v>
      </c>
      <c r="C1110" s="30" t="s">
        <v>824</v>
      </c>
      <c r="D1110" s="31" t="s">
        <v>2147</v>
      </c>
      <c r="E1110" s="51">
        <v>11.25</v>
      </c>
      <c r="F1110" s="32" t="s">
        <v>15</v>
      </c>
      <c r="G1110" s="32" t="s">
        <v>6385</v>
      </c>
      <c r="H1110" s="12"/>
      <c r="I1110" s="11">
        <f>Table1[[#This Row],[Qty]]*Table1[[#This Row],[Price]]</f>
        <v>0</v>
      </c>
    </row>
    <row r="1111" spans="1:9" ht="13.5" customHeight="1" x14ac:dyDescent="0.25">
      <c r="A1111" s="28">
        <v>8054609782395</v>
      </c>
      <c r="B1111" s="29" t="s">
        <v>2219</v>
      </c>
      <c r="C1111" s="30" t="s">
        <v>2220</v>
      </c>
      <c r="D1111" s="31" t="s">
        <v>2221</v>
      </c>
      <c r="E1111" s="51">
        <v>7.5</v>
      </c>
      <c r="F1111" s="32" t="s">
        <v>15</v>
      </c>
      <c r="G1111" s="32">
        <v>0</v>
      </c>
      <c r="H1111" s="22"/>
      <c r="I1111" s="11">
        <f>Table1[[#This Row],[Qty]]*Table1[[#This Row],[Price]]</f>
        <v>0</v>
      </c>
    </row>
    <row r="1112" spans="1:9" ht="13.5" customHeight="1" x14ac:dyDescent="0.25">
      <c r="A1112" s="28">
        <v>8033866164335</v>
      </c>
      <c r="B1112" s="29" t="s">
        <v>2920</v>
      </c>
      <c r="C1112" s="30" t="s">
        <v>2220</v>
      </c>
      <c r="D1112" s="31" t="s">
        <v>2921</v>
      </c>
      <c r="E1112" s="51">
        <v>14</v>
      </c>
      <c r="F1112" s="32" t="s">
        <v>15</v>
      </c>
      <c r="G1112" s="32" t="s">
        <v>6648</v>
      </c>
      <c r="H1112" s="12"/>
      <c r="I1112" s="11">
        <f>Table1[[#This Row],[Qty]]*Table1[[#This Row],[Price]]</f>
        <v>0</v>
      </c>
    </row>
    <row r="1113" spans="1:9" ht="13.5" customHeight="1" x14ac:dyDescent="0.25">
      <c r="A1113" s="28">
        <v>6290361912348</v>
      </c>
      <c r="B1113" s="29" t="s">
        <v>3684</v>
      </c>
      <c r="C1113" s="30" t="s">
        <v>3674</v>
      </c>
      <c r="D1113" s="31" t="s">
        <v>3685</v>
      </c>
      <c r="E1113" s="51">
        <v>32.4</v>
      </c>
      <c r="F1113" s="32" t="s">
        <v>15</v>
      </c>
      <c r="G1113" s="32" t="s">
        <v>7466</v>
      </c>
      <c r="H1113" s="22"/>
      <c r="I1113" s="11">
        <f>Table1[[#This Row],[Qty]]*Table1[[#This Row],[Price]]</f>
        <v>0</v>
      </c>
    </row>
    <row r="1114" spans="1:9" ht="13.5" customHeight="1" x14ac:dyDescent="0.25">
      <c r="A1114" s="28">
        <v>6290361912355</v>
      </c>
      <c r="B1114" s="29" t="s">
        <v>5584</v>
      </c>
      <c r="C1114" s="30" t="s">
        <v>3674</v>
      </c>
      <c r="D1114" s="31" t="s">
        <v>5585</v>
      </c>
      <c r="E1114" s="51">
        <v>30</v>
      </c>
      <c r="F1114" s="32" t="s">
        <v>15</v>
      </c>
      <c r="G1114" s="32" t="s">
        <v>7480</v>
      </c>
      <c r="H1114" s="22"/>
      <c r="I1114" s="11">
        <f>Table1[[#This Row],[Qty]]*Table1[[#This Row],[Price]]</f>
        <v>0</v>
      </c>
    </row>
    <row r="1115" spans="1:9" ht="13.5" customHeight="1" x14ac:dyDescent="0.25">
      <c r="A1115" s="28">
        <v>6290102030812</v>
      </c>
      <c r="B1115" s="29" t="s">
        <v>2063</v>
      </c>
      <c r="C1115" s="30" t="s">
        <v>2064</v>
      </c>
      <c r="D1115" s="31" t="s">
        <v>2065</v>
      </c>
      <c r="E1115" s="51">
        <v>12.5</v>
      </c>
      <c r="F1115" s="32" t="s">
        <v>15</v>
      </c>
      <c r="G1115" s="32">
        <v>0</v>
      </c>
      <c r="H1115" s="12"/>
      <c r="I1115" s="11">
        <f>Table1[[#This Row],[Qty]]*Table1[[#This Row],[Price]]</f>
        <v>0</v>
      </c>
    </row>
    <row r="1116" spans="1:9" ht="13.5" customHeight="1" x14ac:dyDescent="0.25">
      <c r="A1116" s="28">
        <v>6290102031086</v>
      </c>
      <c r="B1116" s="29" t="s">
        <v>2088</v>
      </c>
      <c r="C1116" s="33" t="s">
        <v>2064</v>
      </c>
      <c r="D1116" s="31" t="s">
        <v>2089</v>
      </c>
      <c r="E1116" s="51">
        <v>12</v>
      </c>
      <c r="F1116" s="32" t="s">
        <v>15</v>
      </c>
      <c r="G1116" s="32">
        <v>0</v>
      </c>
      <c r="H1116" s="22"/>
      <c r="I1116" s="11">
        <f>Table1[[#This Row],[Qty]]*Table1[[#This Row],[Price]]</f>
        <v>0</v>
      </c>
    </row>
    <row r="1117" spans="1:9" ht="13.5" customHeight="1" x14ac:dyDescent="0.25">
      <c r="A1117" s="28">
        <v>6340545408157</v>
      </c>
      <c r="B1117" s="29" t="s">
        <v>2133</v>
      </c>
      <c r="C1117" s="30" t="s">
        <v>2064</v>
      </c>
      <c r="D1117" s="31" t="s">
        <v>2134</v>
      </c>
      <c r="E1117" s="51">
        <v>11.5</v>
      </c>
      <c r="F1117" s="32" t="s">
        <v>15</v>
      </c>
      <c r="G1117" s="32">
        <v>0</v>
      </c>
      <c r="H1117" s="12"/>
      <c r="I1117" s="11">
        <f>Table1[[#This Row],[Qty]]*Table1[[#This Row],[Price]]</f>
        <v>0</v>
      </c>
    </row>
    <row r="1118" spans="1:9" ht="13.5" customHeight="1" x14ac:dyDescent="0.25">
      <c r="A1118" s="28">
        <v>6290102021629</v>
      </c>
      <c r="B1118" s="29" t="s">
        <v>3704</v>
      </c>
      <c r="C1118" s="30" t="s">
        <v>2064</v>
      </c>
      <c r="D1118" s="31" t="s">
        <v>3705</v>
      </c>
      <c r="E1118" s="51">
        <v>12.5</v>
      </c>
      <c r="F1118" s="32" t="s">
        <v>15</v>
      </c>
      <c r="G1118" s="32" t="s">
        <v>7024</v>
      </c>
      <c r="H1118" s="22"/>
      <c r="I1118" s="11">
        <f>Table1[[#This Row],[Qty]]*Table1[[#This Row],[Price]]</f>
        <v>0</v>
      </c>
    </row>
    <row r="1119" spans="1:9" ht="13.5" customHeight="1" x14ac:dyDescent="0.25">
      <c r="A1119" s="28">
        <v>22548006719</v>
      </c>
      <c r="B1119" s="29" t="s">
        <v>1890</v>
      </c>
      <c r="C1119" s="30" t="s">
        <v>1891</v>
      </c>
      <c r="D1119" s="31" t="s">
        <v>1892</v>
      </c>
      <c r="E1119" s="51">
        <v>16.63</v>
      </c>
      <c r="F1119" s="32" t="s">
        <v>15</v>
      </c>
      <c r="G1119" s="32" t="s">
        <v>6328</v>
      </c>
      <c r="H1119" s="22"/>
      <c r="I1119" s="11">
        <f>Table1[[#This Row],[Qty]]*Table1[[#This Row],[Price]]</f>
        <v>0</v>
      </c>
    </row>
    <row r="1120" spans="1:9" ht="13.5" customHeight="1" x14ac:dyDescent="0.25">
      <c r="A1120" s="28">
        <v>6423080594773</v>
      </c>
      <c r="B1120" s="29" t="s">
        <v>4837</v>
      </c>
      <c r="C1120" s="30" t="s">
        <v>4737</v>
      </c>
      <c r="D1120" s="31" t="s">
        <v>4838</v>
      </c>
      <c r="E1120" s="51">
        <v>14.39</v>
      </c>
      <c r="F1120" s="32" t="s">
        <v>15</v>
      </c>
      <c r="G1120" s="32"/>
      <c r="H1120" s="12"/>
      <c r="I1120" s="11">
        <f>Table1[[#This Row],[Qty]]*Table1[[#This Row],[Price]]</f>
        <v>0</v>
      </c>
    </row>
    <row r="1121" spans="1:9" ht="13.5" customHeight="1" x14ac:dyDescent="0.25">
      <c r="A1121" s="28">
        <v>6423080733158</v>
      </c>
      <c r="B1121" s="29" t="s">
        <v>4845</v>
      </c>
      <c r="C1121" s="30" t="s">
        <v>4737</v>
      </c>
      <c r="D1121" s="31" t="s">
        <v>4846</v>
      </c>
      <c r="E1121" s="51">
        <v>13</v>
      </c>
      <c r="F1121" s="32" t="s">
        <v>15</v>
      </c>
      <c r="G1121" s="32"/>
      <c r="H1121" s="22"/>
      <c r="I1121" s="11">
        <f>Table1[[#This Row],[Qty]]*Table1[[#This Row],[Price]]</f>
        <v>0</v>
      </c>
    </row>
    <row r="1122" spans="1:9" ht="13.5" customHeight="1" x14ac:dyDescent="0.25">
      <c r="A1122" s="28">
        <v>6435000125486</v>
      </c>
      <c r="B1122" s="29" t="s">
        <v>4815</v>
      </c>
      <c r="C1122" s="30" t="s">
        <v>4737</v>
      </c>
      <c r="D1122" s="31" t="s">
        <v>4816</v>
      </c>
      <c r="E1122" s="51">
        <v>11.7</v>
      </c>
      <c r="F1122" s="32" t="s">
        <v>15</v>
      </c>
      <c r="G1122" s="32"/>
      <c r="H1122" s="12"/>
      <c r="I1122" s="11">
        <f>Table1[[#This Row],[Qty]]*Table1[[#This Row],[Price]]</f>
        <v>0</v>
      </c>
    </row>
    <row r="1123" spans="1:9" ht="13.5" customHeight="1" x14ac:dyDescent="0.25">
      <c r="A1123" s="28">
        <v>6432354785298</v>
      </c>
      <c r="B1123" s="29" t="s">
        <v>4825</v>
      </c>
      <c r="C1123" s="33" t="s">
        <v>4737</v>
      </c>
      <c r="D1123" s="31" t="s">
        <v>4826</v>
      </c>
      <c r="E1123" s="51">
        <v>11.5</v>
      </c>
      <c r="F1123" s="32" t="s">
        <v>15</v>
      </c>
      <c r="G1123" s="32"/>
      <c r="H1123" s="22"/>
      <c r="I1123" s="11">
        <f>Table1[[#This Row],[Qty]]*Table1[[#This Row],[Price]]</f>
        <v>0</v>
      </c>
    </row>
    <row r="1124" spans="1:9" ht="13.5" customHeight="1" x14ac:dyDescent="0.25">
      <c r="A1124" s="28">
        <v>6423080623985</v>
      </c>
      <c r="B1124" s="29" t="s">
        <v>4807</v>
      </c>
      <c r="C1124" s="30" t="s">
        <v>4737</v>
      </c>
      <c r="D1124" s="31" t="s">
        <v>4808</v>
      </c>
      <c r="E1124" s="51">
        <v>11.45</v>
      </c>
      <c r="F1124" s="32" t="s">
        <v>15</v>
      </c>
      <c r="G1124" s="32"/>
      <c r="H1124" s="12"/>
      <c r="I1124" s="11">
        <f>Table1[[#This Row],[Qty]]*Table1[[#This Row],[Price]]</f>
        <v>0</v>
      </c>
    </row>
    <row r="1125" spans="1:9" ht="13.5" customHeight="1" x14ac:dyDescent="0.25">
      <c r="A1125" s="28">
        <v>6438585524811</v>
      </c>
      <c r="B1125" s="29" t="s">
        <v>4841</v>
      </c>
      <c r="C1125" s="30" t="s">
        <v>4737</v>
      </c>
      <c r="D1125" s="31" t="s">
        <v>4842</v>
      </c>
      <c r="E1125" s="51">
        <v>11</v>
      </c>
      <c r="F1125" s="32" t="s">
        <v>15</v>
      </c>
      <c r="G1125" s="32"/>
      <c r="H1125" s="12"/>
      <c r="I1125" s="11">
        <f>Table1[[#This Row],[Qty]]*Table1[[#This Row],[Price]]</f>
        <v>0</v>
      </c>
    </row>
    <row r="1126" spans="1:9" ht="13.5" customHeight="1" x14ac:dyDescent="0.25">
      <c r="A1126" s="28">
        <v>6151513645128</v>
      </c>
      <c r="B1126" s="29" t="s">
        <v>4811</v>
      </c>
      <c r="C1126" s="30" t="s">
        <v>4737</v>
      </c>
      <c r="D1126" s="31" t="s">
        <v>4812</v>
      </c>
      <c r="E1126" s="51">
        <v>10</v>
      </c>
      <c r="F1126" s="32" t="s">
        <v>15</v>
      </c>
      <c r="G1126" s="32"/>
      <c r="H1126" s="22"/>
      <c r="I1126" s="11">
        <f>Table1[[#This Row],[Qty]]*Table1[[#This Row],[Price]]</f>
        <v>0</v>
      </c>
    </row>
    <row r="1127" spans="1:9" ht="13.5" customHeight="1" x14ac:dyDescent="0.25">
      <c r="A1127" s="28">
        <v>6423080609965</v>
      </c>
      <c r="B1127" s="29" t="s">
        <v>4736</v>
      </c>
      <c r="C1127" s="30" t="s">
        <v>4737</v>
      </c>
      <c r="D1127" s="31" t="s">
        <v>4738</v>
      </c>
      <c r="E1127" s="51">
        <v>9.5</v>
      </c>
      <c r="F1127" s="32" t="s">
        <v>15</v>
      </c>
      <c r="G1127" s="32"/>
      <c r="H1127" s="22"/>
      <c r="I1127" s="11">
        <f>Table1[[#This Row],[Qty]]*Table1[[#This Row],[Price]]</f>
        <v>0</v>
      </c>
    </row>
    <row r="1128" spans="1:9" ht="13.5" customHeight="1" x14ac:dyDescent="0.25">
      <c r="A1128" s="28">
        <v>6438585524781</v>
      </c>
      <c r="B1128" s="29" t="s">
        <v>4847</v>
      </c>
      <c r="C1128" s="30" t="s">
        <v>4737</v>
      </c>
      <c r="D1128" s="31" t="s">
        <v>4848</v>
      </c>
      <c r="E1128" s="51">
        <v>9.4499999999999993</v>
      </c>
      <c r="F1128" s="32" t="s">
        <v>15</v>
      </c>
      <c r="G1128" s="32"/>
      <c r="H1128" s="12"/>
      <c r="I1128" s="11">
        <f>Table1[[#This Row],[Qty]]*Table1[[#This Row],[Price]]</f>
        <v>0</v>
      </c>
    </row>
    <row r="1129" spans="1:9" ht="13.5" customHeight="1" x14ac:dyDescent="0.25">
      <c r="A1129" s="28">
        <v>6423080728840</v>
      </c>
      <c r="B1129" s="29" t="s">
        <v>4823</v>
      </c>
      <c r="C1129" s="30" t="s">
        <v>4737</v>
      </c>
      <c r="D1129" s="31" t="s">
        <v>4824</v>
      </c>
      <c r="E1129" s="51">
        <v>9</v>
      </c>
      <c r="F1129" s="32" t="s">
        <v>15</v>
      </c>
      <c r="G1129" s="32"/>
      <c r="H1129" s="12"/>
      <c r="I1129" s="11">
        <f>Table1[[#This Row],[Qty]]*Table1[[#This Row],[Price]]</f>
        <v>0</v>
      </c>
    </row>
    <row r="1130" spans="1:9" ht="13.5" customHeight="1" x14ac:dyDescent="0.25">
      <c r="A1130" s="28">
        <v>6259582682010</v>
      </c>
      <c r="B1130" s="29" t="s">
        <v>4805</v>
      </c>
      <c r="C1130" s="30" t="s">
        <v>4737</v>
      </c>
      <c r="D1130" s="31" t="s">
        <v>4806</v>
      </c>
      <c r="E1130" s="51">
        <v>9</v>
      </c>
      <c r="F1130" s="32" t="s">
        <v>15</v>
      </c>
      <c r="G1130" s="32"/>
      <c r="H1130" s="14"/>
      <c r="I1130" s="11">
        <f>Table1[[#This Row],[Qty]]*Table1[[#This Row],[Price]]</f>
        <v>0</v>
      </c>
    </row>
    <row r="1131" spans="1:9" ht="13.5" customHeight="1" x14ac:dyDescent="0.25">
      <c r="A1131" s="28">
        <v>6438585524651</v>
      </c>
      <c r="B1131" s="29" t="s">
        <v>4817</v>
      </c>
      <c r="C1131" s="30" t="s">
        <v>4737</v>
      </c>
      <c r="D1131" s="31" t="s">
        <v>4818</v>
      </c>
      <c r="E1131" s="51">
        <v>9</v>
      </c>
      <c r="F1131" s="32" t="s">
        <v>15</v>
      </c>
      <c r="G1131" s="32"/>
      <c r="H1131" s="22"/>
      <c r="I1131" s="11">
        <f>Table1[[#This Row],[Qty]]*Table1[[#This Row],[Price]]</f>
        <v>0</v>
      </c>
    </row>
    <row r="1132" spans="1:9" ht="13.5" customHeight="1" x14ac:dyDescent="0.25">
      <c r="A1132" s="28">
        <v>6438585524675</v>
      </c>
      <c r="B1132" s="29" t="s">
        <v>4819</v>
      </c>
      <c r="C1132" s="30" t="s">
        <v>4737</v>
      </c>
      <c r="D1132" s="31" t="s">
        <v>4820</v>
      </c>
      <c r="E1132" s="51">
        <v>8.5</v>
      </c>
      <c r="F1132" s="32" t="s">
        <v>15</v>
      </c>
      <c r="G1132" s="32"/>
      <c r="H1132" s="12"/>
      <c r="I1132" s="11">
        <f>Table1[[#This Row],[Qty]]*Table1[[#This Row],[Price]]</f>
        <v>0</v>
      </c>
    </row>
    <row r="1133" spans="1:9" ht="13.5" customHeight="1" x14ac:dyDescent="0.25">
      <c r="A1133" s="28">
        <v>6438585524804</v>
      </c>
      <c r="B1133" s="29" t="s">
        <v>4839</v>
      </c>
      <c r="C1133" s="30" t="s">
        <v>4737</v>
      </c>
      <c r="D1133" s="31" t="s">
        <v>4840</v>
      </c>
      <c r="E1133" s="51">
        <v>8</v>
      </c>
      <c r="F1133" s="32" t="s">
        <v>15</v>
      </c>
      <c r="G1133" s="32"/>
      <c r="H1133" s="22"/>
      <c r="I1133" s="11">
        <f>Table1[[#This Row],[Qty]]*Table1[[#This Row],[Price]]</f>
        <v>0</v>
      </c>
    </row>
    <row r="1134" spans="1:9" ht="13.5" customHeight="1" x14ac:dyDescent="0.25">
      <c r="A1134" s="28">
        <v>6291108735718</v>
      </c>
      <c r="B1134" s="29" t="s">
        <v>4827</v>
      </c>
      <c r="C1134" s="30" t="s">
        <v>4737</v>
      </c>
      <c r="D1134" s="31" t="s">
        <v>4828</v>
      </c>
      <c r="E1134" s="51">
        <v>8</v>
      </c>
      <c r="F1134" s="32" t="s">
        <v>15</v>
      </c>
      <c r="G1134" s="32"/>
      <c r="H1134" s="12"/>
      <c r="I1134" s="11">
        <f>Table1[[#This Row],[Qty]]*Table1[[#This Row],[Price]]</f>
        <v>0</v>
      </c>
    </row>
    <row r="1135" spans="1:9" ht="13.5" customHeight="1" x14ac:dyDescent="0.25">
      <c r="A1135" s="28">
        <v>6438585524668</v>
      </c>
      <c r="B1135" s="29" t="s">
        <v>4835</v>
      </c>
      <c r="C1135" s="30" t="s">
        <v>4737</v>
      </c>
      <c r="D1135" s="31" t="s">
        <v>4836</v>
      </c>
      <c r="E1135" s="51">
        <v>8</v>
      </c>
      <c r="F1135" s="32" t="s">
        <v>15</v>
      </c>
      <c r="G1135" s="32"/>
      <c r="H1135" s="22"/>
      <c r="I1135" s="11">
        <f>Table1[[#This Row],[Qty]]*Table1[[#This Row],[Price]]</f>
        <v>0</v>
      </c>
    </row>
    <row r="1136" spans="1:9" ht="13.5" customHeight="1" x14ac:dyDescent="0.25">
      <c r="A1136" s="28">
        <v>6432521422452</v>
      </c>
      <c r="B1136" s="29" t="s">
        <v>4813</v>
      </c>
      <c r="C1136" s="30" t="s">
        <v>4737</v>
      </c>
      <c r="D1136" s="31" t="s">
        <v>4814</v>
      </c>
      <c r="E1136" s="51">
        <v>7</v>
      </c>
      <c r="F1136" s="32" t="s">
        <v>15</v>
      </c>
      <c r="G1136" s="32"/>
      <c r="H1136" s="22"/>
      <c r="I1136" s="11">
        <f>Table1[[#This Row],[Qty]]*Table1[[#This Row],[Price]]</f>
        <v>0</v>
      </c>
    </row>
    <row r="1137" spans="1:9" ht="13.5" customHeight="1" x14ac:dyDescent="0.25">
      <c r="A1137" s="28">
        <v>6438585524699</v>
      </c>
      <c r="B1137" s="29" t="s">
        <v>4831</v>
      </c>
      <c r="C1137" s="30" t="s">
        <v>4737</v>
      </c>
      <c r="D1137" s="31" t="s">
        <v>4832</v>
      </c>
      <c r="E1137" s="51">
        <v>7</v>
      </c>
      <c r="F1137" s="32" t="s">
        <v>15</v>
      </c>
      <c r="G1137" s="32"/>
      <c r="H1137" s="22"/>
      <c r="I1137" s="11">
        <f>Table1[[#This Row],[Qty]]*Table1[[#This Row],[Price]]</f>
        <v>0</v>
      </c>
    </row>
    <row r="1138" spans="1:9" ht="13.5" customHeight="1" x14ac:dyDescent="0.25">
      <c r="A1138" s="28">
        <v>6423080614617</v>
      </c>
      <c r="B1138" s="29" t="s">
        <v>4937</v>
      </c>
      <c r="C1138" s="30" t="s">
        <v>4737</v>
      </c>
      <c r="D1138" s="31" t="s">
        <v>4938</v>
      </c>
      <c r="E1138" s="51">
        <v>6.5</v>
      </c>
      <c r="F1138" s="32" t="s">
        <v>15</v>
      </c>
      <c r="G1138" s="32"/>
      <c r="H1138" s="22"/>
      <c r="I1138" s="11">
        <f>Table1[[#This Row],[Qty]]*Table1[[#This Row],[Price]]</f>
        <v>0</v>
      </c>
    </row>
    <row r="1139" spans="1:9" ht="13.5" customHeight="1" x14ac:dyDescent="0.25">
      <c r="A1139" s="28">
        <v>6205207142704</v>
      </c>
      <c r="B1139" s="29" t="s">
        <v>4796</v>
      </c>
      <c r="C1139" s="30" t="s">
        <v>4737</v>
      </c>
      <c r="D1139" s="31" t="s">
        <v>4797</v>
      </c>
      <c r="E1139" s="51">
        <v>6.5</v>
      </c>
      <c r="F1139" s="32" t="s">
        <v>15</v>
      </c>
      <c r="G1139" s="32"/>
      <c r="H1139" s="12"/>
      <c r="I1139" s="11">
        <f>Table1[[#This Row],[Qty]]*Table1[[#This Row],[Price]]</f>
        <v>0</v>
      </c>
    </row>
    <row r="1140" spans="1:9" ht="13.5" customHeight="1" x14ac:dyDescent="0.25">
      <c r="A1140" s="28">
        <v>6290360590165</v>
      </c>
      <c r="B1140" s="29" t="s">
        <v>4821</v>
      </c>
      <c r="C1140" s="30" t="s">
        <v>4737</v>
      </c>
      <c r="D1140" s="31" t="s">
        <v>4822</v>
      </c>
      <c r="E1140" s="51">
        <v>6</v>
      </c>
      <c r="F1140" s="32" t="s">
        <v>15</v>
      </c>
      <c r="G1140" s="32"/>
      <c r="H1140" s="12"/>
      <c r="I1140" s="11">
        <f>Table1[[#This Row],[Qty]]*Table1[[#This Row],[Price]]</f>
        <v>0</v>
      </c>
    </row>
    <row r="1141" spans="1:9" ht="13.5" customHeight="1" x14ac:dyDescent="0.25">
      <c r="A1141" s="28">
        <v>6291108735640</v>
      </c>
      <c r="B1141" s="29" t="s">
        <v>4833</v>
      </c>
      <c r="C1141" s="30" t="s">
        <v>4737</v>
      </c>
      <c r="D1141" s="31" t="s">
        <v>4834</v>
      </c>
      <c r="E1141" s="51">
        <v>6</v>
      </c>
      <c r="F1141" s="32" t="s">
        <v>15</v>
      </c>
      <c r="G1141" s="32"/>
      <c r="H1141" s="12"/>
      <c r="I1141" s="11">
        <f>Table1[[#This Row],[Qty]]*Table1[[#This Row],[Price]]</f>
        <v>0</v>
      </c>
    </row>
    <row r="1142" spans="1:9" ht="13.5" customHeight="1" x14ac:dyDescent="0.25">
      <c r="A1142" s="28">
        <v>6438585524729</v>
      </c>
      <c r="B1142" s="29" t="s">
        <v>4843</v>
      </c>
      <c r="C1142" s="30" t="s">
        <v>4737</v>
      </c>
      <c r="D1142" s="31" t="s">
        <v>4844</v>
      </c>
      <c r="E1142" s="51">
        <v>6</v>
      </c>
      <c r="F1142" s="32" t="s">
        <v>15</v>
      </c>
      <c r="G1142" s="32"/>
      <c r="H1142" s="22"/>
      <c r="I1142" s="11">
        <f>Table1[[#This Row],[Qty]]*Table1[[#This Row],[Price]]</f>
        <v>0</v>
      </c>
    </row>
    <row r="1143" spans="1:9" ht="13.5" customHeight="1" x14ac:dyDescent="0.25">
      <c r="A1143" s="28">
        <v>812256029724</v>
      </c>
      <c r="B1143" s="29" t="s">
        <v>102</v>
      </c>
      <c r="C1143" s="30" t="s">
        <v>75</v>
      </c>
      <c r="D1143" s="31" t="s">
        <v>103</v>
      </c>
      <c r="E1143" s="51">
        <v>33.56</v>
      </c>
      <c r="F1143" s="32" t="s">
        <v>15</v>
      </c>
      <c r="G1143" s="32" t="s">
        <v>5641</v>
      </c>
      <c r="H1143" s="22"/>
      <c r="I1143" s="11">
        <f>Table1[[#This Row],[Qty]]*Table1[[#This Row],[Price]]</f>
        <v>0</v>
      </c>
    </row>
    <row r="1144" spans="1:9" ht="13.5" customHeight="1" x14ac:dyDescent="0.25">
      <c r="A1144" s="28">
        <v>810101504662</v>
      </c>
      <c r="B1144" s="29" t="s">
        <v>767</v>
      </c>
      <c r="C1144" s="30" t="s">
        <v>75</v>
      </c>
      <c r="D1144" s="31" t="s">
        <v>768</v>
      </c>
      <c r="E1144" s="51">
        <v>47.65</v>
      </c>
      <c r="F1144" s="32" t="s">
        <v>15</v>
      </c>
      <c r="G1144" s="32" t="s">
        <v>5980</v>
      </c>
      <c r="H1144" s="12"/>
      <c r="I1144" s="11">
        <f>Table1[[#This Row],[Qty]]*Table1[[#This Row],[Price]]</f>
        <v>0</v>
      </c>
    </row>
    <row r="1145" spans="1:9" ht="13.5" customHeight="1" x14ac:dyDescent="0.25">
      <c r="A1145" s="28">
        <v>812256027720</v>
      </c>
      <c r="B1145" s="29" t="s">
        <v>2452</v>
      </c>
      <c r="C1145" s="30" t="s">
        <v>75</v>
      </c>
      <c r="D1145" s="31" t="s">
        <v>2453</v>
      </c>
      <c r="E1145" s="51">
        <v>39.15</v>
      </c>
      <c r="F1145" s="32" t="s">
        <v>15</v>
      </c>
      <c r="G1145" s="32" t="s">
        <v>6468</v>
      </c>
      <c r="H1145" s="12"/>
      <c r="I1145" s="11">
        <f>Table1[[#This Row],[Qty]]*Table1[[#This Row],[Price]]</f>
        <v>0</v>
      </c>
    </row>
    <row r="1146" spans="1:9" ht="13.5" customHeight="1" x14ac:dyDescent="0.25">
      <c r="A1146" s="28">
        <v>812256027737</v>
      </c>
      <c r="B1146" s="29" t="s">
        <v>3222</v>
      </c>
      <c r="C1146" s="30" t="s">
        <v>75</v>
      </c>
      <c r="D1146" s="31" t="s">
        <v>3223</v>
      </c>
      <c r="E1146" s="51">
        <v>46.38</v>
      </c>
      <c r="F1146" s="32" t="s">
        <v>15</v>
      </c>
      <c r="G1146" s="32" t="s">
        <v>6747</v>
      </c>
      <c r="H1146" s="22"/>
      <c r="I1146" s="11">
        <f>Table1[[#This Row],[Qty]]*Table1[[#This Row],[Price]]</f>
        <v>0</v>
      </c>
    </row>
    <row r="1147" spans="1:9" ht="13.5" customHeight="1" x14ac:dyDescent="0.25">
      <c r="A1147" s="48">
        <v>6294015181845</v>
      </c>
      <c r="B1147" s="41" t="s">
        <v>166</v>
      </c>
      <c r="C1147" s="6" t="s">
        <v>19</v>
      </c>
      <c r="D1147" t="s">
        <v>167</v>
      </c>
      <c r="E1147" s="47">
        <v>24.81</v>
      </c>
      <c r="F1147" s="6" t="s">
        <v>15</v>
      </c>
      <c r="G1147" s="6" t="s">
        <v>5667</v>
      </c>
      <c r="H1147" s="22"/>
      <c r="I1147" s="11">
        <f>Table1[[#This Row],[Qty]]*Table1[[#This Row],[Price]]</f>
        <v>0</v>
      </c>
    </row>
    <row r="1148" spans="1:9" ht="13.5" customHeight="1" x14ac:dyDescent="0.25">
      <c r="A1148" s="28">
        <v>6295199805787</v>
      </c>
      <c r="B1148" s="29" t="s">
        <v>178</v>
      </c>
      <c r="C1148" s="30" t="s">
        <v>19</v>
      </c>
      <c r="D1148" s="31" t="s">
        <v>179</v>
      </c>
      <c r="E1148" s="51">
        <v>19.2</v>
      </c>
      <c r="F1148" s="32" t="s">
        <v>15</v>
      </c>
      <c r="G1148" s="32" t="s">
        <v>5673</v>
      </c>
      <c r="H1148" s="12"/>
      <c r="I1148" s="11">
        <f>Table1[[#This Row],[Qty]]*Table1[[#This Row],[Price]]</f>
        <v>0</v>
      </c>
    </row>
    <row r="1149" spans="1:9" ht="13.5" customHeight="1" x14ac:dyDescent="0.25">
      <c r="A1149" s="28">
        <v>6294015190687</v>
      </c>
      <c r="B1149" s="29" t="s">
        <v>188</v>
      </c>
      <c r="C1149" s="30" t="s">
        <v>19</v>
      </c>
      <c r="D1149" s="31" t="s">
        <v>189</v>
      </c>
      <c r="E1149" s="51">
        <v>2</v>
      </c>
      <c r="F1149" s="32" t="s">
        <v>15</v>
      </c>
      <c r="G1149" s="32" t="s">
        <v>5677</v>
      </c>
      <c r="H1149" s="12"/>
      <c r="I1149" s="11">
        <f>Table1[[#This Row],[Qty]]*Table1[[#This Row],[Price]]</f>
        <v>0</v>
      </c>
    </row>
    <row r="1150" spans="1:9" ht="13.5" customHeight="1" x14ac:dyDescent="0.25">
      <c r="A1150" s="28">
        <v>6295199805664</v>
      </c>
      <c r="B1150" s="29" t="s">
        <v>223</v>
      </c>
      <c r="C1150" s="30" t="s">
        <v>19</v>
      </c>
      <c r="D1150" s="31" t="s">
        <v>224</v>
      </c>
      <c r="E1150" s="51">
        <v>15</v>
      </c>
      <c r="F1150" s="32" t="s">
        <v>15</v>
      </c>
      <c r="G1150" s="32" t="s">
        <v>5693</v>
      </c>
      <c r="H1150" s="12"/>
      <c r="I1150" s="11">
        <f>Table1[[#This Row],[Qty]]*Table1[[#This Row],[Price]]</f>
        <v>0</v>
      </c>
    </row>
    <row r="1151" spans="1:9" ht="13.5" customHeight="1" x14ac:dyDescent="0.25">
      <c r="A1151" s="28">
        <v>6294015168112</v>
      </c>
      <c r="B1151" s="29" t="s">
        <v>246</v>
      </c>
      <c r="C1151" s="30" t="s">
        <v>19</v>
      </c>
      <c r="D1151" s="31" t="s">
        <v>247</v>
      </c>
      <c r="E1151" s="51">
        <v>15.25</v>
      </c>
      <c r="F1151" s="32" t="s">
        <v>15</v>
      </c>
      <c r="G1151" s="32" t="s">
        <v>5703</v>
      </c>
      <c r="H1151" s="22"/>
      <c r="I1151" s="11">
        <f>Table1[[#This Row],[Qty]]*Table1[[#This Row],[Price]]</f>
        <v>0</v>
      </c>
    </row>
    <row r="1152" spans="1:9" ht="13.5" customHeight="1" x14ac:dyDescent="0.25">
      <c r="A1152" s="28">
        <v>6085010044712</v>
      </c>
      <c r="B1152" s="29" t="s">
        <v>308</v>
      </c>
      <c r="C1152" s="30" t="s">
        <v>19</v>
      </c>
      <c r="D1152" s="31" t="s">
        <v>309</v>
      </c>
      <c r="E1152" s="51">
        <v>21.5</v>
      </c>
      <c r="F1152" s="32" t="s">
        <v>15</v>
      </c>
      <c r="G1152" s="32" t="s">
        <v>5764</v>
      </c>
      <c r="H1152" s="22"/>
      <c r="I1152" s="11">
        <f>Table1[[#This Row],[Qty]]*Table1[[#This Row],[Price]]</f>
        <v>0</v>
      </c>
    </row>
    <row r="1153" spans="1:9" ht="13.5" customHeight="1" x14ac:dyDescent="0.25">
      <c r="A1153" s="28">
        <v>6294015149371</v>
      </c>
      <c r="B1153" s="29" t="s">
        <v>324</v>
      </c>
      <c r="C1153" s="30" t="s">
        <v>19</v>
      </c>
      <c r="D1153" s="31" t="s">
        <v>325</v>
      </c>
      <c r="E1153" s="51">
        <v>19.899999999999999</v>
      </c>
      <c r="F1153" s="32" t="s">
        <v>15</v>
      </c>
      <c r="G1153" s="32" t="s">
        <v>5772</v>
      </c>
      <c r="H1153" s="14"/>
      <c r="I1153" s="11">
        <f>Table1[[#This Row],[Qty]]*Table1[[#This Row],[Price]]</f>
        <v>0</v>
      </c>
    </row>
    <row r="1154" spans="1:9" ht="13.5" customHeight="1" x14ac:dyDescent="0.25">
      <c r="A1154" s="28">
        <v>6294015166132</v>
      </c>
      <c r="B1154" s="29" t="s">
        <v>1114</v>
      </c>
      <c r="C1154" s="30" t="s">
        <v>19</v>
      </c>
      <c r="D1154" s="31" t="s">
        <v>1115</v>
      </c>
      <c r="E1154" s="51">
        <v>20.71</v>
      </c>
      <c r="F1154" s="32" t="s">
        <v>15</v>
      </c>
      <c r="G1154" s="32" t="s">
        <v>5778</v>
      </c>
      <c r="H1154" s="12"/>
      <c r="I1154" s="11">
        <f>Table1[[#This Row],[Qty]]*Table1[[#This Row],[Price]]</f>
        <v>0</v>
      </c>
    </row>
    <row r="1155" spans="1:9" ht="13.5" customHeight="1" x14ac:dyDescent="0.25">
      <c r="A1155" s="28">
        <v>6294015109320</v>
      </c>
      <c r="B1155" s="29" t="s">
        <v>809</v>
      </c>
      <c r="C1155" s="30" t="s">
        <v>19</v>
      </c>
      <c r="D1155" s="31" t="s">
        <v>810</v>
      </c>
      <c r="E1155" s="51">
        <v>16.7</v>
      </c>
      <c r="F1155" s="32" t="s">
        <v>15</v>
      </c>
      <c r="G1155" s="32" t="s">
        <v>5779</v>
      </c>
      <c r="H1155" s="12"/>
      <c r="I1155" s="11">
        <f>Table1[[#This Row],[Qty]]*Table1[[#This Row],[Price]]</f>
        <v>0</v>
      </c>
    </row>
    <row r="1156" spans="1:9" ht="13.5" customHeight="1" x14ac:dyDescent="0.25">
      <c r="A1156" s="28">
        <v>6295199815496</v>
      </c>
      <c r="B1156" s="29" t="s">
        <v>3383</v>
      </c>
      <c r="C1156" s="30" t="s">
        <v>19</v>
      </c>
      <c r="D1156" s="31" t="s">
        <v>3384</v>
      </c>
      <c r="E1156" s="51">
        <v>23</v>
      </c>
      <c r="F1156" s="32" t="s">
        <v>15</v>
      </c>
      <c r="G1156" s="32" t="s">
        <v>5780</v>
      </c>
      <c r="H1156" s="12"/>
      <c r="I1156" s="11">
        <f>Table1[[#This Row],[Qty]]*Table1[[#This Row],[Price]]</f>
        <v>0</v>
      </c>
    </row>
    <row r="1157" spans="1:9" ht="13.5" customHeight="1" x14ac:dyDescent="0.25">
      <c r="A1157" s="28">
        <v>6294015164176</v>
      </c>
      <c r="B1157" s="29" t="s">
        <v>357</v>
      </c>
      <c r="C1157" s="30" t="s">
        <v>19</v>
      </c>
      <c r="D1157" s="31" t="s">
        <v>358</v>
      </c>
      <c r="E1157" s="51">
        <v>28.7</v>
      </c>
      <c r="F1157" s="32" t="s">
        <v>15</v>
      </c>
      <c r="G1157" s="32" t="s">
        <v>5791</v>
      </c>
      <c r="H1157" s="22"/>
      <c r="I1157" s="11">
        <f>Table1[[#This Row],[Qty]]*Table1[[#This Row],[Price]]</f>
        <v>0</v>
      </c>
    </row>
    <row r="1158" spans="1:9" ht="13.5" customHeight="1" x14ac:dyDescent="0.25">
      <c r="A1158" s="28">
        <v>6294015109313</v>
      </c>
      <c r="B1158" s="29" t="s">
        <v>416</v>
      </c>
      <c r="C1158" s="30" t="s">
        <v>19</v>
      </c>
      <c r="D1158" s="31" t="s">
        <v>417</v>
      </c>
      <c r="E1158" s="51">
        <v>16.5</v>
      </c>
      <c r="F1158" s="32" t="s">
        <v>15</v>
      </c>
      <c r="G1158" s="32" t="s">
        <v>5820</v>
      </c>
      <c r="H1158" s="12"/>
      <c r="I1158" s="11">
        <f>Table1[[#This Row],[Qty]]*Table1[[#This Row],[Price]]</f>
        <v>0</v>
      </c>
    </row>
    <row r="1159" spans="1:9" ht="13.5" customHeight="1" x14ac:dyDescent="0.25">
      <c r="A1159" s="28">
        <v>6294015136470</v>
      </c>
      <c r="B1159" s="29" t="s">
        <v>424</v>
      </c>
      <c r="C1159" s="30" t="s">
        <v>19</v>
      </c>
      <c r="D1159" s="31" t="s">
        <v>425</v>
      </c>
      <c r="E1159" s="51">
        <v>24.49</v>
      </c>
      <c r="F1159" s="32" t="s">
        <v>15</v>
      </c>
      <c r="G1159" s="32" t="s">
        <v>5824</v>
      </c>
      <c r="H1159" s="22"/>
      <c r="I1159" s="11">
        <f>Table1[[#This Row],[Qty]]*Table1[[#This Row],[Price]]</f>
        <v>0</v>
      </c>
    </row>
    <row r="1160" spans="1:9" ht="13.5" customHeight="1" x14ac:dyDescent="0.25">
      <c r="A1160" s="28">
        <v>6294015164152</v>
      </c>
      <c r="B1160" s="29" t="s">
        <v>432</v>
      </c>
      <c r="C1160" s="30" t="s">
        <v>19</v>
      </c>
      <c r="D1160" s="31" t="s">
        <v>433</v>
      </c>
      <c r="E1160" s="51">
        <v>27.36</v>
      </c>
      <c r="F1160" s="32" t="s">
        <v>15</v>
      </c>
      <c r="G1160" s="32" t="s">
        <v>5828</v>
      </c>
      <c r="H1160" s="12"/>
      <c r="I1160" s="11">
        <f>Table1[[#This Row],[Qty]]*Table1[[#This Row],[Price]]</f>
        <v>0</v>
      </c>
    </row>
    <row r="1161" spans="1:9" ht="13.5" customHeight="1" x14ac:dyDescent="0.25">
      <c r="A1161" s="28">
        <v>6294015131024</v>
      </c>
      <c r="B1161" s="29" t="s">
        <v>454</v>
      </c>
      <c r="C1161" s="33" t="s">
        <v>19</v>
      </c>
      <c r="D1161" s="31" t="s">
        <v>455</v>
      </c>
      <c r="E1161" s="51">
        <v>32.56</v>
      </c>
      <c r="F1161" s="32" t="s">
        <v>15</v>
      </c>
      <c r="G1161" s="32" t="s">
        <v>5838</v>
      </c>
      <c r="H1161" s="22"/>
      <c r="I1161" s="11">
        <f>Table1[[#This Row],[Qty]]*Table1[[#This Row],[Price]]</f>
        <v>0</v>
      </c>
    </row>
    <row r="1162" spans="1:9" ht="13.5" customHeight="1" x14ac:dyDescent="0.25">
      <c r="A1162" s="28">
        <v>6294015151596</v>
      </c>
      <c r="B1162" s="29" t="s">
        <v>484</v>
      </c>
      <c r="C1162" s="30" t="s">
        <v>19</v>
      </c>
      <c r="D1162" s="31" t="s">
        <v>485</v>
      </c>
      <c r="E1162" s="51">
        <v>17</v>
      </c>
      <c r="F1162" s="32" t="s">
        <v>15</v>
      </c>
      <c r="G1162" s="32" t="s">
        <v>5852</v>
      </c>
      <c r="H1162" s="12"/>
      <c r="I1162" s="11">
        <f>Table1[[#This Row],[Qty]]*Table1[[#This Row],[Price]]</f>
        <v>0</v>
      </c>
    </row>
    <row r="1163" spans="1:9" ht="13.5" customHeight="1" x14ac:dyDescent="0.25">
      <c r="A1163" s="28">
        <v>6294015105247</v>
      </c>
      <c r="B1163" s="29" t="s">
        <v>492</v>
      </c>
      <c r="C1163" s="30" t="s">
        <v>19</v>
      </c>
      <c r="D1163" s="31" t="s">
        <v>493</v>
      </c>
      <c r="E1163" s="51">
        <v>32.97</v>
      </c>
      <c r="F1163" s="32" t="s">
        <v>15</v>
      </c>
      <c r="G1163" s="32" t="s">
        <v>5855</v>
      </c>
      <c r="H1163" s="12"/>
      <c r="I1163" s="11">
        <f>Table1[[#This Row],[Qty]]*Table1[[#This Row],[Price]]</f>
        <v>0</v>
      </c>
    </row>
    <row r="1164" spans="1:9" ht="13.5" customHeight="1" x14ac:dyDescent="0.25">
      <c r="A1164" s="28">
        <v>6294015102260</v>
      </c>
      <c r="B1164" s="29" t="s">
        <v>512</v>
      </c>
      <c r="C1164" s="30" t="s">
        <v>19</v>
      </c>
      <c r="D1164" s="31" t="s">
        <v>513</v>
      </c>
      <c r="E1164" s="51">
        <v>14</v>
      </c>
      <c r="F1164" s="32" t="s">
        <v>15</v>
      </c>
      <c r="G1164" s="32" t="s">
        <v>5864</v>
      </c>
      <c r="H1164" s="12"/>
      <c r="I1164" s="11">
        <f>Table1[[#This Row],[Qty]]*Table1[[#This Row],[Price]]</f>
        <v>0</v>
      </c>
    </row>
    <row r="1165" spans="1:9" ht="13.5" customHeight="1" x14ac:dyDescent="0.25">
      <c r="A1165" s="28">
        <v>6295199804360</v>
      </c>
      <c r="B1165" s="29" t="s">
        <v>525</v>
      </c>
      <c r="C1165" s="30" t="s">
        <v>19</v>
      </c>
      <c r="D1165" s="31" t="s">
        <v>526</v>
      </c>
      <c r="E1165" s="51">
        <v>16.100000000000001</v>
      </c>
      <c r="F1165" s="32" t="s">
        <v>15</v>
      </c>
      <c r="G1165" s="32" t="s">
        <v>5870</v>
      </c>
      <c r="H1165" s="12"/>
      <c r="I1165" s="11">
        <f>Table1[[#This Row],[Qty]]*Table1[[#This Row],[Price]]</f>
        <v>0</v>
      </c>
    </row>
    <row r="1166" spans="1:9" ht="13.5" customHeight="1" x14ac:dyDescent="0.25">
      <c r="A1166" s="28">
        <v>6294015163902</v>
      </c>
      <c r="B1166" s="29" t="s">
        <v>533</v>
      </c>
      <c r="C1166" s="30" t="s">
        <v>19</v>
      </c>
      <c r="D1166" s="31" t="s">
        <v>534</v>
      </c>
      <c r="E1166" s="51">
        <v>17.489999999999998</v>
      </c>
      <c r="F1166" s="32" t="s">
        <v>15</v>
      </c>
      <c r="G1166" s="32" t="s">
        <v>5874</v>
      </c>
      <c r="H1166" s="22"/>
      <c r="I1166" s="11">
        <f>Table1[[#This Row],[Qty]]*Table1[[#This Row],[Price]]</f>
        <v>0</v>
      </c>
    </row>
    <row r="1167" spans="1:9" ht="13.5" customHeight="1" x14ac:dyDescent="0.25">
      <c r="A1167" s="28">
        <v>6295199800959</v>
      </c>
      <c r="B1167" s="29" t="s">
        <v>618</v>
      </c>
      <c r="C1167" s="30" t="s">
        <v>19</v>
      </c>
      <c r="D1167" s="31" t="s">
        <v>619</v>
      </c>
      <c r="E1167" s="51">
        <v>25.01</v>
      </c>
      <c r="F1167" s="32" t="s">
        <v>15</v>
      </c>
      <c r="G1167" s="32" t="s">
        <v>5911</v>
      </c>
      <c r="H1167" s="12"/>
      <c r="I1167" s="11">
        <f>Table1[[#This Row],[Qty]]*Table1[[#This Row],[Price]]</f>
        <v>0</v>
      </c>
    </row>
    <row r="1168" spans="1:9" ht="13.5" customHeight="1" x14ac:dyDescent="0.25">
      <c r="A1168" s="28">
        <v>6294015151084</v>
      </c>
      <c r="B1168" s="29" t="s">
        <v>633</v>
      </c>
      <c r="C1168" s="30" t="s">
        <v>19</v>
      </c>
      <c r="D1168" s="31" t="s">
        <v>634</v>
      </c>
      <c r="E1168" s="51">
        <v>28.99</v>
      </c>
      <c r="F1168" s="32" t="s">
        <v>15</v>
      </c>
      <c r="G1168" s="32" t="s">
        <v>5918</v>
      </c>
      <c r="H1168" s="12"/>
      <c r="I1168" s="11">
        <f>Table1[[#This Row],[Qty]]*Table1[[#This Row],[Price]]</f>
        <v>0</v>
      </c>
    </row>
    <row r="1169" spans="1:9" ht="13.5" customHeight="1" x14ac:dyDescent="0.25">
      <c r="A1169" s="28">
        <v>6085010094182</v>
      </c>
      <c r="B1169" s="29" t="s">
        <v>652</v>
      </c>
      <c r="C1169" s="33" t="s">
        <v>19</v>
      </c>
      <c r="D1169" s="31" t="s">
        <v>653</v>
      </c>
      <c r="E1169" s="51">
        <v>15</v>
      </c>
      <c r="F1169" s="32" t="s">
        <v>15</v>
      </c>
      <c r="G1169" s="32">
        <v>0</v>
      </c>
      <c r="H1169" s="22"/>
      <c r="I1169" s="11">
        <f>Table1[[#This Row],[Qty]]*Table1[[#This Row],[Price]]</f>
        <v>0</v>
      </c>
    </row>
    <row r="1170" spans="1:9" ht="13.5" customHeight="1" x14ac:dyDescent="0.25">
      <c r="A1170" s="28">
        <v>6294015160734</v>
      </c>
      <c r="B1170" s="29" t="s">
        <v>729</v>
      </c>
      <c r="C1170" s="30" t="s">
        <v>19</v>
      </c>
      <c r="D1170" s="31" t="s">
        <v>730</v>
      </c>
      <c r="E1170" s="51">
        <v>15.05</v>
      </c>
      <c r="F1170" s="32" t="s">
        <v>15</v>
      </c>
      <c r="G1170" s="32" t="s">
        <v>5962</v>
      </c>
      <c r="H1170" s="12"/>
      <c r="I1170" s="11">
        <f>Table1[[#This Row],[Qty]]*Table1[[#This Row],[Price]]</f>
        <v>0</v>
      </c>
    </row>
    <row r="1171" spans="1:9" ht="13.5" customHeight="1" x14ac:dyDescent="0.25">
      <c r="A1171" s="28">
        <v>6294015188202</v>
      </c>
      <c r="B1171" s="29" t="s">
        <v>915</v>
      </c>
      <c r="C1171" s="30" t="s">
        <v>19</v>
      </c>
      <c r="D1171" s="31" t="s">
        <v>916</v>
      </c>
      <c r="E1171" s="51">
        <v>26.65</v>
      </c>
      <c r="F1171" s="32" t="s">
        <v>15</v>
      </c>
      <c r="G1171" s="32" t="s">
        <v>6045</v>
      </c>
      <c r="H1171" s="12"/>
      <c r="I1171" s="11">
        <f>Table1[[#This Row],[Qty]]*Table1[[#This Row],[Price]]</f>
        <v>0</v>
      </c>
    </row>
    <row r="1172" spans="1:9" ht="13.5" customHeight="1" x14ac:dyDescent="0.25">
      <c r="A1172" s="28">
        <v>6294015102529</v>
      </c>
      <c r="B1172" s="29" t="s">
        <v>938</v>
      </c>
      <c r="C1172" s="33" t="s">
        <v>19</v>
      </c>
      <c r="D1172" s="31" t="s">
        <v>939</v>
      </c>
      <c r="E1172" s="51">
        <v>15.25</v>
      </c>
      <c r="F1172" s="32" t="s">
        <v>15</v>
      </c>
      <c r="G1172" s="32">
        <v>0</v>
      </c>
      <c r="H1172" s="22"/>
      <c r="I1172" s="11">
        <f>Table1[[#This Row],[Qty]]*Table1[[#This Row],[Price]]</f>
        <v>0</v>
      </c>
    </row>
    <row r="1173" spans="1:9" ht="13.5" customHeight="1" x14ac:dyDescent="0.25">
      <c r="A1173" s="28">
        <v>6085010094663</v>
      </c>
      <c r="B1173" s="29" t="s">
        <v>952</v>
      </c>
      <c r="C1173" s="30" t="s">
        <v>19</v>
      </c>
      <c r="D1173" s="31" t="s">
        <v>953</v>
      </c>
      <c r="E1173" s="51">
        <v>15.81</v>
      </c>
      <c r="F1173" s="32" t="s">
        <v>15</v>
      </c>
      <c r="G1173" s="32" t="s">
        <v>6062</v>
      </c>
      <c r="H1173" s="22"/>
      <c r="I1173" s="11">
        <f>Table1[[#This Row],[Qty]]*Table1[[#This Row],[Price]]</f>
        <v>0</v>
      </c>
    </row>
    <row r="1174" spans="1:9" ht="13.5" customHeight="1" x14ac:dyDescent="0.25">
      <c r="A1174" s="28">
        <v>6085010094977</v>
      </c>
      <c r="B1174" s="29" t="s">
        <v>983</v>
      </c>
      <c r="C1174" s="30" t="s">
        <v>19</v>
      </c>
      <c r="D1174" s="31" t="s">
        <v>984</v>
      </c>
      <c r="E1174" s="51">
        <v>17.48</v>
      </c>
      <c r="F1174" s="32" t="s">
        <v>15</v>
      </c>
      <c r="G1174" s="32" t="s">
        <v>6076</v>
      </c>
      <c r="H1174" s="22"/>
      <c r="I1174" s="11">
        <f>Table1[[#This Row],[Qty]]*Table1[[#This Row],[Price]]</f>
        <v>0</v>
      </c>
    </row>
    <row r="1175" spans="1:9" ht="13.5" customHeight="1" x14ac:dyDescent="0.25">
      <c r="A1175" s="28">
        <v>6294015181913</v>
      </c>
      <c r="B1175" s="29" t="s">
        <v>989</v>
      </c>
      <c r="C1175" s="33" t="s">
        <v>19</v>
      </c>
      <c r="D1175" s="31" t="s">
        <v>990</v>
      </c>
      <c r="E1175" s="51">
        <v>35</v>
      </c>
      <c r="F1175" s="32" t="s">
        <v>15</v>
      </c>
      <c r="G1175" s="32" t="s">
        <v>6079</v>
      </c>
      <c r="H1175" s="22"/>
      <c r="I1175" s="11">
        <f>Table1[[#This Row],[Qty]]*Table1[[#This Row],[Price]]</f>
        <v>0</v>
      </c>
    </row>
    <row r="1176" spans="1:9" ht="13.5" customHeight="1" x14ac:dyDescent="0.25">
      <c r="A1176" s="28">
        <v>6294015168037</v>
      </c>
      <c r="B1176" s="29" t="s">
        <v>998</v>
      </c>
      <c r="C1176" s="30" t="s">
        <v>19</v>
      </c>
      <c r="D1176" s="31" t="s">
        <v>999</v>
      </c>
      <c r="E1176" s="51">
        <v>24.28</v>
      </c>
      <c r="F1176" s="32" t="s">
        <v>15</v>
      </c>
      <c r="G1176" s="32" t="s">
        <v>6083</v>
      </c>
      <c r="H1176" s="12"/>
      <c r="I1176" s="11">
        <f>Table1[[#This Row],[Qty]]*Table1[[#This Row],[Price]]</f>
        <v>0</v>
      </c>
    </row>
    <row r="1177" spans="1:9" ht="13.5" customHeight="1" x14ac:dyDescent="0.25">
      <c r="A1177" s="28">
        <v>6294015131017</v>
      </c>
      <c r="B1177" s="29" t="s">
        <v>1106</v>
      </c>
      <c r="C1177" s="30" t="s">
        <v>19</v>
      </c>
      <c r="D1177" s="31" t="s">
        <v>1107</v>
      </c>
      <c r="E1177" s="51">
        <v>31.75</v>
      </c>
      <c r="F1177" s="32" t="s">
        <v>15</v>
      </c>
      <c r="G1177" s="32">
        <v>0</v>
      </c>
      <c r="H1177" s="22"/>
      <c r="I1177" s="11">
        <f>Table1[[#This Row],[Qty]]*Table1[[#This Row],[Price]]</f>
        <v>0</v>
      </c>
    </row>
    <row r="1178" spans="1:9" ht="13.5" customHeight="1" x14ac:dyDescent="0.25">
      <c r="A1178" s="28">
        <v>6294015164336</v>
      </c>
      <c r="B1178" s="29" t="s">
        <v>1110</v>
      </c>
      <c r="C1178" s="30" t="s">
        <v>19</v>
      </c>
      <c r="D1178" s="31" t="s">
        <v>1111</v>
      </c>
      <c r="E1178" s="51">
        <v>21.5</v>
      </c>
      <c r="F1178" s="32" t="s">
        <v>15</v>
      </c>
      <c r="G1178" s="32" t="s">
        <v>6130</v>
      </c>
      <c r="H1178" s="22"/>
      <c r="I1178" s="11">
        <f>Table1[[#This Row],[Qty]]*Table1[[#This Row],[Price]]</f>
        <v>0</v>
      </c>
    </row>
    <row r="1179" spans="1:9" ht="13.5" customHeight="1" x14ac:dyDescent="0.25">
      <c r="A1179" s="28">
        <v>6294015163889</v>
      </c>
      <c r="B1179" s="29" t="s">
        <v>1120</v>
      </c>
      <c r="C1179" s="30" t="s">
        <v>19</v>
      </c>
      <c r="D1179" s="31" t="s">
        <v>1121</v>
      </c>
      <c r="E1179" s="51">
        <v>18.8</v>
      </c>
      <c r="F1179" s="32" t="s">
        <v>15</v>
      </c>
      <c r="G1179" s="32" t="s">
        <v>6134</v>
      </c>
      <c r="H1179" s="12"/>
      <c r="I1179" s="11">
        <f>Table1[[#This Row],[Qty]]*Table1[[#This Row],[Price]]</f>
        <v>0</v>
      </c>
    </row>
    <row r="1180" spans="1:9" ht="13.5" customHeight="1" x14ac:dyDescent="0.25">
      <c r="A1180" s="28">
        <v>6294015189612</v>
      </c>
      <c r="B1180" s="29" t="s">
        <v>1134</v>
      </c>
      <c r="C1180" s="30" t="s">
        <v>19</v>
      </c>
      <c r="D1180" s="31" t="s">
        <v>1135</v>
      </c>
      <c r="E1180" s="51">
        <v>14.32</v>
      </c>
      <c r="F1180" s="32" t="s">
        <v>15</v>
      </c>
      <c r="G1180" s="32" t="s">
        <v>6141</v>
      </c>
      <c r="H1180" s="22"/>
      <c r="I1180" s="11">
        <f>Table1[[#This Row],[Qty]]*Table1[[#This Row],[Price]]</f>
        <v>0</v>
      </c>
    </row>
    <row r="1181" spans="1:9" ht="13.5" customHeight="1" x14ac:dyDescent="0.25">
      <c r="A1181" s="28">
        <v>6294015102246</v>
      </c>
      <c r="B1181" s="29" t="s">
        <v>1152</v>
      </c>
      <c r="C1181" s="30" t="s">
        <v>19</v>
      </c>
      <c r="D1181" s="31" t="s">
        <v>1153</v>
      </c>
      <c r="E1181" s="51">
        <v>14.5</v>
      </c>
      <c r="F1181" s="32" t="s">
        <v>15</v>
      </c>
      <c r="G1181" s="32" t="s">
        <v>6150</v>
      </c>
      <c r="H1181" s="12"/>
      <c r="I1181" s="11">
        <f>Table1[[#This Row],[Qty]]*Table1[[#This Row],[Price]]</f>
        <v>0</v>
      </c>
    </row>
    <row r="1182" spans="1:9" ht="13.5" customHeight="1" x14ac:dyDescent="0.25">
      <c r="A1182" s="48">
        <v>6294015164299</v>
      </c>
      <c r="B1182" s="41" t="s">
        <v>1356</v>
      </c>
      <c r="C1182" s="6" t="s">
        <v>19</v>
      </c>
      <c r="D1182" t="s">
        <v>1357</v>
      </c>
      <c r="E1182" s="47">
        <v>53.53</v>
      </c>
      <c r="F1182" s="6" t="s">
        <v>15</v>
      </c>
      <c r="G1182" s="6">
        <v>0</v>
      </c>
      <c r="H1182" s="22"/>
      <c r="I1182" s="11">
        <f>Table1[[#This Row],[Qty]]*Table1[[#This Row],[Price]]</f>
        <v>0</v>
      </c>
    </row>
    <row r="1183" spans="1:9" ht="13.5" customHeight="1" x14ac:dyDescent="0.25">
      <c r="A1183" s="28">
        <v>6294015165012</v>
      </c>
      <c r="B1183" s="29" t="s">
        <v>1484</v>
      </c>
      <c r="C1183" s="30" t="s">
        <v>19</v>
      </c>
      <c r="D1183" s="31" t="s">
        <v>1485</v>
      </c>
      <c r="E1183" s="51">
        <v>37</v>
      </c>
      <c r="F1183" s="32" t="s">
        <v>15</v>
      </c>
      <c r="G1183" s="32" t="s">
        <v>6224</v>
      </c>
      <c r="H1183" s="12"/>
      <c r="I1183" s="11">
        <f>Table1[[#This Row],[Qty]]*Table1[[#This Row],[Price]]</f>
        <v>0</v>
      </c>
    </row>
    <row r="1184" spans="1:9" ht="13.5" customHeight="1" x14ac:dyDescent="0.25">
      <c r="A1184" s="28">
        <v>6294015165029</v>
      </c>
      <c r="B1184" s="29" t="s">
        <v>1486</v>
      </c>
      <c r="C1184" s="33" t="s">
        <v>19</v>
      </c>
      <c r="D1184" s="31" t="s">
        <v>1487</v>
      </c>
      <c r="E1184" s="51">
        <v>37</v>
      </c>
      <c r="F1184" s="32" t="s">
        <v>15</v>
      </c>
      <c r="G1184" s="32" t="s">
        <v>6225</v>
      </c>
      <c r="H1184" s="22"/>
      <c r="I1184" s="11">
        <f>Table1[[#This Row],[Qty]]*Table1[[#This Row],[Price]]</f>
        <v>0</v>
      </c>
    </row>
    <row r="1185" spans="1:9" ht="13.5" customHeight="1" x14ac:dyDescent="0.25">
      <c r="A1185" s="28">
        <v>6294015165005</v>
      </c>
      <c r="B1185" s="29" t="s">
        <v>1496</v>
      </c>
      <c r="C1185" s="30" t="s">
        <v>19</v>
      </c>
      <c r="D1185" s="31" t="s">
        <v>1497</v>
      </c>
      <c r="E1185" s="51">
        <v>36.4</v>
      </c>
      <c r="F1185" s="32" t="s">
        <v>15</v>
      </c>
      <c r="G1185" s="32">
        <v>0</v>
      </c>
      <c r="H1185" s="12"/>
      <c r="I1185" s="11">
        <f>Table1[[#This Row],[Qty]]*Table1[[#This Row],[Price]]</f>
        <v>0</v>
      </c>
    </row>
    <row r="1186" spans="1:9" ht="13.5" customHeight="1" x14ac:dyDescent="0.25">
      <c r="A1186" s="28">
        <v>6294015195361</v>
      </c>
      <c r="B1186" s="29" t="s">
        <v>1507</v>
      </c>
      <c r="C1186" s="30" t="s">
        <v>19</v>
      </c>
      <c r="D1186" s="31" t="s">
        <v>1508</v>
      </c>
      <c r="E1186" s="51">
        <v>32.44</v>
      </c>
      <c r="F1186" s="32" t="s">
        <v>15</v>
      </c>
      <c r="G1186" s="32">
        <v>0</v>
      </c>
      <c r="H1186" s="14"/>
      <c r="I1186" s="11">
        <f>Table1[[#This Row],[Qty]]*Table1[[#This Row],[Price]]</f>
        <v>0</v>
      </c>
    </row>
    <row r="1187" spans="1:9" ht="13.5" customHeight="1" x14ac:dyDescent="0.25">
      <c r="A1187" s="28">
        <v>6294015101270</v>
      </c>
      <c r="B1187" s="29" t="s">
        <v>1540</v>
      </c>
      <c r="C1187" s="30" t="s">
        <v>19</v>
      </c>
      <c r="D1187" s="31" t="s">
        <v>1541</v>
      </c>
      <c r="E1187" s="51">
        <v>28.16</v>
      </c>
      <c r="F1187" s="32" t="s">
        <v>15</v>
      </c>
      <c r="G1187" s="32">
        <v>0</v>
      </c>
      <c r="H1187" s="12"/>
      <c r="I1187" s="11">
        <f>Table1[[#This Row],[Qty]]*Table1[[#This Row],[Price]]</f>
        <v>0</v>
      </c>
    </row>
    <row r="1188" spans="1:9" ht="13.5" customHeight="1" x14ac:dyDescent="0.25">
      <c r="A1188" s="28">
        <v>6294015164992</v>
      </c>
      <c r="B1188" s="29" t="s">
        <v>1542</v>
      </c>
      <c r="C1188" s="33" t="s">
        <v>19</v>
      </c>
      <c r="D1188" s="31" t="s">
        <v>1543</v>
      </c>
      <c r="E1188" s="51">
        <v>27</v>
      </c>
      <c r="F1188" s="32" t="s">
        <v>15</v>
      </c>
      <c r="G1188" s="32" t="s">
        <v>6240</v>
      </c>
      <c r="H1188" s="22"/>
      <c r="I1188" s="11">
        <f>Table1[[#This Row],[Qty]]*Table1[[#This Row],[Price]]</f>
        <v>0</v>
      </c>
    </row>
    <row r="1189" spans="1:9" ht="13.5" customHeight="1" x14ac:dyDescent="0.25">
      <c r="A1189" s="28">
        <v>6294015168020</v>
      </c>
      <c r="B1189" s="29" t="s">
        <v>1555</v>
      </c>
      <c r="C1189" s="33" t="s">
        <v>19</v>
      </c>
      <c r="D1189" s="31" t="s">
        <v>1556</v>
      </c>
      <c r="E1189" s="51">
        <v>27.99</v>
      </c>
      <c r="F1189" s="32" t="s">
        <v>15</v>
      </c>
      <c r="G1189" s="32" t="s">
        <v>6243</v>
      </c>
      <c r="H1189" s="22"/>
      <c r="I1189" s="11">
        <f>Table1[[#This Row],[Qty]]*Table1[[#This Row],[Price]]</f>
        <v>0</v>
      </c>
    </row>
    <row r="1190" spans="1:9" ht="13.5" customHeight="1" x14ac:dyDescent="0.25">
      <c r="A1190" s="28">
        <v>6294015196450</v>
      </c>
      <c r="B1190" s="29" t="s">
        <v>1608</v>
      </c>
      <c r="C1190" s="30" t="s">
        <v>19</v>
      </c>
      <c r="D1190" s="31" t="s">
        <v>1609</v>
      </c>
      <c r="E1190" s="51">
        <v>25.57</v>
      </c>
      <c r="F1190" s="32" t="s">
        <v>15</v>
      </c>
      <c r="G1190" s="32" t="s">
        <v>6257</v>
      </c>
      <c r="H1190" s="22"/>
      <c r="I1190" s="11">
        <f>Table1[[#This Row],[Qty]]*Table1[[#This Row],[Price]]</f>
        <v>0</v>
      </c>
    </row>
    <row r="1191" spans="1:9" ht="13.5" customHeight="1" x14ac:dyDescent="0.25">
      <c r="A1191" s="28">
        <v>6294015163926</v>
      </c>
      <c r="B1191" s="29" t="s">
        <v>1612</v>
      </c>
      <c r="C1191" s="30" t="s">
        <v>19</v>
      </c>
      <c r="D1191" s="31" t="s">
        <v>1613</v>
      </c>
      <c r="E1191" s="51">
        <v>27.5</v>
      </c>
      <c r="F1191" s="32" t="s">
        <v>15</v>
      </c>
      <c r="G1191" s="32">
        <v>0</v>
      </c>
      <c r="H1191" s="22"/>
      <c r="I1191" s="11">
        <f>Table1[[#This Row],[Qty]]*Table1[[#This Row],[Price]]</f>
        <v>0</v>
      </c>
    </row>
    <row r="1192" spans="1:9" ht="13.5" customHeight="1" x14ac:dyDescent="0.25">
      <c r="A1192" s="28">
        <v>6294015164329</v>
      </c>
      <c r="B1192" s="29" t="s">
        <v>1648</v>
      </c>
      <c r="C1192" s="30" t="s">
        <v>19</v>
      </c>
      <c r="D1192" s="31" t="s">
        <v>1649</v>
      </c>
      <c r="E1192" s="51">
        <v>26.5</v>
      </c>
      <c r="F1192" s="32" t="s">
        <v>15</v>
      </c>
      <c r="G1192" s="32">
        <v>0</v>
      </c>
      <c r="H1192" s="22"/>
      <c r="I1192" s="11">
        <f>Table1[[#This Row],[Qty]]*Table1[[#This Row],[Price]]</f>
        <v>0</v>
      </c>
    </row>
    <row r="1193" spans="1:9" ht="13.5" customHeight="1" x14ac:dyDescent="0.25">
      <c r="A1193" s="28">
        <v>6294015164350</v>
      </c>
      <c r="B1193" s="29" t="s">
        <v>1662</v>
      </c>
      <c r="C1193" s="30" t="s">
        <v>19</v>
      </c>
      <c r="D1193" s="31" t="s">
        <v>1663</v>
      </c>
      <c r="E1193" s="51">
        <v>26</v>
      </c>
      <c r="F1193" s="32" t="s">
        <v>15</v>
      </c>
      <c r="G1193" s="32" t="s">
        <v>6267</v>
      </c>
      <c r="H1193" s="22"/>
      <c r="I1193" s="11">
        <f>Table1[[#This Row],[Qty]]*Table1[[#This Row],[Price]]</f>
        <v>0</v>
      </c>
    </row>
    <row r="1194" spans="1:9" ht="13.5" customHeight="1" x14ac:dyDescent="0.25">
      <c r="A1194" s="28">
        <v>6294015188134</v>
      </c>
      <c r="B1194" s="29" t="s">
        <v>1664</v>
      </c>
      <c r="C1194" s="30" t="s">
        <v>19</v>
      </c>
      <c r="D1194" s="31" t="s">
        <v>1665</v>
      </c>
      <c r="E1194" s="51">
        <v>27.31</v>
      </c>
      <c r="F1194" s="32" t="s">
        <v>15</v>
      </c>
      <c r="G1194" s="32" t="s">
        <v>6268</v>
      </c>
      <c r="H1194" s="12"/>
      <c r="I1194" s="11">
        <f>Table1[[#This Row],[Qty]]*Table1[[#This Row],[Price]]</f>
        <v>0</v>
      </c>
    </row>
    <row r="1195" spans="1:9" ht="13.5" customHeight="1" x14ac:dyDescent="0.25">
      <c r="A1195" s="28">
        <v>6294015159851</v>
      </c>
      <c r="B1195" s="29" t="s">
        <v>1681</v>
      </c>
      <c r="C1195" s="30" t="s">
        <v>19</v>
      </c>
      <c r="D1195" s="31" t="s">
        <v>1682</v>
      </c>
      <c r="E1195" s="51">
        <v>25</v>
      </c>
      <c r="F1195" s="32" t="s">
        <v>15</v>
      </c>
      <c r="G1195" s="32">
        <v>0</v>
      </c>
      <c r="H1195" s="22"/>
      <c r="I1195" s="11">
        <f>Table1[[#This Row],[Qty]]*Table1[[#This Row],[Price]]</f>
        <v>0</v>
      </c>
    </row>
    <row r="1196" spans="1:9" ht="13.5" customHeight="1" x14ac:dyDescent="0.25">
      <c r="A1196" s="28">
        <v>6294015168129</v>
      </c>
      <c r="B1196" s="29" t="s">
        <v>1727</v>
      </c>
      <c r="C1196" s="33" t="s">
        <v>19</v>
      </c>
      <c r="D1196" s="31" t="s">
        <v>1728</v>
      </c>
      <c r="E1196" s="51">
        <v>24.64</v>
      </c>
      <c r="F1196" s="32" t="s">
        <v>15</v>
      </c>
      <c r="G1196" s="32" t="s">
        <v>6284</v>
      </c>
      <c r="H1196" s="22"/>
      <c r="I1196" s="11">
        <f>Table1[[#This Row],[Qty]]*Table1[[#This Row],[Price]]</f>
        <v>0</v>
      </c>
    </row>
    <row r="1197" spans="1:9" ht="13.5" customHeight="1" x14ac:dyDescent="0.25">
      <c r="A1197" s="28">
        <v>6294015164367</v>
      </c>
      <c r="B1197" s="29" t="s">
        <v>1817</v>
      </c>
      <c r="C1197" s="30" t="s">
        <v>19</v>
      </c>
      <c r="D1197" s="31" t="s">
        <v>1818</v>
      </c>
      <c r="E1197" s="51">
        <v>19.5</v>
      </c>
      <c r="F1197" s="32" t="s">
        <v>15</v>
      </c>
      <c r="G1197" s="32">
        <v>0</v>
      </c>
      <c r="H1197" s="12"/>
      <c r="I1197" s="11">
        <f>Table1[[#This Row],[Qty]]*Table1[[#This Row],[Price]]</f>
        <v>0</v>
      </c>
    </row>
    <row r="1198" spans="1:9" ht="13.5" customHeight="1" x14ac:dyDescent="0.25">
      <c r="A1198" s="28">
        <v>6294015109306</v>
      </c>
      <c r="B1198" s="29" t="s">
        <v>1823</v>
      </c>
      <c r="C1198" s="30" t="s">
        <v>19</v>
      </c>
      <c r="D1198" s="31" t="s">
        <v>1824</v>
      </c>
      <c r="E1198" s="51">
        <v>19.399999999999999</v>
      </c>
      <c r="F1198" s="32" t="s">
        <v>15</v>
      </c>
      <c r="G1198" s="32">
        <v>0</v>
      </c>
      <c r="H1198" s="12"/>
      <c r="I1198" s="11">
        <f>Table1[[#This Row],[Qty]]*Table1[[#This Row],[Price]]</f>
        <v>0</v>
      </c>
    </row>
    <row r="1199" spans="1:9" ht="13.5" customHeight="1" x14ac:dyDescent="0.25">
      <c r="A1199" s="28">
        <v>6294015161496</v>
      </c>
      <c r="B1199" s="29" t="s">
        <v>1842</v>
      </c>
      <c r="C1199" s="30" t="s">
        <v>19</v>
      </c>
      <c r="D1199" s="31" t="s">
        <v>1843</v>
      </c>
      <c r="E1199" s="51">
        <v>18.5</v>
      </c>
      <c r="F1199" s="32" t="s">
        <v>15</v>
      </c>
      <c r="G1199" s="32" t="s">
        <v>6313</v>
      </c>
      <c r="H1199" s="12"/>
      <c r="I1199" s="11">
        <f>Table1[[#This Row],[Qty]]*Table1[[#This Row],[Price]]</f>
        <v>0</v>
      </c>
    </row>
    <row r="1200" spans="1:9" ht="13.5" customHeight="1" x14ac:dyDescent="0.25">
      <c r="A1200" s="28">
        <v>6294015138320</v>
      </c>
      <c r="B1200" s="29" t="s">
        <v>1852</v>
      </c>
      <c r="C1200" s="33" t="s">
        <v>19</v>
      </c>
      <c r="D1200" s="31" t="s">
        <v>1853</v>
      </c>
      <c r="E1200" s="51">
        <v>18</v>
      </c>
      <c r="F1200" s="32" t="s">
        <v>15</v>
      </c>
      <c r="G1200" s="32">
        <v>0</v>
      </c>
      <c r="H1200" s="22"/>
      <c r="I1200" s="11">
        <f>Table1[[#This Row],[Qty]]*Table1[[#This Row],[Price]]</f>
        <v>0</v>
      </c>
    </row>
    <row r="1201" spans="1:9" ht="13.5" customHeight="1" x14ac:dyDescent="0.25">
      <c r="A1201" s="28">
        <v>6294015189599</v>
      </c>
      <c r="B1201" s="29" t="s">
        <v>1878</v>
      </c>
      <c r="C1201" s="30" t="s">
        <v>19</v>
      </c>
      <c r="D1201" s="31" t="s">
        <v>1879</v>
      </c>
      <c r="E1201" s="51">
        <v>17</v>
      </c>
      <c r="F1201" s="32" t="s">
        <v>15</v>
      </c>
      <c r="G1201" s="32" t="s">
        <v>6323</v>
      </c>
      <c r="H1201" s="22"/>
      <c r="I1201" s="11">
        <f>Table1[[#This Row],[Qty]]*Table1[[#This Row],[Price]]</f>
        <v>0</v>
      </c>
    </row>
    <row r="1202" spans="1:9" ht="13.5" customHeight="1" x14ac:dyDescent="0.25">
      <c r="A1202" s="28">
        <v>6294015189582</v>
      </c>
      <c r="B1202" s="29" t="s">
        <v>1880</v>
      </c>
      <c r="C1202" s="30" t="s">
        <v>19</v>
      </c>
      <c r="D1202" s="31" t="s">
        <v>1881</v>
      </c>
      <c r="E1202" s="51">
        <v>17</v>
      </c>
      <c r="F1202" s="32" t="s">
        <v>15</v>
      </c>
      <c r="G1202" s="32" t="s">
        <v>6324</v>
      </c>
      <c r="H1202" s="22"/>
      <c r="I1202" s="11">
        <f>Table1[[#This Row],[Qty]]*Table1[[#This Row],[Price]]</f>
        <v>0</v>
      </c>
    </row>
    <row r="1203" spans="1:9" ht="13.5" customHeight="1" x14ac:dyDescent="0.25">
      <c r="A1203" s="28">
        <v>6294015189575</v>
      </c>
      <c r="B1203" s="29" t="s">
        <v>1893</v>
      </c>
      <c r="C1203" s="30" t="s">
        <v>19</v>
      </c>
      <c r="D1203" s="31" t="s">
        <v>1894</v>
      </c>
      <c r="E1203" s="51">
        <v>14.32</v>
      </c>
      <c r="F1203" s="32" t="s">
        <v>15</v>
      </c>
      <c r="G1203" s="32" t="s">
        <v>6329</v>
      </c>
      <c r="H1203" s="14"/>
      <c r="I1203" s="11">
        <f>Table1[[#This Row],[Qty]]*Table1[[#This Row],[Price]]</f>
        <v>0</v>
      </c>
    </row>
    <row r="1204" spans="1:9" ht="13.5" customHeight="1" x14ac:dyDescent="0.25">
      <c r="A1204" s="28">
        <v>6294015189551</v>
      </c>
      <c r="B1204" s="29" t="s">
        <v>1937</v>
      </c>
      <c r="C1204" s="30" t="s">
        <v>19</v>
      </c>
      <c r="D1204" s="31" t="s">
        <v>1938</v>
      </c>
      <c r="E1204" s="51">
        <v>15.75</v>
      </c>
      <c r="F1204" s="32" t="s">
        <v>15</v>
      </c>
      <c r="G1204" s="32" t="s">
        <v>6339</v>
      </c>
      <c r="H1204" s="22"/>
      <c r="I1204" s="11">
        <f>Table1[[#This Row],[Qty]]*Table1[[#This Row],[Price]]</f>
        <v>0</v>
      </c>
    </row>
    <row r="1205" spans="1:9" ht="13.5" customHeight="1" x14ac:dyDescent="0.25">
      <c r="A1205" s="28">
        <v>6085010090030</v>
      </c>
      <c r="B1205" s="29" t="s">
        <v>1957</v>
      </c>
      <c r="C1205" s="30" t="s">
        <v>19</v>
      </c>
      <c r="D1205" s="31" t="s">
        <v>1958</v>
      </c>
      <c r="E1205" s="51">
        <v>13.91</v>
      </c>
      <c r="F1205" s="32" t="s">
        <v>15</v>
      </c>
      <c r="G1205" s="32" t="s">
        <v>6347</v>
      </c>
      <c r="H1205" s="12"/>
      <c r="I1205" s="11">
        <f>Table1[[#This Row],[Qty]]*Table1[[#This Row],[Price]]</f>
        <v>0</v>
      </c>
    </row>
    <row r="1206" spans="1:9" ht="13.5" customHeight="1" x14ac:dyDescent="0.25">
      <c r="A1206" s="28">
        <v>6294015102499</v>
      </c>
      <c r="B1206" s="29" t="s">
        <v>1965</v>
      </c>
      <c r="C1206" s="30" t="s">
        <v>19</v>
      </c>
      <c r="D1206" s="31" t="s">
        <v>1966</v>
      </c>
      <c r="E1206" s="51">
        <v>15.18</v>
      </c>
      <c r="F1206" s="32" t="s">
        <v>15</v>
      </c>
      <c r="G1206" s="32" t="s">
        <v>6350</v>
      </c>
      <c r="H1206" s="22"/>
      <c r="I1206" s="11">
        <f>Table1[[#This Row],[Qty]]*Table1[[#This Row],[Price]]</f>
        <v>0</v>
      </c>
    </row>
    <row r="1207" spans="1:9" ht="13.5" customHeight="1" x14ac:dyDescent="0.25">
      <c r="A1207" s="28">
        <v>6294015181838</v>
      </c>
      <c r="B1207" s="29" t="s">
        <v>2319</v>
      </c>
      <c r="C1207" s="30" t="s">
        <v>19</v>
      </c>
      <c r="D1207" s="31" t="s">
        <v>2320</v>
      </c>
      <c r="E1207" s="51">
        <v>26.17</v>
      </c>
      <c r="F1207" s="32" t="s">
        <v>15</v>
      </c>
      <c r="G1207" s="32" t="s">
        <v>6412</v>
      </c>
      <c r="H1207" s="22"/>
      <c r="I1207" s="11">
        <f>Table1[[#This Row],[Qty]]*Table1[[#This Row],[Price]]</f>
        <v>0</v>
      </c>
    </row>
    <row r="1208" spans="1:9" ht="13.5" customHeight="1" x14ac:dyDescent="0.25">
      <c r="A1208" s="28">
        <v>6294015176087</v>
      </c>
      <c r="B1208" s="29" t="s">
        <v>2321</v>
      </c>
      <c r="C1208" s="30" t="s">
        <v>19</v>
      </c>
      <c r="D1208" s="31" t="s">
        <v>2322</v>
      </c>
      <c r="E1208" s="51">
        <v>27.31</v>
      </c>
      <c r="F1208" s="32" t="s">
        <v>15</v>
      </c>
      <c r="G1208" s="32">
        <v>0</v>
      </c>
      <c r="H1208" s="12"/>
      <c r="I1208" s="11">
        <f>Table1[[#This Row],[Qty]]*Table1[[#This Row],[Price]]</f>
        <v>0</v>
      </c>
    </row>
    <row r="1209" spans="1:9" ht="13.5" customHeight="1" x14ac:dyDescent="0.25">
      <c r="A1209" s="28">
        <v>6294015176124</v>
      </c>
      <c r="B1209" s="29" t="s">
        <v>2323</v>
      </c>
      <c r="C1209" s="30" t="s">
        <v>19</v>
      </c>
      <c r="D1209" s="31" t="s">
        <v>2324</v>
      </c>
      <c r="E1209" s="51">
        <v>27.31</v>
      </c>
      <c r="F1209" s="32" t="s">
        <v>15</v>
      </c>
      <c r="G1209" s="32">
        <v>0</v>
      </c>
      <c r="H1209" s="22"/>
      <c r="I1209" s="11">
        <f>Table1[[#This Row],[Qty]]*Table1[[#This Row],[Price]]</f>
        <v>0</v>
      </c>
    </row>
    <row r="1210" spans="1:9" ht="13.5" customHeight="1" x14ac:dyDescent="0.25">
      <c r="A1210" s="28">
        <v>6294015176100</v>
      </c>
      <c r="B1210" s="29" t="s">
        <v>2325</v>
      </c>
      <c r="C1210" s="30" t="s">
        <v>19</v>
      </c>
      <c r="D1210" s="31" t="s">
        <v>2326</v>
      </c>
      <c r="E1210" s="51">
        <v>24.31</v>
      </c>
      <c r="F1210" s="32" t="s">
        <v>15</v>
      </c>
      <c r="G1210" s="32" t="s">
        <v>6413</v>
      </c>
      <c r="H1210" s="12"/>
      <c r="I1210" s="11">
        <f>Table1[[#This Row],[Qty]]*Table1[[#This Row],[Price]]</f>
        <v>0</v>
      </c>
    </row>
    <row r="1211" spans="1:9" ht="13.5" customHeight="1" x14ac:dyDescent="0.25">
      <c r="A1211" s="28">
        <v>6294015176117</v>
      </c>
      <c r="B1211" s="29" t="s">
        <v>2327</v>
      </c>
      <c r="C1211" s="33" t="s">
        <v>19</v>
      </c>
      <c r="D1211" s="31" t="s">
        <v>2328</v>
      </c>
      <c r="E1211" s="51">
        <v>27.31</v>
      </c>
      <c r="F1211" s="32" t="s">
        <v>15</v>
      </c>
      <c r="G1211" s="32" t="s">
        <v>6414</v>
      </c>
      <c r="H1211" s="22"/>
      <c r="I1211" s="11">
        <f>Table1[[#This Row],[Qty]]*Table1[[#This Row],[Price]]</f>
        <v>0</v>
      </c>
    </row>
    <row r="1212" spans="1:9" ht="13.5" customHeight="1" x14ac:dyDescent="0.25">
      <c r="A1212" s="28">
        <v>6295199809525</v>
      </c>
      <c r="B1212" s="29" t="s">
        <v>2389</v>
      </c>
      <c r="C1212" s="30" t="s">
        <v>19</v>
      </c>
      <c r="D1212" s="31" t="s">
        <v>5536</v>
      </c>
      <c r="E1212" s="51">
        <v>21.12</v>
      </c>
      <c r="F1212" s="32" t="s">
        <v>15</v>
      </c>
      <c r="G1212" s="32" t="s">
        <v>6441</v>
      </c>
      <c r="H1212" s="22"/>
      <c r="I1212" s="11">
        <f>Table1[[#This Row],[Qty]]*Table1[[#This Row],[Price]]</f>
        <v>0</v>
      </c>
    </row>
    <row r="1213" spans="1:9" ht="13.5" customHeight="1" x14ac:dyDescent="0.25">
      <c r="A1213" s="28">
        <v>6294015188653</v>
      </c>
      <c r="B1213" s="29" t="s">
        <v>2398</v>
      </c>
      <c r="C1213" s="30" t="s">
        <v>19</v>
      </c>
      <c r="D1213" s="31" t="s">
        <v>2399</v>
      </c>
      <c r="E1213" s="51">
        <v>13.69</v>
      </c>
      <c r="F1213" s="32" t="s">
        <v>15</v>
      </c>
      <c r="G1213" s="32" t="s">
        <v>6446</v>
      </c>
      <c r="H1213" s="12"/>
      <c r="I1213" s="11">
        <f>Table1[[#This Row],[Qty]]*Table1[[#This Row],[Price]]</f>
        <v>0</v>
      </c>
    </row>
    <row r="1214" spans="1:9" ht="13.5" customHeight="1" x14ac:dyDescent="0.25">
      <c r="A1214" s="28">
        <v>6294015190656</v>
      </c>
      <c r="B1214" s="29" t="s">
        <v>2424</v>
      </c>
      <c r="C1214" s="30" t="s">
        <v>19</v>
      </c>
      <c r="D1214" s="31" t="s">
        <v>2425</v>
      </c>
      <c r="E1214" s="51">
        <v>4.5</v>
      </c>
      <c r="F1214" s="32" t="s">
        <v>15</v>
      </c>
      <c r="G1214" s="32" t="s">
        <v>6454</v>
      </c>
      <c r="H1214" s="14"/>
      <c r="I1214" s="11">
        <f>Table1[[#This Row],[Qty]]*Table1[[#This Row],[Price]]</f>
        <v>0</v>
      </c>
    </row>
    <row r="1215" spans="1:9" ht="13.5" customHeight="1" x14ac:dyDescent="0.25">
      <c r="A1215" s="28">
        <v>6295199800317</v>
      </c>
      <c r="B1215" s="29" t="s">
        <v>2426</v>
      </c>
      <c r="C1215" s="30" t="s">
        <v>19</v>
      </c>
      <c r="D1215" s="31" t="s">
        <v>2427</v>
      </c>
      <c r="E1215" s="51">
        <v>5</v>
      </c>
      <c r="F1215" s="32" t="s">
        <v>15</v>
      </c>
      <c r="G1215" s="32" t="s">
        <v>6455</v>
      </c>
      <c r="H1215" s="22"/>
      <c r="I1215" s="11">
        <f>Table1[[#This Row],[Qty]]*Table1[[#This Row],[Price]]</f>
        <v>0</v>
      </c>
    </row>
    <row r="1216" spans="1:9" ht="13.5" customHeight="1" x14ac:dyDescent="0.25">
      <c r="A1216" s="28">
        <v>6295199801550</v>
      </c>
      <c r="B1216" s="29" t="s">
        <v>2430</v>
      </c>
      <c r="C1216" s="30" t="s">
        <v>19</v>
      </c>
      <c r="D1216" s="31" t="s">
        <v>2431</v>
      </c>
      <c r="E1216" s="51">
        <v>35</v>
      </c>
      <c r="F1216" s="32" t="s">
        <v>15</v>
      </c>
      <c r="G1216" s="32" t="s">
        <v>6457</v>
      </c>
      <c r="H1216" s="12"/>
      <c r="I1216" s="11">
        <f>Table1[[#This Row],[Qty]]*Table1[[#This Row],[Price]]</f>
        <v>0</v>
      </c>
    </row>
    <row r="1217" spans="1:9" ht="13.5" customHeight="1" x14ac:dyDescent="0.25">
      <c r="A1217" s="28">
        <v>6294015175417</v>
      </c>
      <c r="B1217" s="29" t="s">
        <v>2444</v>
      </c>
      <c r="C1217" s="30" t="s">
        <v>19</v>
      </c>
      <c r="D1217" s="31" t="s">
        <v>2445</v>
      </c>
      <c r="E1217" s="51">
        <v>15.13</v>
      </c>
      <c r="F1217" s="32" t="s">
        <v>15</v>
      </c>
      <c r="G1217" s="32" t="s">
        <v>6464</v>
      </c>
      <c r="H1217" s="22"/>
      <c r="I1217" s="11">
        <f>Table1[[#This Row],[Qty]]*Table1[[#This Row],[Price]]</f>
        <v>0</v>
      </c>
    </row>
    <row r="1218" spans="1:9" ht="13.5" customHeight="1" x14ac:dyDescent="0.25">
      <c r="A1218" s="28">
        <v>6294015190663</v>
      </c>
      <c r="B1218" s="29" t="s">
        <v>2468</v>
      </c>
      <c r="C1218" s="30" t="s">
        <v>19</v>
      </c>
      <c r="D1218" s="31" t="s">
        <v>2469</v>
      </c>
      <c r="E1218" s="51">
        <v>5.35</v>
      </c>
      <c r="F1218" s="32" t="s">
        <v>15</v>
      </c>
      <c r="G1218" s="32" t="s">
        <v>6476</v>
      </c>
      <c r="H1218" s="12"/>
      <c r="I1218" s="11">
        <f>Table1[[#This Row],[Qty]]*Table1[[#This Row],[Price]]</f>
        <v>0</v>
      </c>
    </row>
    <row r="1219" spans="1:9" ht="13.5" customHeight="1" x14ac:dyDescent="0.25">
      <c r="A1219" s="28">
        <v>6295199800294</v>
      </c>
      <c r="B1219" s="29" t="s">
        <v>2470</v>
      </c>
      <c r="C1219" s="30" t="s">
        <v>19</v>
      </c>
      <c r="D1219" s="31" t="s">
        <v>2471</v>
      </c>
      <c r="E1219" s="51">
        <v>5</v>
      </c>
      <c r="F1219" s="32" t="s">
        <v>15</v>
      </c>
      <c r="G1219" s="32" t="s">
        <v>6477</v>
      </c>
      <c r="H1219" s="12"/>
      <c r="I1219" s="11">
        <f>Table1[[#This Row],[Qty]]*Table1[[#This Row],[Price]]</f>
        <v>0</v>
      </c>
    </row>
    <row r="1220" spans="1:9" ht="13.5" customHeight="1" x14ac:dyDescent="0.25">
      <c r="A1220" s="48">
        <v>6294015102413</v>
      </c>
      <c r="B1220" s="41" t="s">
        <v>2484</v>
      </c>
      <c r="C1220" s="6" t="s">
        <v>19</v>
      </c>
      <c r="D1220" t="s">
        <v>2485</v>
      </c>
      <c r="E1220" s="47">
        <v>5.35</v>
      </c>
      <c r="F1220" s="6" t="s">
        <v>15</v>
      </c>
      <c r="G1220" s="6" t="s">
        <v>6484</v>
      </c>
      <c r="H1220" s="22"/>
      <c r="I1220" s="11">
        <f>Table1[[#This Row],[Qty]]*Table1[[#This Row],[Price]]</f>
        <v>0</v>
      </c>
    </row>
    <row r="1221" spans="1:9" ht="13.5" customHeight="1" x14ac:dyDescent="0.25">
      <c r="A1221" s="28">
        <v>6085010094342</v>
      </c>
      <c r="B1221" s="29" t="s">
        <v>2486</v>
      </c>
      <c r="C1221" s="30" t="s">
        <v>19</v>
      </c>
      <c r="D1221" s="31" t="s">
        <v>2487</v>
      </c>
      <c r="E1221" s="51">
        <v>5.35</v>
      </c>
      <c r="F1221" s="32" t="s">
        <v>15</v>
      </c>
      <c r="G1221" s="32" t="s">
        <v>6485</v>
      </c>
      <c r="H1221" s="22"/>
      <c r="I1221" s="11">
        <f>Table1[[#This Row],[Qty]]*Table1[[#This Row],[Price]]</f>
        <v>0</v>
      </c>
    </row>
    <row r="1222" spans="1:9" ht="13.5" customHeight="1" x14ac:dyDescent="0.25">
      <c r="A1222" s="28">
        <v>6294015190700</v>
      </c>
      <c r="B1222" s="29" t="s">
        <v>2488</v>
      </c>
      <c r="C1222" s="30" t="s">
        <v>19</v>
      </c>
      <c r="D1222" s="31" t="s">
        <v>2489</v>
      </c>
      <c r="E1222" s="51">
        <v>5.25</v>
      </c>
      <c r="F1222" s="32" t="s">
        <v>15</v>
      </c>
      <c r="G1222" s="32" t="s">
        <v>6486</v>
      </c>
      <c r="H1222" s="22"/>
      <c r="I1222" s="11">
        <f>Table1[[#This Row],[Qty]]*Table1[[#This Row],[Price]]</f>
        <v>0</v>
      </c>
    </row>
    <row r="1223" spans="1:9" ht="13.5" customHeight="1" x14ac:dyDescent="0.25">
      <c r="A1223" s="48">
        <v>6294015190670</v>
      </c>
      <c r="B1223" s="41" t="s">
        <v>2490</v>
      </c>
      <c r="C1223" s="6" t="s">
        <v>19</v>
      </c>
      <c r="D1223" t="s">
        <v>2491</v>
      </c>
      <c r="E1223" s="47">
        <v>5</v>
      </c>
      <c r="F1223" s="6" t="s">
        <v>15</v>
      </c>
      <c r="G1223" s="6" t="s">
        <v>6487</v>
      </c>
      <c r="H1223" s="22"/>
      <c r="I1223" s="11">
        <f>Table1[[#This Row],[Qty]]*Table1[[#This Row],[Price]]</f>
        <v>0</v>
      </c>
    </row>
    <row r="1224" spans="1:9" ht="13.5" customHeight="1" x14ac:dyDescent="0.25">
      <c r="A1224" s="28">
        <v>6294015190649</v>
      </c>
      <c r="B1224" s="29" t="s">
        <v>2492</v>
      </c>
      <c r="C1224" s="33" t="s">
        <v>19</v>
      </c>
      <c r="D1224" s="31" t="s">
        <v>2493</v>
      </c>
      <c r="E1224" s="51">
        <v>4.5</v>
      </c>
      <c r="F1224" s="32" t="s">
        <v>15</v>
      </c>
      <c r="G1224" s="32" t="s">
        <v>6488</v>
      </c>
      <c r="H1224" s="22"/>
      <c r="I1224" s="11">
        <f>Table1[[#This Row],[Qty]]*Table1[[#This Row],[Price]]</f>
        <v>0</v>
      </c>
    </row>
    <row r="1225" spans="1:9" ht="13.5" customHeight="1" x14ac:dyDescent="0.25">
      <c r="A1225" s="28">
        <v>6294015155648</v>
      </c>
      <c r="B1225" s="29" t="s">
        <v>2508</v>
      </c>
      <c r="C1225" s="30" t="s">
        <v>19</v>
      </c>
      <c r="D1225" s="31" t="s">
        <v>2509</v>
      </c>
      <c r="E1225" s="51">
        <v>22.36</v>
      </c>
      <c r="F1225" s="32" t="s">
        <v>15</v>
      </c>
      <c r="G1225" s="32" t="s">
        <v>6496</v>
      </c>
      <c r="H1225" s="22"/>
      <c r="I1225" s="11">
        <f>Table1[[#This Row],[Qty]]*Table1[[#This Row],[Price]]</f>
        <v>0</v>
      </c>
    </row>
    <row r="1226" spans="1:9" ht="13.5" customHeight="1" x14ac:dyDescent="0.25">
      <c r="A1226" s="28">
        <v>6295199809266</v>
      </c>
      <c r="B1226" s="29" t="s">
        <v>2530</v>
      </c>
      <c r="C1226" s="30" t="s">
        <v>19</v>
      </c>
      <c r="D1226" s="31" t="s">
        <v>2531</v>
      </c>
      <c r="E1226" s="51">
        <v>37.03</v>
      </c>
      <c r="F1226" s="32" t="s">
        <v>15</v>
      </c>
      <c r="G1226" s="32">
        <v>0</v>
      </c>
      <c r="H1226" s="12"/>
      <c r="I1226" s="11">
        <f>Table1[[#This Row],[Qty]]*Table1[[#This Row],[Price]]</f>
        <v>0</v>
      </c>
    </row>
    <row r="1227" spans="1:9" ht="13.5" customHeight="1" x14ac:dyDescent="0.25">
      <c r="A1227" s="28">
        <v>6295199810385</v>
      </c>
      <c r="B1227" s="29" t="s">
        <v>2550</v>
      </c>
      <c r="C1227" s="30" t="s">
        <v>19</v>
      </c>
      <c r="D1227" s="31" t="s">
        <v>2551</v>
      </c>
      <c r="E1227" s="51">
        <v>22.5</v>
      </c>
      <c r="F1227" s="32" t="s">
        <v>15</v>
      </c>
      <c r="G1227" s="32" t="s">
        <v>6514</v>
      </c>
      <c r="H1227" s="22"/>
      <c r="I1227" s="11">
        <f>Table1[[#This Row],[Qty]]*Table1[[#This Row],[Price]]</f>
        <v>0</v>
      </c>
    </row>
    <row r="1228" spans="1:9" ht="13.5" customHeight="1" x14ac:dyDescent="0.25">
      <c r="A1228" s="28">
        <v>6295199804148</v>
      </c>
      <c r="B1228" s="29" t="s">
        <v>2619</v>
      </c>
      <c r="C1228" s="30" t="s">
        <v>19</v>
      </c>
      <c r="D1228" s="31" t="s">
        <v>2620</v>
      </c>
      <c r="E1228" s="51">
        <v>30.01</v>
      </c>
      <c r="F1228" s="32" t="s">
        <v>15</v>
      </c>
      <c r="G1228" s="32">
        <v>0</v>
      </c>
      <c r="H1228" s="22"/>
      <c r="I1228" s="11">
        <f>Table1[[#This Row],[Qty]]*Table1[[#This Row],[Price]]</f>
        <v>0</v>
      </c>
    </row>
    <row r="1229" spans="1:9" ht="13.5" customHeight="1" x14ac:dyDescent="0.25">
      <c r="A1229" s="28">
        <v>6295199809242</v>
      </c>
      <c r="B1229" s="29" t="s">
        <v>2621</v>
      </c>
      <c r="C1229" s="30" t="s">
        <v>19</v>
      </c>
      <c r="D1229" s="31" t="s">
        <v>2622</v>
      </c>
      <c r="E1229" s="51">
        <v>39</v>
      </c>
      <c r="F1229" s="32" t="s">
        <v>15</v>
      </c>
      <c r="G1229" s="32" t="s">
        <v>6542</v>
      </c>
      <c r="H1229" s="12"/>
      <c r="I1229" s="11">
        <f>Table1[[#This Row],[Qty]]*Table1[[#This Row],[Price]]</f>
        <v>0</v>
      </c>
    </row>
    <row r="1230" spans="1:9" ht="13.5" customHeight="1" x14ac:dyDescent="0.25">
      <c r="A1230" s="28">
        <v>6295199815113</v>
      </c>
      <c r="B1230" s="29" t="s">
        <v>2625</v>
      </c>
      <c r="C1230" s="30" t="s">
        <v>19</v>
      </c>
      <c r="D1230" s="31" t="s">
        <v>2626</v>
      </c>
      <c r="E1230" s="51">
        <v>27.18</v>
      </c>
      <c r="F1230" s="32" t="s">
        <v>15</v>
      </c>
      <c r="G1230" s="32" t="s">
        <v>6544</v>
      </c>
      <c r="H1230" s="14"/>
      <c r="I1230" s="11">
        <f>Table1[[#This Row],[Qty]]*Table1[[#This Row],[Price]]</f>
        <v>0</v>
      </c>
    </row>
    <row r="1231" spans="1:9" ht="13.5" customHeight="1" x14ac:dyDescent="0.25">
      <c r="A1231" s="28">
        <v>6294015199383</v>
      </c>
      <c r="B1231" s="29" t="s">
        <v>2639</v>
      </c>
      <c r="C1231" s="30" t="s">
        <v>19</v>
      </c>
      <c r="D1231" s="31" t="s">
        <v>2640</v>
      </c>
      <c r="E1231" s="51">
        <v>33</v>
      </c>
      <c r="F1231" s="32" t="s">
        <v>15</v>
      </c>
      <c r="G1231" s="32" t="s">
        <v>6551</v>
      </c>
      <c r="H1231" s="12"/>
      <c r="I1231" s="11">
        <f>Table1[[#This Row],[Qty]]*Table1[[#This Row],[Price]]</f>
        <v>0</v>
      </c>
    </row>
    <row r="1232" spans="1:9" ht="13.5" customHeight="1" x14ac:dyDescent="0.25">
      <c r="A1232" s="28">
        <v>6294015199390</v>
      </c>
      <c r="B1232" s="29" t="s">
        <v>2641</v>
      </c>
      <c r="C1232" s="33" t="s">
        <v>19</v>
      </c>
      <c r="D1232" s="31" t="s">
        <v>2642</v>
      </c>
      <c r="E1232" s="51">
        <v>33</v>
      </c>
      <c r="F1232" s="32" t="s">
        <v>15</v>
      </c>
      <c r="G1232" s="32" t="s">
        <v>6552</v>
      </c>
      <c r="H1232" s="22"/>
      <c r="I1232" s="11">
        <f>Table1[[#This Row],[Qty]]*Table1[[#This Row],[Price]]</f>
        <v>0</v>
      </c>
    </row>
    <row r="1233" spans="1:9" ht="13.5" customHeight="1" x14ac:dyDescent="0.25">
      <c r="A1233" s="28">
        <v>6294015175400</v>
      </c>
      <c r="B1233" s="29" t="s">
        <v>2713</v>
      </c>
      <c r="C1233" s="30" t="s">
        <v>19</v>
      </c>
      <c r="D1233" s="31" t="s">
        <v>2714</v>
      </c>
      <c r="E1233" s="51">
        <v>37.5</v>
      </c>
      <c r="F1233" s="32" t="s">
        <v>15</v>
      </c>
      <c r="G1233" s="32" t="s">
        <v>6584</v>
      </c>
      <c r="H1233" s="22"/>
      <c r="I1233" s="11">
        <f>Table1[[#This Row],[Qty]]*Table1[[#This Row],[Price]]</f>
        <v>0</v>
      </c>
    </row>
    <row r="1234" spans="1:9" ht="13.5" customHeight="1" x14ac:dyDescent="0.25">
      <c r="A1234" s="28">
        <v>6294015164374</v>
      </c>
      <c r="B1234" s="29" t="s">
        <v>2871</v>
      </c>
      <c r="C1234" s="30" t="s">
        <v>19</v>
      </c>
      <c r="D1234" s="31" t="s">
        <v>2872</v>
      </c>
      <c r="E1234" s="51">
        <v>21.5</v>
      </c>
      <c r="F1234" s="32" t="s">
        <v>15</v>
      </c>
      <c r="G1234" s="32">
        <v>0</v>
      </c>
      <c r="H1234" s="22"/>
      <c r="I1234" s="11">
        <f>Table1[[#This Row],[Qty]]*Table1[[#This Row],[Price]]</f>
        <v>0</v>
      </c>
    </row>
    <row r="1235" spans="1:9" ht="13.5" customHeight="1" x14ac:dyDescent="0.25">
      <c r="A1235" s="28">
        <v>6294015186130</v>
      </c>
      <c r="B1235" s="29" t="s">
        <v>3152</v>
      </c>
      <c r="C1235" s="30" t="s">
        <v>19</v>
      </c>
      <c r="D1235" s="31" t="s">
        <v>3153</v>
      </c>
      <c r="E1235" s="51">
        <v>25.57</v>
      </c>
      <c r="F1235" s="32" t="s">
        <v>15</v>
      </c>
      <c r="G1235" s="32" t="s">
        <v>7461</v>
      </c>
      <c r="H1235" s="14"/>
      <c r="I1235" s="11">
        <f>Table1[[#This Row],[Qty]]*Table1[[#This Row],[Price]]</f>
        <v>0</v>
      </c>
    </row>
    <row r="1236" spans="1:9" ht="13.5" customHeight="1" x14ac:dyDescent="0.25">
      <c r="A1236" s="48">
        <v>6295199815236</v>
      </c>
      <c r="B1236" s="41" t="s">
        <v>3162</v>
      </c>
      <c r="C1236" s="6" t="s">
        <v>19</v>
      </c>
      <c r="D1236" t="s">
        <v>3163</v>
      </c>
      <c r="E1236" s="47">
        <v>29.02</v>
      </c>
      <c r="F1236" s="6" t="s">
        <v>15</v>
      </c>
      <c r="G1236" s="6" t="s">
        <v>6720</v>
      </c>
      <c r="H1236" s="22"/>
      <c r="I1236" s="11">
        <f>Table1[[#This Row],[Qty]]*Table1[[#This Row],[Price]]</f>
        <v>0</v>
      </c>
    </row>
    <row r="1237" spans="1:9" ht="13.5" customHeight="1" x14ac:dyDescent="0.25">
      <c r="A1237" s="28">
        <v>6295199805657</v>
      </c>
      <c r="B1237" s="29" t="s">
        <v>3188</v>
      </c>
      <c r="C1237" s="30" t="s">
        <v>19</v>
      </c>
      <c r="D1237" s="31" t="s">
        <v>3189</v>
      </c>
      <c r="E1237" s="51">
        <v>16.09</v>
      </c>
      <c r="F1237" s="32" t="s">
        <v>15</v>
      </c>
      <c r="G1237" s="32" t="s">
        <v>6731</v>
      </c>
      <c r="H1237" s="14"/>
      <c r="I1237" s="11">
        <f>Table1[[#This Row],[Qty]]*Table1[[#This Row],[Price]]</f>
        <v>0</v>
      </c>
    </row>
    <row r="1238" spans="1:9" ht="13.5" customHeight="1" x14ac:dyDescent="0.25">
      <c r="A1238" s="28">
        <v>6295199815151</v>
      </c>
      <c r="B1238" s="29" t="s">
        <v>3190</v>
      </c>
      <c r="C1238" s="30" t="s">
        <v>19</v>
      </c>
      <c r="D1238" s="31" t="s">
        <v>3191</v>
      </c>
      <c r="E1238" s="51">
        <v>32.5</v>
      </c>
      <c r="F1238" s="32" t="s">
        <v>15</v>
      </c>
      <c r="G1238" s="32" t="s">
        <v>6732</v>
      </c>
      <c r="H1238" s="22"/>
      <c r="I1238" s="11">
        <f>Table1[[#This Row],[Qty]]*Table1[[#This Row],[Price]]</f>
        <v>0</v>
      </c>
    </row>
    <row r="1239" spans="1:9" ht="13.5" customHeight="1" x14ac:dyDescent="0.25">
      <c r="A1239" s="28">
        <v>6294015161502</v>
      </c>
      <c r="B1239" s="29" t="s">
        <v>3192</v>
      </c>
      <c r="C1239" s="30" t="s">
        <v>19</v>
      </c>
      <c r="D1239" s="31" t="s">
        <v>3193</v>
      </c>
      <c r="E1239" s="51">
        <v>13.5</v>
      </c>
      <c r="F1239" s="32" t="s">
        <v>15</v>
      </c>
      <c r="G1239" s="32" t="s">
        <v>6733</v>
      </c>
      <c r="H1239" s="22"/>
      <c r="I1239" s="11">
        <f>Table1[[#This Row],[Qty]]*Table1[[#This Row],[Price]]</f>
        <v>0</v>
      </c>
    </row>
    <row r="1240" spans="1:9" ht="13.5" customHeight="1" x14ac:dyDescent="0.25">
      <c r="A1240" s="28">
        <v>6295199818459</v>
      </c>
      <c r="B1240" s="29" t="s">
        <v>3285</v>
      </c>
      <c r="C1240" s="30" t="s">
        <v>19</v>
      </c>
      <c r="D1240" s="31" t="s">
        <v>3286</v>
      </c>
      <c r="E1240" s="51">
        <v>30.17</v>
      </c>
      <c r="F1240" s="32" t="s">
        <v>15</v>
      </c>
      <c r="G1240" s="32" t="s">
        <v>6774</v>
      </c>
      <c r="H1240" s="12"/>
      <c r="I1240" s="11">
        <f>Table1[[#This Row],[Qty]]*Table1[[#This Row],[Price]]</f>
        <v>0</v>
      </c>
    </row>
    <row r="1241" spans="1:9" ht="13.5" customHeight="1" x14ac:dyDescent="0.25">
      <c r="A1241" s="28">
        <v>6294015176094</v>
      </c>
      <c r="B1241" s="29" t="s">
        <v>3287</v>
      </c>
      <c r="C1241" s="30" t="s">
        <v>19</v>
      </c>
      <c r="D1241" s="31" t="s">
        <v>3288</v>
      </c>
      <c r="E1241" s="51">
        <v>30.5</v>
      </c>
      <c r="F1241" s="32" t="s">
        <v>15</v>
      </c>
      <c r="G1241" s="32" t="s">
        <v>6775</v>
      </c>
      <c r="H1241" s="12"/>
      <c r="I1241" s="11">
        <f>Table1[[#This Row],[Qty]]*Table1[[#This Row],[Price]]</f>
        <v>0</v>
      </c>
    </row>
    <row r="1242" spans="1:9" ht="13.5" customHeight="1" x14ac:dyDescent="0.25">
      <c r="A1242" s="28">
        <v>6085010091037</v>
      </c>
      <c r="B1242" s="29" t="s">
        <v>3289</v>
      </c>
      <c r="C1242" s="30" t="s">
        <v>19</v>
      </c>
      <c r="D1242" s="31" t="s">
        <v>3290</v>
      </c>
      <c r="E1242" s="51">
        <v>23.5</v>
      </c>
      <c r="F1242" s="32" t="s">
        <v>15</v>
      </c>
      <c r="G1242" s="32" t="s">
        <v>6776</v>
      </c>
      <c r="H1242" s="14"/>
      <c r="I1242" s="11">
        <f>Table1[[#This Row],[Qty]]*Table1[[#This Row],[Price]]</f>
        <v>0</v>
      </c>
    </row>
    <row r="1243" spans="1:9" ht="13.5" customHeight="1" x14ac:dyDescent="0.25">
      <c r="A1243" s="28">
        <v>6295199814918</v>
      </c>
      <c r="B1243" s="29" t="s">
        <v>3388</v>
      </c>
      <c r="C1243" s="30" t="s">
        <v>19</v>
      </c>
      <c r="D1243" s="31" t="s">
        <v>3389</v>
      </c>
      <c r="E1243" s="51">
        <v>32.06</v>
      </c>
      <c r="F1243" s="32" t="s">
        <v>15</v>
      </c>
      <c r="G1243" s="32" t="s">
        <v>6821</v>
      </c>
      <c r="H1243" s="12"/>
      <c r="I1243" s="11">
        <f>Table1[[#This Row],[Qty]]*Table1[[#This Row],[Price]]</f>
        <v>0</v>
      </c>
    </row>
    <row r="1244" spans="1:9" ht="13.5" customHeight="1" x14ac:dyDescent="0.25">
      <c r="A1244" s="28">
        <v>6295199815823</v>
      </c>
      <c r="B1244" s="29" t="s">
        <v>3600</v>
      </c>
      <c r="C1244" s="30" t="s">
        <v>19</v>
      </c>
      <c r="D1244" s="31" t="s">
        <v>3601</v>
      </c>
      <c r="E1244" s="51">
        <v>25.41</v>
      </c>
      <c r="F1244" s="32" t="s">
        <v>15</v>
      </c>
      <c r="G1244" s="32" t="s">
        <v>6926</v>
      </c>
      <c r="H1244" s="14"/>
      <c r="I1244" s="11">
        <f>Table1[[#This Row],[Qty]]*Table1[[#This Row],[Price]]</f>
        <v>0</v>
      </c>
    </row>
    <row r="1245" spans="1:9" ht="13.5" customHeight="1" x14ac:dyDescent="0.25">
      <c r="A1245" s="28">
        <v>6295199818855</v>
      </c>
      <c r="B1245" s="29" t="s">
        <v>5550</v>
      </c>
      <c r="C1245" s="30" t="s">
        <v>19</v>
      </c>
      <c r="D1245" s="31" t="s">
        <v>5551</v>
      </c>
      <c r="E1245" s="51">
        <v>30.7</v>
      </c>
      <c r="F1245" s="32" t="s">
        <v>15</v>
      </c>
      <c r="G1245" s="32" t="s">
        <v>7470</v>
      </c>
      <c r="H1245" s="12"/>
      <c r="I1245" s="11">
        <f>Table1[[#This Row],[Qty]]*Table1[[#This Row],[Price]]</f>
        <v>0</v>
      </c>
    </row>
    <row r="1246" spans="1:9" ht="13.5" customHeight="1" x14ac:dyDescent="0.25">
      <c r="A1246" s="28">
        <v>6294015189629</v>
      </c>
      <c r="B1246" s="29" t="s">
        <v>3728</v>
      </c>
      <c r="C1246" s="30" t="s">
        <v>19</v>
      </c>
      <c r="D1246" s="31" t="s">
        <v>3729</v>
      </c>
      <c r="E1246" s="51">
        <v>12</v>
      </c>
      <c r="F1246" s="32" t="s">
        <v>15</v>
      </c>
      <c r="G1246" s="32" t="s">
        <v>7036</v>
      </c>
      <c r="H1246" s="22"/>
      <c r="I1246" s="11">
        <f>Table1[[#This Row],[Qty]]*Table1[[#This Row],[Price]]</f>
        <v>0</v>
      </c>
    </row>
    <row r="1247" spans="1:9" ht="13.5" customHeight="1" x14ac:dyDescent="0.25">
      <c r="A1247" s="28">
        <v>6085010041742</v>
      </c>
      <c r="B1247" s="29" t="s">
        <v>3758</v>
      </c>
      <c r="C1247" s="30" t="s">
        <v>19</v>
      </c>
      <c r="D1247" s="31" t="s">
        <v>3759</v>
      </c>
      <c r="E1247" s="51">
        <v>12.5</v>
      </c>
      <c r="F1247" s="32" t="s">
        <v>15</v>
      </c>
      <c r="G1247" s="32" t="s">
        <v>7051</v>
      </c>
      <c r="H1247" s="12"/>
      <c r="I1247" s="11">
        <f>Table1[[#This Row],[Qty]]*Table1[[#This Row],[Price]]</f>
        <v>0</v>
      </c>
    </row>
    <row r="1248" spans="1:9" ht="13.5" customHeight="1" x14ac:dyDescent="0.25">
      <c r="A1248" s="28">
        <v>6294015190694</v>
      </c>
      <c r="B1248" s="29" t="s">
        <v>3826</v>
      </c>
      <c r="C1248" s="30" t="s">
        <v>19</v>
      </c>
      <c r="D1248" s="31" t="s">
        <v>3827</v>
      </c>
      <c r="E1248" s="51">
        <v>3</v>
      </c>
      <c r="F1248" s="32" t="s">
        <v>15</v>
      </c>
      <c r="G1248" s="32" t="s">
        <v>7084</v>
      </c>
      <c r="H1248" s="12"/>
      <c r="I1248" s="11">
        <f>Table1[[#This Row],[Qty]]*Table1[[#This Row],[Price]]</f>
        <v>0</v>
      </c>
    </row>
    <row r="1249" spans="1:9" ht="13.5" customHeight="1" x14ac:dyDescent="0.25">
      <c r="A1249" s="28">
        <v>6295199801925</v>
      </c>
      <c r="B1249" s="29" t="s">
        <v>3836</v>
      </c>
      <c r="C1249" s="33" t="s">
        <v>19</v>
      </c>
      <c r="D1249" s="31" t="s">
        <v>3837</v>
      </c>
      <c r="E1249" s="51">
        <v>3.35</v>
      </c>
      <c r="F1249" s="32" t="s">
        <v>15</v>
      </c>
      <c r="G1249" s="32" t="s">
        <v>7089</v>
      </c>
      <c r="H1249" s="22"/>
      <c r="I1249" s="11">
        <f>Table1[[#This Row],[Qty]]*Table1[[#This Row],[Price]]</f>
        <v>0</v>
      </c>
    </row>
    <row r="1250" spans="1:9" ht="13.5" customHeight="1" x14ac:dyDescent="0.25">
      <c r="A1250" s="28">
        <v>6295199804193</v>
      </c>
      <c r="B1250" s="29" t="s">
        <v>3870</v>
      </c>
      <c r="C1250" s="30" t="s">
        <v>19</v>
      </c>
      <c r="D1250" s="31" t="s">
        <v>3871</v>
      </c>
      <c r="E1250" s="51">
        <v>26</v>
      </c>
      <c r="F1250" s="32" t="s">
        <v>15</v>
      </c>
      <c r="G1250" s="32">
        <v>0</v>
      </c>
      <c r="H1250" s="22"/>
      <c r="I1250" s="11">
        <f>Table1[[#This Row],[Qty]]*Table1[[#This Row],[Price]]</f>
        <v>0</v>
      </c>
    </row>
    <row r="1251" spans="1:9" ht="13.5" customHeight="1" x14ac:dyDescent="0.25">
      <c r="A1251" s="28">
        <v>6294015176131</v>
      </c>
      <c r="B1251" s="29" t="s">
        <v>3923</v>
      </c>
      <c r="C1251" s="30" t="s">
        <v>19</v>
      </c>
      <c r="D1251" s="31" t="s">
        <v>3924</v>
      </c>
      <c r="E1251" s="51">
        <v>25.31</v>
      </c>
      <c r="F1251" s="32" t="s">
        <v>15</v>
      </c>
      <c r="G1251" s="32" t="s">
        <v>7129</v>
      </c>
      <c r="H1251" s="22"/>
      <c r="I1251" s="11">
        <f>Table1[[#This Row],[Qty]]*Table1[[#This Row],[Price]]</f>
        <v>0</v>
      </c>
    </row>
    <row r="1252" spans="1:9" ht="13.5" customHeight="1" x14ac:dyDescent="0.25">
      <c r="A1252" s="28">
        <v>6294015168150</v>
      </c>
      <c r="B1252" s="29" t="s">
        <v>3939</v>
      </c>
      <c r="C1252" s="30" t="s">
        <v>19</v>
      </c>
      <c r="D1252" s="31" t="s">
        <v>3940</v>
      </c>
      <c r="E1252" s="51">
        <v>18.95</v>
      </c>
      <c r="F1252" s="32" t="s">
        <v>15</v>
      </c>
      <c r="G1252" s="32" t="s">
        <v>7136</v>
      </c>
      <c r="H1252" s="12"/>
      <c r="I1252" s="11">
        <f>Table1[[#This Row],[Qty]]*Table1[[#This Row],[Price]]</f>
        <v>0</v>
      </c>
    </row>
    <row r="1253" spans="1:9" ht="13.5" customHeight="1" x14ac:dyDescent="0.25">
      <c r="A1253" s="28">
        <v>6294015166149</v>
      </c>
      <c r="B1253" s="29" t="s">
        <v>4095</v>
      </c>
      <c r="C1253" s="30" t="s">
        <v>19</v>
      </c>
      <c r="D1253" s="31" t="s">
        <v>4096</v>
      </c>
      <c r="E1253" s="51">
        <v>13.85</v>
      </c>
      <c r="F1253" s="32" t="s">
        <v>15</v>
      </c>
      <c r="G1253" s="32" t="s">
        <v>7199</v>
      </c>
      <c r="H1253" s="22"/>
      <c r="I1253" s="11">
        <f>Table1[[#This Row],[Qty]]*Table1[[#This Row],[Price]]</f>
        <v>0</v>
      </c>
    </row>
    <row r="1254" spans="1:9" ht="13.5" customHeight="1" x14ac:dyDescent="0.25">
      <c r="A1254" s="28">
        <v>6085010091051</v>
      </c>
      <c r="B1254" s="29" t="s">
        <v>4230</v>
      </c>
      <c r="C1254" s="30" t="s">
        <v>19</v>
      </c>
      <c r="D1254" s="31" t="s">
        <v>4231</v>
      </c>
      <c r="E1254" s="51">
        <v>15.57</v>
      </c>
      <c r="F1254" s="32" t="s">
        <v>15</v>
      </c>
      <c r="G1254" s="32" t="s">
        <v>7250</v>
      </c>
      <c r="H1254" s="12"/>
      <c r="I1254" s="11">
        <f>Table1[[#This Row],[Qty]]*Table1[[#This Row],[Price]]</f>
        <v>0</v>
      </c>
    </row>
    <row r="1255" spans="1:9" ht="13.5" customHeight="1" x14ac:dyDescent="0.25">
      <c r="A1255" s="28">
        <v>6294015163971</v>
      </c>
      <c r="B1255" s="29" t="s">
        <v>5307</v>
      </c>
      <c r="C1255" s="30" t="s">
        <v>19</v>
      </c>
      <c r="D1255" s="31" t="s">
        <v>5308</v>
      </c>
      <c r="E1255" s="51">
        <v>18.649999999999999</v>
      </c>
      <c r="F1255" s="32" t="s">
        <v>15</v>
      </c>
      <c r="G1255" s="32">
        <v>0</v>
      </c>
      <c r="H1255" s="22"/>
      <c r="I1255" s="11">
        <f>Table1[[#This Row],[Qty]]*Table1[[#This Row],[Price]]</f>
        <v>0</v>
      </c>
    </row>
    <row r="1256" spans="1:9" ht="13.5" customHeight="1" x14ac:dyDescent="0.25">
      <c r="A1256" s="28">
        <v>6294015114157</v>
      </c>
      <c r="B1256" s="29" t="s">
        <v>4498</v>
      </c>
      <c r="C1256" s="30" t="s">
        <v>19</v>
      </c>
      <c r="D1256" s="31" t="s">
        <v>4499</v>
      </c>
      <c r="E1256" s="51">
        <v>18</v>
      </c>
      <c r="F1256" s="32" t="s">
        <v>15</v>
      </c>
      <c r="G1256" s="32">
        <v>0</v>
      </c>
      <c r="H1256" s="14"/>
      <c r="I1256" s="11">
        <f>Table1[[#This Row],[Qty]]*Table1[[#This Row],[Price]]</f>
        <v>0</v>
      </c>
    </row>
    <row r="1257" spans="1:9" ht="13.5" customHeight="1" x14ac:dyDescent="0.25">
      <c r="A1257" s="28">
        <v>6085010041469</v>
      </c>
      <c r="B1257" s="29" t="s">
        <v>5291</v>
      </c>
      <c r="C1257" s="33" t="s">
        <v>19</v>
      </c>
      <c r="D1257" s="31" t="s">
        <v>5292</v>
      </c>
      <c r="E1257" s="51">
        <v>16</v>
      </c>
      <c r="F1257" s="32" t="s">
        <v>15</v>
      </c>
      <c r="G1257" s="32">
        <v>0</v>
      </c>
      <c r="H1257" s="22"/>
      <c r="I1257" s="11">
        <f>Table1[[#This Row],[Qty]]*Table1[[#This Row],[Price]]</f>
        <v>0</v>
      </c>
    </row>
    <row r="1258" spans="1:9" ht="13.5" customHeight="1" x14ac:dyDescent="0.25">
      <c r="A1258" s="28">
        <v>6294015155631</v>
      </c>
      <c r="B1258" s="29" t="s">
        <v>5129</v>
      </c>
      <c r="C1258" s="30" t="s">
        <v>19</v>
      </c>
      <c r="D1258" s="31" t="s">
        <v>5130</v>
      </c>
      <c r="E1258" s="51">
        <v>14.5</v>
      </c>
      <c r="F1258" s="32" t="s">
        <v>15</v>
      </c>
      <c r="G1258" s="32">
        <v>0</v>
      </c>
      <c r="H1258" s="22"/>
      <c r="I1258" s="11">
        <f>Table1[[#This Row],[Qty]]*Table1[[#This Row],[Price]]</f>
        <v>0</v>
      </c>
    </row>
    <row r="1259" spans="1:9" ht="13.5" customHeight="1" x14ac:dyDescent="0.25">
      <c r="A1259" s="28">
        <v>6085010092065</v>
      </c>
      <c r="B1259" s="29" t="s">
        <v>4496</v>
      </c>
      <c r="C1259" s="30" t="s">
        <v>19</v>
      </c>
      <c r="D1259" s="31" t="s">
        <v>4497</v>
      </c>
      <c r="E1259" s="51">
        <v>13.95</v>
      </c>
      <c r="F1259" s="32" t="s">
        <v>15</v>
      </c>
      <c r="G1259" s="32">
        <v>0</v>
      </c>
      <c r="H1259" s="14"/>
      <c r="I1259" s="11">
        <f>Table1[[#This Row],[Qty]]*Table1[[#This Row],[Price]]</f>
        <v>0</v>
      </c>
    </row>
    <row r="1260" spans="1:9" ht="13.5" customHeight="1" x14ac:dyDescent="0.25">
      <c r="A1260" s="28">
        <v>6085010092058</v>
      </c>
      <c r="B1260" s="29" t="s">
        <v>4484</v>
      </c>
      <c r="C1260" s="30" t="s">
        <v>19</v>
      </c>
      <c r="D1260" s="31" t="s">
        <v>4485</v>
      </c>
      <c r="E1260" s="51">
        <v>13.25</v>
      </c>
      <c r="F1260" s="32" t="s">
        <v>15</v>
      </c>
      <c r="G1260" s="32">
        <v>0</v>
      </c>
      <c r="H1260" s="12"/>
      <c r="I1260" s="11">
        <f>Table1[[#This Row],[Qty]]*Table1[[#This Row],[Price]]</f>
        <v>0</v>
      </c>
    </row>
    <row r="1261" spans="1:9" ht="13.5" customHeight="1" x14ac:dyDescent="0.25">
      <c r="A1261" s="28">
        <v>6294015161519</v>
      </c>
      <c r="B1261" s="29" t="s">
        <v>5043</v>
      </c>
      <c r="C1261" s="30" t="s">
        <v>19</v>
      </c>
      <c r="D1261" s="31" t="s">
        <v>5044</v>
      </c>
      <c r="E1261" s="51">
        <v>11.5</v>
      </c>
      <c r="F1261" s="32" t="s">
        <v>15</v>
      </c>
      <c r="G1261" s="32">
        <v>0</v>
      </c>
      <c r="H1261" s="12"/>
      <c r="I1261" s="11">
        <f>Table1[[#This Row],[Qty]]*Table1[[#This Row],[Price]]</f>
        <v>0</v>
      </c>
    </row>
    <row r="1262" spans="1:9" ht="13.5" customHeight="1" x14ac:dyDescent="0.25">
      <c r="A1262" s="28">
        <v>6294015155709</v>
      </c>
      <c r="B1262" s="29" t="s">
        <v>5113</v>
      </c>
      <c r="C1262" s="30" t="s">
        <v>19</v>
      </c>
      <c r="D1262" s="31" t="s">
        <v>5114</v>
      </c>
      <c r="E1262" s="51">
        <v>9</v>
      </c>
      <c r="F1262" s="32" t="s">
        <v>15</v>
      </c>
      <c r="G1262" s="32">
        <v>0</v>
      </c>
      <c r="H1262" s="12"/>
      <c r="I1262" s="11">
        <f>Table1[[#This Row],[Qty]]*Table1[[#This Row],[Price]]</f>
        <v>0</v>
      </c>
    </row>
    <row r="1263" spans="1:9" ht="13.5" customHeight="1" x14ac:dyDescent="0.25">
      <c r="A1263" s="28">
        <v>6290360590868</v>
      </c>
      <c r="B1263" s="29" t="s">
        <v>747</v>
      </c>
      <c r="C1263" s="30" t="s">
        <v>694</v>
      </c>
      <c r="D1263" s="31" t="s">
        <v>748</v>
      </c>
      <c r="E1263" s="51">
        <v>11.94</v>
      </c>
      <c r="F1263" s="32" t="s">
        <v>15</v>
      </c>
      <c r="G1263" s="32" t="s">
        <v>5971</v>
      </c>
      <c r="H1263" s="22"/>
      <c r="I1263" s="11">
        <f>Table1[[#This Row],[Qty]]*Table1[[#This Row],[Price]]</f>
        <v>0</v>
      </c>
    </row>
    <row r="1264" spans="1:9" ht="13.5" customHeight="1" x14ac:dyDescent="0.25">
      <c r="A1264" s="28">
        <v>6290360591858</v>
      </c>
      <c r="B1264" s="29" t="s">
        <v>1846</v>
      </c>
      <c r="C1264" s="30" t="s">
        <v>694</v>
      </c>
      <c r="D1264" s="31" t="s">
        <v>1847</v>
      </c>
      <c r="E1264" s="51">
        <v>18.25</v>
      </c>
      <c r="F1264" s="32" t="s">
        <v>15</v>
      </c>
      <c r="G1264" s="32">
        <v>0</v>
      </c>
      <c r="H1264" s="22"/>
      <c r="I1264" s="11">
        <f>Table1[[#This Row],[Qty]]*Table1[[#This Row],[Price]]</f>
        <v>0</v>
      </c>
    </row>
    <row r="1265" spans="1:9" ht="13.5" customHeight="1" x14ac:dyDescent="0.25">
      <c r="A1265" s="28">
        <v>6291106068245</v>
      </c>
      <c r="B1265" s="29" t="s">
        <v>4610</v>
      </c>
      <c r="C1265" s="30" t="s">
        <v>4611</v>
      </c>
      <c r="D1265" s="31" t="s">
        <v>4612</v>
      </c>
      <c r="E1265" s="51">
        <v>12.5</v>
      </c>
      <c r="F1265" s="32" t="s">
        <v>15</v>
      </c>
      <c r="G1265" s="32"/>
      <c r="H1265" s="22"/>
      <c r="I1265" s="11">
        <f>Table1[[#This Row],[Qty]]*Table1[[#This Row],[Price]]</f>
        <v>0</v>
      </c>
    </row>
    <row r="1266" spans="1:9" ht="13.5" customHeight="1" x14ac:dyDescent="0.25">
      <c r="A1266" s="28">
        <v>6291106068221</v>
      </c>
      <c r="B1266" s="29" t="s">
        <v>4613</v>
      </c>
      <c r="C1266" s="30" t="s">
        <v>4611</v>
      </c>
      <c r="D1266" s="31" t="s">
        <v>4614</v>
      </c>
      <c r="E1266" s="51">
        <v>12.5</v>
      </c>
      <c r="F1266" s="32" t="s">
        <v>15</v>
      </c>
      <c r="G1266" s="32"/>
      <c r="H1266" s="12"/>
      <c r="I1266" s="11">
        <f>Table1[[#This Row],[Qty]]*Table1[[#This Row],[Price]]</f>
        <v>0</v>
      </c>
    </row>
    <row r="1267" spans="1:9" ht="13.5" customHeight="1" x14ac:dyDescent="0.25">
      <c r="A1267" s="28">
        <v>6290360599465</v>
      </c>
      <c r="B1267" s="29" t="s">
        <v>5018</v>
      </c>
      <c r="C1267" s="30" t="s">
        <v>4611</v>
      </c>
      <c r="D1267" s="31" t="s">
        <v>5019</v>
      </c>
      <c r="E1267" s="51">
        <v>12</v>
      </c>
      <c r="F1267" s="32" t="s">
        <v>15</v>
      </c>
      <c r="G1267" s="32"/>
      <c r="H1267" s="12"/>
      <c r="I1267" s="11">
        <f>Table1[[#This Row],[Qty]]*Table1[[#This Row],[Price]]</f>
        <v>0</v>
      </c>
    </row>
    <row r="1268" spans="1:9" ht="13.5" customHeight="1" x14ac:dyDescent="0.25">
      <c r="A1268" s="28">
        <v>6291108730355</v>
      </c>
      <c r="B1268" s="29" t="s">
        <v>5106</v>
      </c>
      <c r="C1268" s="30" t="s">
        <v>4611</v>
      </c>
      <c r="D1268" s="31" t="s">
        <v>5107</v>
      </c>
      <c r="E1268" s="51">
        <v>11</v>
      </c>
      <c r="F1268" s="32" t="s">
        <v>15</v>
      </c>
      <c r="G1268" s="32"/>
      <c r="H1268" s="22"/>
      <c r="I1268" s="11">
        <f>Table1[[#This Row],[Qty]]*Table1[[#This Row],[Price]]</f>
        <v>0</v>
      </c>
    </row>
    <row r="1269" spans="1:9" ht="13.5" customHeight="1" x14ac:dyDescent="0.25">
      <c r="A1269" s="28">
        <v>6291108735824</v>
      </c>
      <c r="B1269" s="29" t="s">
        <v>4925</v>
      </c>
      <c r="C1269" s="33" t="s">
        <v>4611</v>
      </c>
      <c r="D1269" s="31" t="s">
        <v>4926</v>
      </c>
      <c r="E1269" s="51">
        <v>4.5</v>
      </c>
      <c r="F1269" s="32" t="s">
        <v>15</v>
      </c>
      <c r="G1269" s="32"/>
      <c r="H1269" s="22"/>
      <c r="I1269" s="11">
        <f>Table1[[#This Row],[Qty]]*Table1[[#This Row],[Price]]</f>
        <v>0</v>
      </c>
    </row>
    <row r="1270" spans="1:9" ht="13.5" customHeight="1" x14ac:dyDescent="0.25">
      <c r="A1270" s="28">
        <v>850051296323</v>
      </c>
      <c r="B1270" s="29" t="s">
        <v>2360</v>
      </c>
      <c r="C1270" s="30" t="s">
        <v>2361</v>
      </c>
      <c r="D1270" s="31" t="s">
        <v>2362</v>
      </c>
      <c r="E1270" s="51">
        <v>18</v>
      </c>
      <c r="F1270" s="32" t="s">
        <v>15</v>
      </c>
      <c r="G1270" s="32" t="s">
        <v>6427</v>
      </c>
      <c r="H1270" s="22"/>
      <c r="I1270" s="11">
        <f>Table1[[#This Row],[Qty]]*Table1[[#This Row],[Price]]</f>
        <v>0</v>
      </c>
    </row>
    <row r="1271" spans="1:9" ht="13.5" customHeight="1" x14ac:dyDescent="0.25">
      <c r="A1271" s="28">
        <v>850051296017</v>
      </c>
      <c r="B1271" s="29" t="s">
        <v>2858</v>
      </c>
      <c r="C1271" s="30" t="s">
        <v>2361</v>
      </c>
      <c r="D1271" s="31" t="s">
        <v>2859</v>
      </c>
      <c r="E1271" s="51">
        <v>19.5</v>
      </c>
      <c r="F1271" s="32" t="s">
        <v>15</v>
      </c>
      <c r="G1271" s="32" t="s">
        <v>6631</v>
      </c>
      <c r="H1271" s="14"/>
      <c r="I1271" s="11">
        <f>Table1[[#This Row],[Qty]]*Table1[[#This Row],[Price]]</f>
        <v>0</v>
      </c>
    </row>
    <row r="1272" spans="1:9" ht="13.5" customHeight="1" x14ac:dyDescent="0.25">
      <c r="A1272" s="28">
        <v>850051296057</v>
      </c>
      <c r="B1272" s="29" t="s">
        <v>2860</v>
      </c>
      <c r="C1272" s="30" t="s">
        <v>2361</v>
      </c>
      <c r="D1272" s="31" t="s">
        <v>2861</v>
      </c>
      <c r="E1272" s="51">
        <v>19.5</v>
      </c>
      <c r="F1272" s="32" t="s">
        <v>15</v>
      </c>
      <c r="G1272" s="32" t="s">
        <v>6632</v>
      </c>
      <c r="H1272" s="22"/>
      <c r="I1272" s="11">
        <f>Table1[[#This Row],[Qty]]*Table1[[#This Row],[Price]]</f>
        <v>0</v>
      </c>
    </row>
    <row r="1273" spans="1:9" ht="13.5" customHeight="1" x14ac:dyDescent="0.25">
      <c r="A1273" s="28">
        <v>850051296064</v>
      </c>
      <c r="B1273" s="29" t="s">
        <v>2862</v>
      </c>
      <c r="C1273" s="30" t="s">
        <v>2361</v>
      </c>
      <c r="D1273" s="31" t="s">
        <v>2863</v>
      </c>
      <c r="E1273" s="51">
        <v>19.5</v>
      </c>
      <c r="F1273" s="32" t="s">
        <v>15</v>
      </c>
      <c r="G1273" s="32" t="s">
        <v>6633</v>
      </c>
      <c r="H1273" s="12"/>
      <c r="I1273" s="11">
        <f>Table1[[#This Row],[Qty]]*Table1[[#This Row],[Price]]</f>
        <v>0</v>
      </c>
    </row>
    <row r="1274" spans="1:9" ht="13.5" customHeight="1" x14ac:dyDescent="0.25">
      <c r="A1274" s="28">
        <v>850051296026</v>
      </c>
      <c r="B1274" s="29" t="s">
        <v>3868</v>
      </c>
      <c r="C1274" s="30" t="s">
        <v>2361</v>
      </c>
      <c r="D1274" s="31" t="s">
        <v>3869</v>
      </c>
      <c r="E1274" s="51">
        <v>12.5</v>
      </c>
      <c r="F1274" s="32" t="s">
        <v>15</v>
      </c>
      <c r="G1274" s="32" t="s">
        <v>7105</v>
      </c>
      <c r="H1274" s="22"/>
      <c r="I1274" s="11">
        <f>Table1[[#This Row],[Qty]]*Table1[[#This Row],[Price]]</f>
        <v>0</v>
      </c>
    </row>
    <row r="1275" spans="1:9" ht="13.5" customHeight="1" x14ac:dyDescent="0.25">
      <c r="A1275" s="28">
        <v>850051296286</v>
      </c>
      <c r="B1275" s="29" t="s">
        <v>4696</v>
      </c>
      <c r="C1275" s="33" t="s">
        <v>4635</v>
      </c>
      <c r="D1275" s="31" t="s">
        <v>4697</v>
      </c>
      <c r="E1275" s="51">
        <v>22.5</v>
      </c>
      <c r="F1275" s="32" t="s">
        <v>15</v>
      </c>
      <c r="G1275" s="32"/>
      <c r="H1275" s="22"/>
      <c r="I1275" s="11">
        <f>Table1[[#This Row],[Qty]]*Table1[[#This Row],[Price]]</f>
        <v>0</v>
      </c>
    </row>
    <row r="1276" spans="1:9" ht="13.5" customHeight="1" x14ac:dyDescent="0.25">
      <c r="A1276" s="28">
        <v>850051296262</v>
      </c>
      <c r="B1276" s="29" t="s">
        <v>4698</v>
      </c>
      <c r="C1276" s="30" t="s">
        <v>4635</v>
      </c>
      <c r="D1276" s="31" t="s">
        <v>4699</v>
      </c>
      <c r="E1276" s="51">
        <v>22.5</v>
      </c>
      <c r="F1276" s="32" t="s">
        <v>15</v>
      </c>
      <c r="G1276" s="32"/>
      <c r="H1276" s="12"/>
      <c r="I1276" s="11">
        <f>Table1[[#This Row],[Qty]]*Table1[[#This Row],[Price]]</f>
        <v>0</v>
      </c>
    </row>
    <row r="1277" spans="1:9" ht="13.5" customHeight="1" x14ac:dyDescent="0.25">
      <c r="A1277" s="28">
        <v>850051296071</v>
      </c>
      <c r="B1277" s="29" t="s">
        <v>4700</v>
      </c>
      <c r="C1277" s="30" t="s">
        <v>4635</v>
      </c>
      <c r="D1277" s="31" t="s">
        <v>4701</v>
      </c>
      <c r="E1277" s="51">
        <v>22.5</v>
      </c>
      <c r="F1277" s="32" t="s">
        <v>15</v>
      </c>
      <c r="G1277" s="32"/>
      <c r="H1277" s="12"/>
      <c r="I1277" s="11">
        <f>Table1[[#This Row],[Qty]]*Table1[[#This Row],[Price]]</f>
        <v>0</v>
      </c>
    </row>
    <row r="1278" spans="1:9" ht="13.5" customHeight="1" x14ac:dyDescent="0.25">
      <c r="A1278" s="28">
        <v>6297000324890</v>
      </c>
      <c r="B1278" s="29" t="s">
        <v>4690</v>
      </c>
      <c r="C1278" s="30" t="s">
        <v>4635</v>
      </c>
      <c r="D1278" s="31" t="s">
        <v>4691</v>
      </c>
      <c r="E1278" s="51">
        <v>20.5</v>
      </c>
      <c r="F1278" s="32" t="s">
        <v>15</v>
      </c>
      <c r="G1278" s="32"/>
      <c r="H1278" s="22"/>
      <c r="I1278" s="11">
        <f>Table1[[#This Row],[Qty]]*Table1[[#This Row],[Price]]</f>
        <v>0</v>
      </c>
    </row>
    <row r="1279" spans="1:9" ht="13.5" customHeight="1" x14ac:dyDescent="0.25">
      <c r="A1279" s="28">
        <v>6297000324838</v>
      </c>
      <c r="B1279" s="29" t="s">
        <v>4692</v>
      </c>
      <c r="C1279" s="30" t="s">
        <v>4635</v>
      </c>
      <c r="D1279" s="31" t="s">
        <v>4693</v>
      </c>
      <c r="E1279" s="51">
        <v>20.5</v>
      </c>
      <c r="F1279" s="32" t="s">
        <v>15</v>
      </c>
      <c r="G1279" s="32"/>
      <c r="H1279" s="12"/>
      <c r="I1279" s="11">
        <f>Table1[[#This Row],[Qty]]*Table1[[#This Row],[Price]]</f>
        <v>0</v>
      </c>
    </row>
    <row r="1280" spans="1:9" ht="13.5" customHeight="1" x14ac:dyDescent="0.25">
      <c r="A1280" s="28">
        <v>850051296330</v>
      </c>
      <c r="B1280" s="29" t="s">
        <v>4694</v>
      </c>
      <c r="C1280" s="30" t="s">
        <v>4635</v>
      </c>
      <c r="D1280" s="31" t="s">
        <v>4695</v>
      </c>
      <c r="E1280" s="51">
        <v>20.5</v>
      </c>
      <c r="F1280" s="32" t="s">
        <v>15</v>
      </c>
      <c r="G1280" s="32"/>
      <c r="H1280" s="22"/>
      <c r="I1280" s="11">
        <f>Table1[[#This Row],[Qty]]*Table1[[#This Row],[Price]]</f>
        <v>0</v>
      </c>
    </row>
    <row r="1281" spans="1:9" ht="13.5" customHeight="1" x14ac:dyDescent="0.25">
      <c r="A1281" s="28">
        <v>850051296309</v>
      </c>
      <c r="B1281" s="29" t="s">
        <v>4678</v>
      </c>
      <c r="C1281" s="30" t="s">
        <v>4635</v>
      </c>
      <c r="D1281" s="31" t="s">
        <v>4679</v>
      </c>
      <c r="E1281" s="51">
        <v>18.5</v>
      </c>
      <c r="F1281" s="32" t="s">
        <v>15</v>
      </c>
      <c r="G1281" s="32"/>
      <c r="H1281" s="12"/>
      <c r="I1281" s="11">
        <f>Table1[[#This Row],[Qty]]*Table1[[#This Row],[Price]]</f>
        <v>0</v>
      </c>
    </row>
    <row r="1282" spans="1:9" ht="13.5" customHeight="1" x14ac:dyDescent="0.25">
      <c r="A1282" s="28">
        <v>850051296378</v>
      </c>
      <c r="B1282" s="29" t="s">
        <v>4680</v>
      </c>
      <c r="C1282" s="30" t="s">
        <v>4635</v>
      </c>
      <c r="D1282" s="31" t="s">
        <v>4681</v>
      </c>
      <c r="E1282" s="51">
        <v>18.5</v>
      </c>
      <c r="F1282" s="32" t="s">
        <v>15</v>
      </c>
      <c r="G1282" s="32"/>
      <c r="H1282" s="12"/>
      <c r="I1282" s="11">
        <f>Table1[[#This Row],[Qty]]*Table1[[#This Row],[Price]]</f>
        <v>0</v>
      </c>
    </row>
    <row r="1283" spans="1:9" ht="13.5" customHeight="1" x14ac:dyDescent="0.25">
      <c r="A1283" s="28">
        <v>850051296118</v>
      </c>
      <c r="B1283" s="29" t="s">
        <v>4682</v>
      </c>
      <c r="C1283" s="33" t="s">
        <v>4635</v>
      </c>
      <c r="D1283" s="31" t="s">
        <v>4683</v>
      </c>
      <c r="E1283" s="51">
        <v>18.5</v>
      </c>
      <c r="F1283" s="32" t="s">
        <v>15</v>
      </c>
      <c r="G1283" s="32"/>
      <c r="H1283" s="22"/>
      <c r="I1283" s="11">
        <f>Table1[[#This Row],[Qty]]*Table1[[#This Row],[Price]]</f>
        <v>0</v>
      </c>
    </row>
    <row r="1284" spans="1:9" ht="13.5" customHeight="1" x14ac:dyDescent="0.25">
      <c r="A1284" s="28">
        <v>850051296101</v>
      </c>
      <c r="B1284" s="29" t="s">
        <v>4684</v>
      </c>
      <c r="C1284" s="30" t="s">
        <v>4635</v>
      </c>
      <c r="D1284" s="31" t="s">
        <v>4685</v>
      </c>
      <c r="E1284" s="51">
        <v>18.5</v>
      </c>
      <c r="F1284" s="32" t="s">
        <v>15</v>
      </c>
      <c r="G1284" s="32"/>
      <c r="H1284" s="22"/>
      <c r="I1284" s="11">
        <f>Table1[[#This Row],[Qty]]*Table1[[#This Row],[Price]]</f>
        <v>0</v>
      </c>
    </row>
    <row r="1285" spans="1:9" ht="13.5" customHeight="1" x14ac:dyDescent="0.25">
      <c r="A1285" s="28">
        <v>850051296125</v>
      </c>
      <c r="B1285" s="29" t="s">
        <v>4686</v>
      </c>
      <c r="C1285" s="30" t="s">
        <v>4635</v>
      </c>
      <c r="D1285" s="31" t="s">
        <v>4687</v>
      </c>
      <c r="E1285" s="51">
        <v>18.5</v>
      </c>
      <c r="F1285" s="32" t="s">
        <v>15</v>
      </c>
      <c r="G1285" s="32"/>
      <c r="H1285" s="22"/>
      <c r="I1285" s="11">
        <f>Table1[[#This Row],[Qty]]*Table1[[#This Row],[Price]]</f>
        <v>0</v>
      </c>
    </row>
    <row r="1286" spans="1:9" ht="13.5" customHeight="1" x14ac:dyDescent="0.25">
      <c r="A1286" s="28">
        <v>850051296088</v>
      </c>
      <c r="B1286" s="29" t="s">
        <v>4688</v>
      </c>
      <c r="C1286" s="30" t="s">
        <v>4635</v>
      </c>
      <c r="D1286" s="31" t="s">
        <v>4689</v>
      </c>
      <c r="E1286" s="51">
        <v>18.5</v>
      </c>
      <c r="F1286" s="32" t="s">
        <v>15</v>
      </c>
      <c r="G1286" s="32"/>
      <c r="H1286" s="22"/>
      <c r="I1286" s="11">
        <f>Table1[[#This Row],[Qty]]*Table1[[#This Row],[Price]]</f>
        <v>0</v>
      </c>
    </row>
    <row r="1287" spans="1:9" ht="13.5" customHeight="1" x14ac:dyDescent="0.25">
      <c r="A1287" s="28">
        <v>850051296002</v>
      </c>
      <c r="B1287" s="29" t="s">
        <v>4634</v>
      </c>
      <c r="C1287" s="30" t="s">
        <v>4635</v>
      </c>
      <c r="D1287" s="31" t="s">
        <v>4636</v>
      </c>
      <c r="E1287" s="51">
        <v>14.5</v>
      </c>
      <c r="F1287" s="32" t="s">
        <v>15</v>
      </c>
      <c r="G1287" s="32"/>
      <c r="H1287" s="12"/>
      <c r="I1287" s="11">
        <f>Table1[[#This Row],[Qty]]*Table1[[#This Row],[Price]]</f>
        <v>0</v>
      </c>
    </row>
    <row r="1288" spans="1:9" ht="13.5" customHeight="1" x14ac:dyDescent="0.25">
      <c r="A1288" s="28">
        <v>850051296019</v>
      </c>
      <c r="B1288" s="29" t="s">
        <v>4637</v>
      </c>
      <c r="C1288" s="30" t="s">
        <v>4635</v>
      </c>
      <c r="D1288" s="31" t="s">
        <v>4638</v>
      </c>
      <c r="E1288" s="51">
        <v>14.5</v>
      </c>
      <c r="F1288" s="32" t="s">
        <v>15</v>
      </c>
      <c r="G1288" s="32"/>
      <c r="H1288" s="12"/>
      <c r="I1288" s="11">
        <f>Table1[[#This Row],[Qty]]*Table1[[#This Row],[Price]]</f>
        <v>0</v>
      </c>
    </row>
    <row r="1289" spans="1:9" ht="13.5" customHeight="1" x14ac:dyDescent="0.25">
      <c r="A1289" s="28">
        <v>6290360832173</v>
      </c>
      <c r="B1289" s="29" t="s">
        <v>4655</v>
      </c>
      <c r="C1289" s="30" t="s">
        <v>4656</v>
      </c>
      <c r="D1289" s="31" t="s">
        <v>4657</v>
      </c>
      <c r="E1289" s="51">
        <v>17.5</v>
      </c>
      <c r="F1289" s="32" t="s">
        <v>15</v>
      </c>
      <c r="G1289" s="32"/>
      <c r="H1289" s="22"/>
      <c r="I1289" s="11">
        <f>Table1[[#This Row],[Qty]]*Table1[[#This Row],[Price]]</f>
        <v>0</v>
      </c>
    </row>
    <row r="1290" spans="1:9" ht="13.5" customHeight="1" x14ac:dyDescent="0.25">
      <c r="A1290" s="28">
        <v>6290360831862</v>
      </c>
      <c r="B1290" s="29" t="s">
        <v>4658</v>
      </c>
      <c r="C1290" s="30" t="s">
        <v>4656</v>
      </c>
      <c r="D1290" s="31" t="s">
        <v>4659</v>
      </c>
      <c r="E1290" s="51">
        <v>17.5</v>
      </c>
      <c r="F1290" s="32" t="s">
        <v>15</v>
      </c>
      <c r="G1290" s="32"/>
      <c r="H1290" s="22"/>
      <c r="I1290" s="11">
        <f>Table1[[#This Row],[Qty]]*Table1[[#This Row],[Price]]</f>
        <v>0</v>
      </c>
    </row>
    <row r="1291" spans="1:9" ht="13.5" customHeight="1" x14ac:dyDescent="0.25">
      <c r="A1291" s="28">
        <v>6290360832388</v>
      </c>
      <c r="B1291" s="29" t="s">
        <v>4660</v>
      </c>
      <c r="C1291" s="30" t="s">
        <v>4656</v>
      </c>
      <c r="D1291" s="31" t="s">
        <v>4661</v>
      </c>
      <c r="E1291" s="51">
        <v>17.5</v>
      </c>
      <c r="F1291" s="32" t="s">
        <v>15</v>
      </c>
      <c r="G1291" s="32"/>
      <c r="H1291" s="22"/>
      <c r="I1291" s="11">
        <f>Table1[[#This Row],[Qty]]*Table1[[#This Row],[Price]]</f>
        <v>0</v>
      </c>
    </row>
    <row r="1292" spans="1:9" ht="13.5" customHeight="1" x14ac:dyDescent="0.25">
      <c r="A1292" s="28">
        <v>6290360832197</v>
      </c>
      <c r="B1292" s="29" t="s">
        <v>4662</v>
      </c>
      <c r="C1292" s="30" t="s">
        <v>4656</v>
      </c>
      <c r="D1292" s="31" t="s">
        <v>4663</v>
      </c>
      <c r="E1292" s="51">
        <v>17.5</v>
      </c>
      <c r="F1292" s="32" t="s">
        <v>15</v>
      </c>
      <c r="G1292" s="32"/>
      <c r="H1292" s="22"/>
      <c r="I1292" s="11">
        <f>Table1[[#This Row],[Qty]]*Table1[[#This Row],[Price]]</f>
        <v>0</v>
      </c>
    </row>
    <row r="1293" spans="1:9" ht="13.5" customHeight="1" x14ac:dyDescent="0.25">
      <c r="A1293" s="28">
        <v>6290360832159</v>
      </c>
      <c r="B1293" s="29" t="s">
        <v>4664</v>
      </c>
      <c r="C1293" s="30" t="s">
        <v>4656</v>
      </c>
      <c r="D1293" s="31" t="s">
        <v>4665</v>
      </c>
      <c r="E1293" s="51">
        <v>17.5</v>
      </c>
      <c r="F1293" s="32" t="s">
        <v>15</v>
      </c>
      <c r="G1293" s="32"/>
      <c r="H1293" s="12"/>
      <c r="I1293" s="11">
        <f>Table1[[#This Row],[Qty]]*Table1[[#This Row],[Price]]</f>
        <v>0</v>
      </c>
    </row>
    <row r="1294" spans="1:9" ht="13.5" customHeight="1" x14ac:dyDescent="0.25">
      <c r="A1294" s="28">
        <v>6290360831879</v>
      </c>
      <c r="B1294" s="29" t="s">
        <v>4666</v>
      </c>
      <c r="C1294" s="30" t="s">
        <v>4656</v>
      </c>
      <c r="D1294" s="31" t="s">
        <v>4667</v>
      </c>
      <c r="E1294" s="51">
        <v>17.5</v>
      </c>
      <c r="F1294" s="32" t="s">
        <v>15</v>
      </c>
      <c r="G1294" s="32"/>
      <c r="H1294" s="22"/>
      <c r="I1294" s="11">
        <f>Table1[[#This Row],[Qty]]*Table1[[#This Row],[Price]]</f>
        <v>0</v>
      </c>
    </row>
    <row r="1295" spans="1:9" ht="13.5" customHeight="1" x14ac:dyDescent="0.25">
      <c r="A1295" s="28">
        <v>6290360832128</v>
      </c>
      <c r="B1295" s="29" t="s">
        <v>4668</v>
      </c>
      <c r="C1295" s="33" t="s">
        <v>4656</v>
      </c>
      <c r="D1295" s="31" t="s">
        <v>4669</v>
      </c>
      <c r="E1295" s="51">
        <v>17.5</v>
      </c>
      <c r="F1295" s="32" t="s">
        <v>15</v>
      </c>
      <c r="G1295" s="32"/>
      <c r="H1295" s="22"/>
      <c r="I1295" s="11">
        <f>Table1[[#This Row],[Qty]]*Table1[[#This Row],[Price]]</f>
        <v>0</v>
      </c>
    </row>
    <row r="1296" spans="1:9" ht="13.5" customHeight="1" x14ac:dyDescent="0.25">
      <c r="A1296" s="28">
        <v>6290360831893</v>
      </c>
      <c r="B1296" s="29" t="s">
        <v>4670</v>
      </c>
      <c r="C1296" s="30" t="s">
        <v>4656</v>
      </c>
      <c r="D1296" s="31" t="s">
        <v>4671</v>
      </c>
      <c r="E1296" s="51">
        <v>17.5</v>
      </c>
      <c r="F1296" s="32" t="s">
        <v>15</v>
      </c>
      <c r="G1296" s="32"/>
      <c r="H1296" s="22"/>
      <c r="I1296" s="11">
        <f>Table1[[#This Row],[Qty]]*Table1[[#This Row],[Price]]</f>
        <v>0</v>
      </c>
    </row>
    <row r="1297" spans="1:9" ht="13.5" customHeight="1" x14ac:dyDescent="0.25">
      <c r="A1297" s="28">
        <v>6290360832111</v>
      </c>
      <c r="B1297" s="29" t="s">
        <v>4672</v>
      </c>
      <c r="C1297" s="30" t="s">
        <v>4656</v>
      </c>
      <c r="D1297" s="31" t="s">
        <v>4673</v>
      </c>
      <c r="E1297" s="51">
        <v>17.5</v>
      </c>
      <c r="F1297" s="32" t="s">
        <v>15</v>
      </c>
      <c r="G1297" s="32"/>
      <c r="H1297" s="12"/>
      <c r="I1297" s="11">
        <f>Table1[[#This Row],[Qty]]*Table1[[#This Row],[Price]]</f>
        <v>0</v>
      </c>
    </row>
    <row r="1298" spans="1:9" ht="13.5" customHeight="1" x14ac:dyDescent="0.25">
      <c r="A1298" s="28">
        <v>6290360832135</v>
      </c>
      <c r="B1298" s="29" t="s">
        <v>4674</v>
      </c>
      <c r="C1298" s="30" t="s">
        <v>4656</v>
      </c>
      <c r="D1298" s="31" t="s">
        <v>4675</v>
      </c>
      <c r="E1298" s="51">
        <v>17.5</v>
      </c>
      <c r="F1298" s="32" t="s">
        <v>15</v>
      </c>
      <c r="G1298" s="32"/>
      <c r="H1298" s="22"/>
      <c r="I1298" s="11">
        <f>Table1[[#This Row],[Qty]]*Table1[[#This Row],[Price]]</f>
        <v>0</v>
      </c>
    </row>
    <row r="1299" spans="1:9" ht="13.5" customHeight="1" x14ac:dyDescent="0.25">
      <c r="A1299" s="28">
        <v>6290360831909</v>
      </c>
      <c r="B1299" s="29" t="s">
        <v>4676</v>
      </c>
      <c r="C1299" s="30" t="s">
        <v>4656</v>
      </c>
      <c r="D1299" s="31" t="s">
        <v>4677</v>
      </c>
      <c r="E1299" s="51">
        <v>17.5</v>
      </c>
      <c r="F1299" s="32" t="s">
        <v>15</v>
      </c>
      <c r="G1299" s="32"/>
      <c r="H1299" s="14"/>
      <c r="I1299" s="11">
        <f>Table1[[#This Row],[Qty]]*Table1[[#This Row],[Price]]</f>
        <v>0</v>
      </c>
    </row>
    <row r="1300" spans="1:9" ht="13.5" customHeight="1" x14ac:dyDescent="0.25">
      <c r="A1300" s="28">
        <v>3351500011476</v>
      </c>
      <c r="B1300" s="29" t="s">
        <v>1766</v>
      </c>
      <c r="C1300" s="30" t="s">
        <v>924</v>
      </c>
      <c r="D1300" s="31" t="s">
        <v>1767</v>
      </c>
      <c r="E1300" s="51">
        <v>21.45</v>
      </c>
      <c r="F1300" s="32" t="s">
        <v>15</v>
      </c>
      <c r="G1300" s="32">
        <v>0</v>
      </c>
      <c r="H1300" s="12"/>
      <c r="I1300" s="11">
        <f>Table1[[#This Row],[Qty]]*Table1[[#This Row],[Price]]</f>
        <v>0</v>
      </c>
    </row>
    <row r="1301" spans="1:9" ht="13.5" customHeight="1" x14ac:dyDescent="0.25">
      <c r="A1301" s="28">
        <v>3351500017478</v>
      </c>
      <c r="B1301" s="29" t="s">
        <v>2927</v>
      </c>
      <c r="C1301" s="30" t="s">
        <v>924</v>
      </c>
      <c r="D1301" s="31" t="s">
        <v>2928</v>
      </c>
      <c r="E1301" s="51">
        <v>11.5</v>
      </c>
      <c r="F1301" s="32" t="s">
        <v>15</v>
      </c>
      <c r="G1301" s="32">
        <v>0</v>
      </c>
      <c r="H1301" s="22"/>
      <c r="I1301" s="11">
        <f>Table1[[#This Row],[Qty]]*Table1[[#This Row],[Price]]</f>
        <v>0</v>
      </c>
    </row>
    <row r="1302" spans="1:9" ht="13.5" customHeight="1" x14ac:dyDescent="0.25">
      <c r="A1302" s="28">
        <v>3351500015245</v>
      </c>
      <c r="B1302" s="29" t="s">
        <v>4210</v>
      </c>
      <c r="C1302" s="30" t="s">
        <v>924</v>
      </c>
      <c r="D1302" s="31" t="s">
        <v>4211</v>
      </c>
      <c r="E1302" s="51">
        <v>17.03</v>
      </c>
      <c r="F1302" s="32" t="s">
        <v>15</v>
      </c>
      <c r="G1302" s="32" t="s">
        <v>7243</v>
      </c>
      <c r="H1302" s="22"/>
      <c r="I1302" s="11">
        <f>Table1[[#This Row],[Qty]]*Table1[[#This Row],[Price]]</f>
        <v>0</v>
      </c>
    </row>
    <row r="1303" spans="1:9" ht="13.5" customHeight="1" x14ac:dyDescent="0.25">
      <c r="A1303" s="28">
        <v>3351500017485</v>
      </c>
      <c r="B1303" s="29" t="s">
        <v>4750</v>
      </c>
      <c r="C1303" s="30" t="s">
        <v>924</v>
      </c>
      <c r="D1303" s="31" t="s">
        <v>4751</v>
      </c>
      <c r="E1303" s="51">
        <v>35</v>
      </c>
      <c r="F1303" s="32" t="s">
        <v>15</v>
      </c>
      <c r="G1303" s="32">
        <v>0</v>
      </c>
      <c r="H1303" s="12"/>
      <c r="I1303" s="11">
        <f>Table1[[#This Row],[Qty]]*Table1[[#This Row],[Price]]</f>
        <v>0</v>
      </c>
    </row>
    <row r="1304" spans="1:9" ht="13.5" customHeight="1" x14ac:dyDescent="0.25">
      <c r="A1304" s="28">
        <v>4011700902699</v>
      </c>
      <c r="B1304" s="29" t="s">
        <v>2152</v>
      </c>
      <c r="C1304" s="30" t="s">
        <v>2153</v>
      </c>
      <c r="D1304" s="31" t="s">
        <v>2154</v>
      </c>
      <c r="E1304" s="51">
        <v>11</v>
      </c>
      <c r="F1304" s="32" t="s">
        <v>15</v>
      </c>
      <c r="G1304" s="32">
        <v>0</v>
      </c>
      <c r="H1304" s="22"/>
      <c r="I1304" s="11">
        <f>Table1[[#This Row],[Qty]]*Table1[[#This Row],[Price]]</f>
        <v>0</v>
      </c>
    </row>
    <row r="1305" spans="1:9" ht="13.5" customHeight="1" x14ac:dyDescent="0.25">
      <c r="A1305" s="28">
        <v>840797116184</v>
      </c>
      <c r="B1305" s="29" t="s">
        <v>1903</v>
      </c>
      <c r="C1305" s="33" t="s">
        <v>1904</v>
      </c>
      <c r="D1305" s="31" t="s">
        <v>1905</v>
      </c>
      <c r="E1305" s="51">
        <v>16.5</v>
      </c>
      <c r="F1305" s="32" t="s">
        <v>15</v>
      </c>
      <c r="G1305" s="32" t="s">
        <v>6332</v>
      </c>
      <c r="H1305" s="22"/>
      <c r="I1305" s="11">
        <f>Table1[[#This Row],[Qty]]*Table1[[#This Row],[Price]]</f>
        <v>0</v>
      </c>
    </row>
    <row r="1306" spans="1:9" ht="13.5" customHeight="1" x14ac:dyDescent="0.25">
      <c r="A1306" s="28">
        <v>840797116344</v>
      </c>
      <c r="B1306" s="29" t="s">
        <v>1906</v>
      </c>
      <c r="C1306" s="30" t="s">
        <v>1904</v>
      </c>
      <c r="D1306" s="31" t="s">
        <v>1907</v>
      </c>
      <c r="E1306" s="51">
        <v>16.5</v>
      </c>
      <c r="F1306" s="32" t="s">
        <v>15</v>
      </c>
      <c r="G1306" s="32" t="s">
        <v>6333</v>
      </c>
      <c r="H1306" s="22"/>
      <c r="I1306" s="11">
        <f>Table1[[#This Row],[Qty]]*Table1[[#This Row],[Price]]</f>
        <v>0</v>
      </c>
    </row>
    <row r="1307" spans="1:9" ht="13.5" customHeight="1" x14ac:dyDescent="0.25">
      <c r="A1307" s="28">
        <v>840797116283</v>
      </c>
      <c r="B1307" s="29" t="s">
        <v>1988</v>
      </c>
      <c r="C1307" s="30" t="s">
        <v>1904</v>
      </c>
      <c r="D1307" s="31" t="s">
        <v>1989</v>
      </c>
      <c r="E1307" s="51">
        <v>14.5</v>
      </c>
      <c r="F1307" s="32" t="s">
        <v>15</v>
      </c>
      <c r="G1307" s="32" t="s">
        <v>6355</v>
      </c>
      <c r="H1307" s="12"/>
      <c r="I1307" s="11">
        <f>Table1[[#This Row],[Qty]]*Table1[[#This Row],[Price]]</f>
        <v>0</v>
      </c>
    </row>
    <row r="1308" spans="1:9" ht="13.5" customHeight="1" x14ac:dyDescent="0.25">
      <c r="A1308" s="28">
        <v>840797116221</v>
      </c>
      <c r="B1308" s="29" t="s">
        <v>5293</v>
      </c>
      <c r="C1308" s="30" t="s">
        <v>1904</v>
      </c>
      <c r="D1308" s="31" t="s">
        <v>5294</v>
      </c>
      <c r="E1308" s="51">
        <v>14</v>
      </c>
      <c r="F1308" s="32" t="s">
        <v>15</v>
      </c>
      <c r="G1308" s="32">
        <v>0</v>
      </c>
      <c r="H1308" s="22"/>
      <c r="I1308" s="11">
        <f>Table1[[#This Row],[Qty]]*Table1[[#This Row],[Price]]</f>
        <v>0</v>
      </c>
    </row>
    <row r="1309" spans="1:9" ht="13.5" customHeight="1" x14ac:dyDescent="0.25">
      <c r="A1309" s="28">
        <v>7640111505631</v>
      </c>
      <c r="B1309" s="29" t="s">
        <v>260</v>
      </c>
      <c r="C1309" s="30" t="s">
        <v>261</v>
      </c>
      <c r="D1309" s="31" t="s">
        <v>262</v>
      </c>
      <c r="E1309" s="51">
        <v>15.75</v>
      </c>
      <c r="F1309" s="32" t="s">
        <v>15</v>
      </c>
      <c r="G1309" s="32" t="s">
        <v>5709</v>
      </c>
      <c r="H1309" s="12"/>
      <c r="I1309" s="11">
        <f>Table1[[#This Row],[Qty]]*Table1[[#This Row],[Price]]</f>
        <v>0</v>
      </c>
    </row>
    <row r="1310" spans="1:9" ht="13.5" customHeight="1" x14ac:dyDescent="0.25">
      <c r="A1310" s="28">
        <v>7640163970012</v>
      </c>
      <c r="B1310" s="29" t="s">
        <v>1719</v>
      </c>
      <c r="C1310" s="30" t="s">
        <v>261</v>
      </c>
      <c r="D1310" s="31" t="s">
        <v>1720</v>
      </c>
      <c r="E1310" s="51">
        <v>23.25</v>
      </c>
      <c r="F1310" s="32" t="s">
        <v>15</v>
      </c>
      <c r="G1310" s="32" t="s">
        <v>6282</v>
      </c>
      <c r="H1310" s="12"/>
      <c r="I1310" s="11">
        <f>Table1[[#This Row],[Qty]]*Table1[[#This Row],[Price]]</f>
        <v>0</v>
      </c>
    </row>
    <row r="1311" spans="1:9" ht="13.5" customHeight="1" x14ac:dyDescent="0.25">
      <c r="A1311" s="28">
        <v>7640171191140</v>
      </c>
      <c r="B1311" s="29" t="s">
        <v>2942</v>
      </c>
      <c r="C1311" s="30" t="s">
        <v>261</v>
      </c>
      <c r="D1311" s="31" t="s">
        <v>2943</v>
      </c>
      <c r="E1311" s="51">
        <v>19.45</v>
      </c>
      <c r="F1311" s="32" t="s">
        <v>15</v>
      </c>
      <c r="G1311" s="32" t="s">
        <v>6653</v>
      </c>
      <c r="H1311" s="22"/>
      <c r="I1311" s="11">
        <f>Table1[[#This Row],[Qty]]*Table1[[#This Row],[Price]]</f>
        <v>0</v>
      </c>
    </row>
    <row r="1312" spans="1:9" ht="13.5" customHeight="1" x14ac:dyDescent="0.25">
      <c r="A1312" s="28">
        <v>7640111497394</v>
      </c>
      <c r="B1312" s="29" t="s">
        <v>3838</v>
      </c>
      <c r="C1312" s="30" t="s">
        <v>261</v>
      </c>
      <c r="D1312" s="31" t="s">
        <v>3839</v>
      </c>
      <c r="E1312" s="51">
        <v>16.39</v>
      </c>
      <c r="F1312" s="32" t="s">
        <v>15</v>
      </c>
      <c r="G1312" s="32" t="s">
        <v>7090</v>
      </c>
      <c r="H1312" s="22"/>
      <c r="I1312" s="11">
        <f>Table1[[#This Row],[Qty]]*Table1[[#This Row],[Price]]</f>
        <v>0</v>
      </c>
    </row>
    <row r="1313" spans="1:9" ht="13.5" customHeight="1" x14ac:dyDescent="0.25">
      <c r="A1313" s="28">
        <v>7640111497547</v>
      </c>
      <c r="B1313" s="29" t="s">
        <v>5178</v>
      </c>
      <c r="C1313" s="30" t="s">
        <v>261</v>
      </c>
      <c r="D1313" s="31" t="s">
        <v>5179</v>
      </c>
      <c r="E1313" s="51">
        <v>23</v>
      </c>
      <c r="F1313" s="32" t="s">
        <v>15</v>
      </c>
      <c r="G1313" s="32" t="s">
        <v>7407</v>
      </c>
      <c r="H1313" s="12"/>
      <c r="I1313" s="11">
        <f>Table1[[#This Row],[Qty]]*Table1[[#This Row],[Price]]</f>
        <v>0</v>
      </c>
    </row>
    <row r="1314" spans="1:9" ht="13.5" customHeight="1" x14ac:dyDescent="0.25">
      <c r="A1314" s="28">
        <v>850050062516</v>
      </c>
      <c r="B1314" s="29" t="s">
        <v>405</v>
      </c>
      <c r="C1314" s="30" t="s">
        <v>406</v>
      </c>
      <c r="D1314" s="31" t="s">
        <v>407</v>
      </c>
      <c r="E1314" s="51">
        <v>20.76</v>
      </c>
      <c r="F1314" s="32" t="s">
        <v>15</v>
      </c>
      <c r="G1314" s="32" t="s">
        <v>5815</v>
      </c>
      <c r="H1314" s="22"/>
      <c r="I1314" s="11">
        <f>Table1[[#This Row],[Qty]]*Table1[[#This Row],[Price]]</f>
        <v>0</v>
      </c>
    </row>
    <row r="1315" spans="1:9" ht="13.5" customHeight="1" x14ac:dyDescent="0.25">
      <c r="A1315" s="28">
        <v>850050062271</v>
      </c>
      <c r="B1315" s="29" t="s">
        <v>787</v>
      </c>
      <c r="C1315" s="30" t="s">
        <v>406</v>
      </c>
      <c r="D1315" s="31" t="s">
        <v>788</v>
      </c>
      <c r="E1315" s="51">
        <v>44.52</v>
      </c>
      <c r="F1315" s="32" t="s">
        <v>15</v>
      </c>
      <c r="G1315" s="32" t="s">
        <v>5990</v>
      </c>
      <c r="H1315" s="12"/>
      <c r="I1315" s="11">
        <f>Table1[[#This Row],[Qty]]*Table1[[#This Row],[Price]]</f>
        <v>0</v>
      </c>
    </row>
    <row r="1316" spans="1:9" ht="13.5" customHeight="1" x14ac:dyDescent="0.25">
      <c r="A1316" s="28">
        <v>850050062264</v>
      </c>
      <c r="B1316" s="29" t="s">
        <v>789</v>
      </c>
      <c r="C1316" s="30" t="s">
        <v>406</v>
      </c>
      <c r="D1316" s="31" t="s">
        <v>790</v>
      </c>
      <c r="E1316" s="51">
        <v>45.05</v>
      </c>
      <c r="F1316" s="32" t="s">
        <v>15</v>
      </c>
      <c r="G1316" s="32">
        <v>0</v>
      </c>
      <c r="H1316" s="22"/>
      <c r="I1316" s="11">
        <f>Table1[[#This Row],[Qty]]*Table1[[#This Row],[Price]]</f>
        <v>0</v>
      </c>
    </row>
    <row r="1317" spans="1:9" ht="13.5" customHeight="1" x14ac:dyDescent="0.25">
      <c r="A1317" s="28">
        <v>850050062332</v>
      </c>
      <c r="B1317" s="29" t="s">
        <v>805</v>
      </c>
      <c r="C1317" s="30" t="s">
        <v>406</v>
      </c>
      <c r="D1317" s="31" t="s">
        <v>806</v>
      </c>
      <c r="E1317" s="51">
        <v>46.11</v>
      </c>
      <c r="F1317" s="32" t="s">
        <v>15</v>
      </c>
      <c r="G1317" s="32" t="s">
        <v>5997</v>
      </c>
      <c r="H1317" s="22"/>
      <c r="I1317" s="11">
        <f>Table1[[#This Row],[Qty]]*Table1[[#This Row],[Price]]</f>
        <v>0</v>
      </c>
    </row>
    <row r="1318" spans="1:9" ht="13.5" customHeight="1" x14ac:dyDescent="0.25">
      <c r="A1318" s="28">
        <v>850050062073</v>
      </c>
      <c r="B1318" s="29" t="s">
        <v>847</v>
      </c>
      <c r="C1318" s="30" t="s">
        <v>406</v>
      </c>
      <c r="D1318" s="31" t="s">
        <v>848</v>
      </c>
      <c r="E1318" s="51">
        <v>39.9</v>
      </c>
      <c r="F1318" s="32" t="s">
        <v>15</v>
      </c>
      <c r="G1318" s="32" t="s">
        <v>6014</v>
      </c>
      <c r="H1318" s="12"/>
      <c r="I1318" s="11">
        <f>Table1[[#This Row],[Qty]]*Table1[[#This Row],[Price]]</f>
        <v>0</v>
      </c>
    </row>
    <row r="1319" spans="1:9" ht="13.5" customHeight="1" x14ac:dyDescent="0.25">
      <c r="A1319" s="28">
        <v>850050062004</v>
      </c>
      <c r="B1319" s="29" t="s">
        <v>1148</v>
      </c>
      <c r="C1319" s="33" t="s">
        <v>406</v>
      </c>
      <c r="D1319" s="31" t="s">
        <v>1149</v>
      </c>
      <c r="E1319" s="51">
        <v>49.29</v>
      </c>
      <c r="F1319" s="32" t="s">
        <v>15</v>
      </c>
      <c r="G1319" s="32" t="s">
        <v>6148</v>
      </c>
      <c r="H1319" s="22"/>
      <c r="I1319" s="11">
        <f>Table1[[#This Row],[Qty]]*Table1[[#This Row],[Price]]</f>
        <v>0</v>
      </c>
    </row>
    <row r="1320" spans="1:9" ht="13.5" customHeight="1" x14ac:dyDescent="0.25">
      <c r="A1320" s="28">
        <v>19213947705</v>
      </c>
      <c r="B1320" s="29" t="s">
        <v>1313</v>
      </c>
      <c r="C1320" s="30" t="s">
        <v>406</v>
      </c>
      <c r="D1320" s="31" t="s">
        <v>1314</v>
      </c>
      <c r="E1320" s="51">
        <v>60.95</v>
      </c>
      <c r="F1320" s="32" t="s">
        <v>15</v>
      </c>
      <c r="G1320" s="32">
        <v>0</v>
      </c>
      <c r="H1320" s="12"/>
      <c r="I1320" s="11">
        <f>Table1[[#This Row],[Qty]]*Table1[[#This Row],[Price]]</f>
        <v>0</v>
      </c>
    </row>
    <row r="1321" spans="1:9" ht="13.5" customHeight="1" x14ac:dyDescent="0.25">
      <c r="A1321" s="28">
        <v>850050062141</v>
      </c>
      <c r="B1321" s="29" t="s">
        <v>1358</v>
      </c>
      <c r="C1321" s="30" t="s">
        <v>406</v>
      </c>
      <c r="D1321" s="31" t="s">
        <v>1359</v>
      </c>
      <c r="E1321" s="51">
        <v>49.85</v>
      </c>
      <c r="F1321" s="32" t="s">
        <v>15</v>
      </c>
      <c r="G1321" s="32" t="s">
        <v>6198</v>
      </c>
      <c r="H1321" s="12"/>
      <c r="I1321" s="11">
        <f>Table1[[#This Row],[Qty]]*Table1[[#This Row],[Price]]</f>
        <v>0</v>
      </c>
    </row>
    <row r="1322" spans="1:9" ht="13.5" customHeight="1" x14ac:dyDescent="0.25">
      <c r="A1322" s="28">
        <v>19213947668</v>
      </c>
      <c r="B1322" s="29" t="s">
        <v>1367</v>
      </c>
      <c r="C1322" s="30" t="s">
        <v>406</v>
      </c>
      <c r="D1322" s="31" t="s">
        <v>1368</v>
      </c>
      <c r="E1322" s="51">
        <v>51.41</v>
      </c>
      <c r="F1322" s="32" t="s">
        <v>15</v>
      </c>
      <c r="G1322" s="32">
        <v>0</v>
      </c>
      <c r="H1322" s="12"/>
      <c r="I1322" s="11">
        <f>Table1[[#This Row],[Qty]]*Table1[[#This Row],[Price]]</f>
        <v>0</v>
      </c>
    </row>
    <row r="1323" spans="1:9" ht="13.5" customHeight="1" x14ac:dyDescent="0.25">
      <c r="A1323" s="28">
        <v>19213947514</v>
      </c>
      <c r="B1323" s="29" t="s">
        <v>1369</v>
      </c>
      <c r="C1323" s="30" t="s">
        <v>406</v>
      </c>
      <c r="D1323" s="31" t="s">
        <v>1370</v>
      </c>
      <c r="E1323" s="51">
        <v>51.94</v>
      </c>
      <c r="F1323" s="32" t="s">
        <v>15</v>
      </c>
      <c r="G1323" s="32" t="s">
        <v>6199</v>
      </c>
      <c r="H1323" s="22"/>
      <c r="I1323" s="11">
        <f>Table1[[#This Row],[Qty]]*Table1[[#This Row],[Price]]</f>
        <v>0</v>
      </c>
    </row>
    <row r="1324" spans="1:9" ht="13.5" customHeight="1" x14ac:dyDescent="0.25">
      <c r="A1324" s="28">
        <v>850050062011</v>
      </c>
      <c r="B1324" s="29" t="s">
        <v>1385</v>
      </c>
      <c r="C1324" s="30" t="s">
        <v>406</v>
      </c>
      <c r="D1324" s="31" t="s">
        <v>1386</v>
      </c>
      <c r="E1324" s="51">
        <v>50.35</v>
      </c>
      <c r="F1324" s="32" t="s">
        <v>15</v>
      </c>
      <c r="G1324" s="32">
        <v>0</v>
      </c>
      <c r="H1324" s="12"/>
      <c r="I1324" s="11">
        <f>Table1[[#This Row],[Qty]]*Table1[[#This Row],[Price]]</f>
        <v>0</v>
      </c>
    </row>
    <row r="1325" spans="1:9" ht="13.5" customHeight="1" x14ac:dyDescent="0.25">
      <c r="A1325" s="28">
        <v>19213947538</v>
      </c>
      <c r="B1325" s="29" t="s">
        <v>1395</v>
      </c>
      <c r="C1325" s="30" t="s">
        <v>406</v>
      </c>
      <c r="D1325" s="31" t="s">
        <v>1396</v>
      </c>
      <c r="E1325" s="51">
        <v>48.23</v>
      </c>
      <c r="F1325" s="32" t="s">
        <v>15</v>
      </c>
      <c r="G1325" s="32">
        <v>0</v>
      </c>
      <c r="H1325" s="12"/>
      <c r="I1325" s="11">
        <f>Table1[[#This Row],[Qty]]*Table1[[#This Row],[Price]]</f>
        <v>0</v>
      </c>
    </row>
    <row r="1326" spans="1:9" ht="13.5" customHeight="1" x14ac:dyDescent="0.25">
      <c r="A1326" s="28">
        <v>850050062349</v>
      </c>
      <c r="B1326" s="29" t="s">
        <v>1419</v>
      </c>
      <c r="C1326" s="30" t="s">
        <v>406</v>
      </c>
      <c r="D1326" s="31" t="s">
        <v>1420</v>
      </c>
      <c r="E1326" s="51">
        <v>46.11</v>
      </c>
      <c r="F1326" s="32" t="s">
        <v>15</v>
      </c>
      <c r="G1326" s="32">
        <v>0</v>
      </c>
      <c r="H1326" s="22"/>
      <c r="I1326" s="11">
        <f>Table1[[#This Row],[Qty]]*Table1[[#This Row],[Price]]</f>
        <v>0</v>
      </c>
    </row>
    <row r="1327" spans="1:9" ht="13.5" customHeight="1" x14ac:dyDescent="0.25">
      <c r="A1327" s="28">
        <v>850050062042</v>
      </c>
      <c r="B1327" s="29" t="s">
        <v>1433</v>
      </c>
      <c r="C1327" s="30" t="s">
        <v>406</v>
      </c>
      <c r="D1327" s="31" t="s">
        <v>1434</v>
      </c>
      <c r="E1327" s="51">
        <v>44</v>
      </c>
      <c r="F1327" s="32" t="s">
        <v>15</v>
      </c>
      <c r="G1327" s="32">
        <v>0</v>
      </c>
      <c r="H1327" s="22"/>
      <c r="I1327" s="11">
        <f>Table1[[#This Row],[Qty]]*Table1[[#This Row],[Price]]</f>
        <v>0</v>
      </c>
    </row>
    <row r="1328" spans="1:9" ht="13.5" customHeight="1" x14ac:dyDescent="0.25">
      <c r="A1328" s="28">
        <v>850050062059</v>
      </c>
      <c r="B1328" s="29" t="s">
        <v>1451</v>
      </c>
      <c r="C1328" s="33" t="s">
        <v>406</v>
      </c>
      <c r="D1328" s="31" t="s">
        <v>1452</v>
      </c>
      <c r="E1328" s="51">
        <v>41.5</v>
      </c>
      <c r="F1328" s="32" t="s">
        <v>15</v>
      </c>
      <c r="G1328" s="32" t="s">
        <v>6215</v>
      </c>
      <c r="H1328" s="22"/>
      <c r="I1328" s="11">
        <f>Table1[[#This Row],[Qty]]*Table1[[#This Row],[Price]]</f>
        <v>0</v>
      </c>
    </row>
    <row r="1329" spans="1:9" ht="13.5" customHeight="1" x14ac:dyDescent="0.25">
      <c r="A1329" s="28">
        <v>850050062066</v>
      </c>
      <c r="B1329" s="29" t="s">
        <v>1467</v>
      </c>
      <c r="C1329" s="33" t="s">
        <v>406</v>
      </c>
      <c r="D1329" s="31" t="s">
        <v>1468</v>
      </c>
      <c r="E1329" s="51">
        <v>39.5</v>
      </c>
      <c r="F1329" s="32" t="s">
        <v>15</v>
      </c>
      <c r="G1329" s="32">
        <v>0</v>
      </c>
      <c r="H1329" s="22"/>
      <c r="I1329" s="11">
        <f>Table1[[#This Row],[Qty]]*Table1[[#This Row],[Price]]</f>
        <v>0</v>
      </c>
    </row>
    <row r="1330" spans="1:9" ht="13.5" customHeight="1" x14ac:dyDescent="0.25">
      <c r="A1330" s="28">
        <v>19213947156</v>
      </c>
      <c r="B1330" s="29" t="s">
        <v>1774</v>
      </c>
      <c r="C1330" s="30" t="s">
        <v>406</v>
      </c>
      <c r="D1330" s="31" t="s">
        <v>1775</v>
      </c>
      <c r="E1330" s="51">
        <v>21</v>
      </c>
      <c r="F1330" s="32" t="s">
        <v>15</v>
      </c>
      <c r="G1330" s="32">
        <v>0</v>
      </c>
      <c r="H1330" s="12"/>
      <c r="I1330" s="11">
        <f>Table1[[#This Row],[Qty]]*Table1[[#This Row],[Price]]</f>
        <v>0</v>
      </c>
    </row>
    <row r="1331" spans="1:9" ht="13.5" customHeight="1" x14ac:dyDescent="0.25">
      <c r="A1331" s="28">
        <v>19213947187</v>
      </c>
      <c r="B1331" s="29" t="s">
        <v>1799</v>
      </c>
      <c r="C1331" s="30" t="s">
        <v>406</v>
      </c>
      <c r="D1331" s="31" t="s">
        <v>1800</v>
      </c>
      <c r="E1331" s="51">
        <v>20</v>
      </c>
      <c r="F1331" s="32" t="s">
        <v>15</v>
      </c>
      <c r="G1331" s="32">
        <v>0</v>
      </c>
      <c r="H1331" s="12"/>
      <c r="I1331" s="11">
        <f>Table1[[#This Row],[Qty]]*Table1[[#This Row],[Price]]</f>
        <v>0</v>
      </c>
    </row>
    <row r="1332" spans="1:9" ht="13.5" customHeight="1" x14ac:dyDescent="0.25">
      <c r="A1332" s="28">
        <v>850050062707</v>
      </c>
      <c r="B1332" s="29" t="s">
        <v>2695</v>
      </c>
      <c r="C1332" s="30" t="s">
        <v>406</v>
      </c>
      <c r="D1332" s="31" t="s">
        <v>2696</v>
      </c>
      <c r="E1332" s="51">
        <v>45.1</v>
      </c>
      <c r="F1332" s="32" t="s">
        <v>15</v>
      </c>
      <c r="G1332" s="32" t="s">
        <v>6576</v>
      </c>
      <c r="H1332" s="22"/>
      <c r="I1332" s="11">
        <f>Table1[[#This Row],[Qty]]*Table1[[#This Row],[Price]]</f>
        <v>0</v>
      </c>
    </row>
    <row r="1333" spans="1:9" ht="13.5" customHeight="1" x14ac:dyDescent="0.25">
      <c r="A1333" s="28">
        <v>850050062837</v>
      </c>
      <c r="B1333" s="29" t="s">
        <v>2715</v>
      </c>
      <c r="C1333" s="30" t="s">
        <v>406</v>
      </c>
      <c r="D1333" s="31" t="s">
        <v>2716</v>
      </c>
      <c r="E1333" s="51">
        <v>22.3</v>
      </c>
      <c r="F1333" s="32" t="s">
        <v>15</v>
      </c>
      <c r="G1333" s="32" t="s">
        <v>6585</v>
      </c>
      <c r="H1333" s="22"/>
      <c r="I1333" s="11">
        <f>Table1[[#This Row],[Qty]]*Table1[[#This Row],[Price]]</f>
        <v>0</v>
      </c>
    </row>
    <row r="1334" spans="1:9" ht="13.5" customHeight="1" x14ac:dyDescent="0.25">
      <c r="A1334" s="28">
        <v>810200670237</v>
      </c>
      <c r="B1334" s="29" t="s">
        <v>3309</v>
      </c>
      <c r="C1334" s="30" t="s">
        <v>406</v>
      </c>
      <c r="D1334" s="31" t="s">
        <v>3310</v>
      </c>
      <c r="E1334" s="51">
        <v>25</v>
      </c>
      <c r="F1334" s="32" t="s">
        <v>15</v>
      </c>
      <c r="G1334" s="32">
        <v>0</v>
      </c>
      <c r="H1334" s="22"/>
      <c r="I1334" s="11">
        <f>Table1[[#This Row],[Qty]]*Table1[[#This Row],[Price]]</f>
        <v>0</v>
      </c>
    </row>
    <row r="1335" spans="1:9" ht="13.5" customHeight="1" x14ac:dyDescent="0.25">
      <c r="A1335" s="28">
        <v>810200670077</v>
      </c>
      <c r="B1335" s="29" t="s">
        <v>3409</v>
      </c>
      <c r="C1335" s="30" t="s">
        <v>406</v>
      </c>
      <c r="D1335" s="31" t="s">
        <v>3410</v>
      </c>
      <c r="E1335" s="51">
        <v>22.5</v>
      </c>
      <c r="F1335" s="32" t="s">
        <v>15</v>
      </c>
      <c r="G1335" s="32" t="s">
        <v>6831</v>
      </c>
      <c r="H1335" s="12"/>
      <c r="I1335" s="11">
        <f>Table1[[#This Row],[Qty]]*Table1[[#This Row],[Price]]</f>
        <v>0</v>
      </c>
    </row>
    <row r="1336" spans="1:9" ht="13.5" customHeight="1" x14ac:dyDescent="0.25">
      <c r="A1336" s="28">
        <v>850050062417</v>
      </c>
      <c r="B1336" s="29" t="s">
        <v>3468</v>
      </c>
      <c r="C1336" s="30" t="s">
        <v>406</v>
      </c>
      <c r="D1336" s="31" t="s">
        <v>3469</v>
      </c>
      <c r="E1336" s="51">
        <v>36.94</v>
      </c>
      <c r="F1336" s="32" t="s">
        <v>15</v>
      </c>
      <c r="G1336" s="32" t="s">
        <v>6856</v>
      </c>
      <c r="H1336" s="12"/>
      <c r="I1336" s="11">
        <f>Table1[[#This Row],[Qty]]*Table1[[#This Row],[Price]]</f>
        <v>0</v>
      </c>
    </row>
    <row r="1337" spans="1:9" ht="13.5" customHeight="1" x14ac:dyDescent="0.25">
      <c r="A1337" s="28">
        <v>810200670169</v>
      </c>
      <c r="B1337" s="29" t="s">
        <v>3476</v>
      </c>
      <c r="C1337" s="30" t="s">
        <v>406</v>
      </c>
      <c r="D1337" s="31" t="s">
        <v>3477</v>
      </c>
      <c r="E1337" s="51">
        <v>55.59</v>
      </c>
      <c r="F1337" s="32" t="s">
        <v>15</v>
      </c>
      <c r="G1337" s="32" t="s">
        <v>6860</v>
      </c>
      <c r="H1337" s="22"/>
      <c r="I1337" s="11">
        <f>Table1[[#This Row],[Qty]]*Table1[[#This Row],[Price]]</f>
        <v>0</v>
      </c>
    </row>
    <row r="1338" spans="1:9" ht="13.5" customHeight="1" x14ac:dyDescent="0.25">
      <c r="A1338" s="28">
        <v>810200670428</v>
      </c>
      <c r="B1338" s="29" t="s">
        <v>3500</v>
      </c>
      <c r="C1338" s="30" t="s">
        <v>406</v>
      </c>
      <c r="D1338" s="31" t="s">
        <v>3501</v>
      </c>
      <c r="E1338" s="51">
        <v>22</v>
      </c>
      <c r="F1338" s="32" t="s">
        <v>15</v>
      </c>
      <c r="G1338" s="32" t="s">
        <v>6872</v>
      </c>
      <c r="H1338" s="14"/>
      <c r="I1338" s="11">
        <f>Table1[[#This Row],[Qty]]*Table1[[#This Row],[Price]]</f>
        <v>0</v>
      </c>
    </row>
    <row r="1339" spans="1:9" ht="13.5" customHeight="1" x14ac:dyDescent="0.25">
      <c r="A1339" s="28">
        <v>810200670350</v>
      </c>
      <c r="B1339" s="29" t="s">
        <v>3690</v>
      </c>
      <c r="C1339" s="30" t="s">
        <v>406</v>
      </c>
      <c r="D1339" s="31" t="s">
        <v>3691</v>
      </c>
      <c r="E1339" s="51">
        <v>41.19</v>
      </c>
      <c r="F1339" s="32" t="s">
        <v>15</v>
      </c>
      <c r="G1339" s="32" t="s">
        <v>6963</v>
      </c>
      <c r="H1339" s="12"/>
      <c r="I1339" s="11">
        <f>Table1[[#This Row],[Qty]]*Table1[[#This Row],[Price]]</f>
        <v>0</v>
      </c>
    </row>
    <row r="1340" spans="1:9" ht="13.5" customHeight="1" x14ac:dyDescent="0.25">
      <c r="A1340" s="28">
        <v>810200670107</v>
      </c>
      <c r="B1340" s="29" t="s">
        <v>5521</v>
      </c>
      <c r="C1340" s="30" t="s">
        <v>406</v>
      </c>
      <c r="D1340" s="31" t="s">
        <v>5522</v>
      </c>
      <c r="E1340" s="51">
        <v>135.4</v>
      </c>
      <c r="F1340" s="32" t="s">
        <v>15</v>
      </c>
      <c r="G1340" s="32">
        <v>0</v>
      </c>
      <c r="H1340" s="22"/>
      <c r="I1340" s="11">
        <f>Table1[[#This Row],[Qty]]*Table1[[#This Row],[Price]]</f>
        <v>0</v>
      </c>
    </row>
    <row r="1341" spans="1:9" ht="13.5" customHeight="1" x14ac:dyDescent="0.25">
      <c r="A1341" s="28">
        <v>888874007918</v>
      </c>
      <c r="B1341" s="29" t="s">
        <v>238</v>
      </c>
      <c r="C1341" s="30" t="s">
        <v>239</v>
      </c>
      <c r="D1341" s="31" t="s">
        <v>240</v>
      </c>
      <c r="E1341" s="51">
        <v>123.74</v>
      </c>
      <c r="F1341" s="32" t="s">
        <v>15</v>
      </c>
      <c r="G1341" s="32" t="s">
        <v>5700</v>
      </c>
      <c r="H1341" s="22"/>
      <c r="I1341" s="11">
        <f>Table1[[#This Row],[Qty]]*Table1[[#This Row],[Price]]</f>
        <v>0</v>
      </c>
    </row>
    <row r="1342" spans="1:9" ht="13.5" customHeight="1" x14ac:dyDescent="0.25">
      <c r="A1342" s="28">
        <v>888874000346</v>
      </c>
      <c r="B1342" s="29" t="s">
        <v>1177</v>
      </c>
      <c r="C1342" s="33" t="s">
        <v>239</v>
      </c>
      <c r="D1342" s="31" t="s">
        <v>1178</v>
      </c>
      <c r="E1342" s="51">
        <v>126.5</v>
      </c>
      <c r="F1342" s="32" t="s">
        <v>15</v>
      </c>
      <c r="G1342" s="32" t="s">
        <v>6155</v>
      </c>
      <c r="H1342" s="22"/>
      <c r="I1342" s="11">
        <f>Table1[[#This Row],[Qty]]*Table1[[#This Row],[Price]]</f>
        <v>0</v>
      </c>
    </row>
    <row r="1343" spans="1:9" ht="13.5" customHeight="1" x14ac:dyDescent="0.25">
      <c r="A1343" s="28">
        <v>888874000605</v>
      </c>
      <c r="B1343" s="29" t="s">
        <v>2929</v>
      </c>
      <c r="C1343" s="33" t="s">
        <v>239</v>
      </c>
      <c r="D1343" s="31" t="s">
        <v>2930</v>
      </c>
      <c r="E1343" s="51">
        <v>97</v>
      </c>
      <c r="F1343" s="32" t="s">
        <v>15</v>
      </c>
      <c r="G1343" s="32">
        <v>0</v>
      </c>
      <c r="H1343" s="22"/>
      <c r="I1343" s="11">
        <f>Table1[[#This Row],[Qty]]*Table1[[#This Row],[Price]]</f>
        <v>0</v>
      </c>
    </row>
    <row r="1344" spans="1:9" ht="13.5" customHeight="1" x14ac:dyDescent="0.25">
      <c r="A1344" s="28">
        <v>888874005532</v>
      </c>
      <c r="B1344" s="29" t="s">
        <v>2931</v>
      </c>
      <c r="C1344" s="30" t="s">
        <v>239</v>
      </c>
      <c r="D1344" s="31" t="s">
        <v>2932</v>
      </c>
      <c r="E1344" s="51">
        <v>195</v>
      </c>
      <c r="F1344" s="32" t="s">
        <v>15</v>
      </c>
      <c r="G1344" s="32" t="s">
        <v>6650</v>
      </c>
      <c r="H1344" s="22"/>
      <c r="I1344" s="11">
        <f>Table1[[#This Row],[Qty]]*Table1[[#This Row],[Price]]</f>
        <v>0</v>
      </c>
    </row>
    <row r="1345" spans="1:9" ht="13.5" customHeight="1" x14ac:dyDescent="0.25">
      <c r="A1345" s="28">
        <v>888874005723</v>
      </c>
      <c r="B1345" s="29" t="s">
        <v>2933</v>
      </c>
      <c r="C1345" s="30" t="s">
        <v>239</v>
      </c>
      <c r="D1345" s="31" t="s">
        <v>2934</v>
      </c>
      <c r="E1345" s="51">
        <v>140</v>
      </c>
      <c r="F1345" s="32" t="s">
        <v>15</v>
      </c>
      <c r="G1345" s="32" t="s">
        <v>6651</v>
      </c>
      <c r="H1345" s="22"/>
      <c r="I1345" s="11">
        <f>Table1[[#This Row],[Qty]]*Table1[[#This Row],[Price]]</f>
        <v>0</v>
      </c>
    </row>
    <row r="1346" spans="1:9" ht="13.5" customHeight="1" x14ac:dyDescent="0.25">
      <c r="A1346" s="28">
        <v>888874007420</v>
      </c>
      <c r="B1346" s="29" t="s">
        <v>2935</v>
      </c>
      <c r="C1346" s="30" t="s">
        <v>239</v>
      </c>
      <c r="D1346" s="31" t="s">
        <v>2936</v>
      </c>
      <c r="E1346" s="51">
        <v>153</v>
      </c>
      <c r="F1346" s="32" t="s">
        <v>15</v>
      </c>
      <c r="G1346" s="32">
        <v>0</v>
      </c>
      <c r="H1346" s="22"/>
      <c r="I1346" s="11">
        <f>Table1[[#This Row],[Qty]]*Table1[[#This Row],[Price]]</f>
        <v>0</v>
      </c>
    </row>
    <row r="1347" spans="1:9" ht="13.5" customHeight="1" x14ac:dyDescent="0.25">
      <c r="A1347" s="28">
        <v>888874002296</v>
      </c>
      <c r="B1347" s="29" t="s">
        <v>4918</v>
      </c>
      <c r="C1347" s="30" t="s">
        <v>239</v>
      </c>
      <c r="D1347" s="31" t="s">
        <v>4919</v>
      </c>
      <c r="E1347" s="51">
        <v>174.5</v>
      </c>
      <c r="F1347" s="32" t="s">
        <v>15</v>
      </c>
      <c r="G1347" s="32">
        <v>0</v>
      </c>
      <c r="H1347" s="22"/>
      <c r="I1347" s="11">
        <f>Table1[[#This Row],[Qty]]*Table1[[#This Row],[Price]]</f>
        <v>0</v>
      </c>
    </row>
    <row r="1348" spans="1:9" ht="13.5" customHeight="1" x14ac:dyDescent="0.25">
      <c r="A1348" s="28">
        <v>3386460036405</v>
      </c>
      <c r="B1348" s="29" t="s">
        <v>1776</v>
      </c>
      <c r="C1348" s="30" t="s">
        <v>1777</v>
      </c>
      <c r="D1348" s="31" t="s">
        <v>1778</v>
      </c>
      <c r="E1348" s="51">
        <v>21</v>
      </c>
      <c r="F1348" s="32" t="s">
        <v>15</v>
      </c>
      <c r="G1348" s="32">
        <v>0</v>
      </c>
      <c r="H1348" s="22"/>
      <c r="I1348" s="11">
        <f>Table1[[#This Row],[Qty]]*Table1[[#This Row],[Price]]</f>
        <v>0</v>
      </c>
    </row>
    <row r="1349" spans="1:9" ht="13.5" customHeight="1" x14ac:dyDescent="0.25">
      <c r="A1349" s="28">
        <v>3386460036351</v>
      </c>
      <c r="B1349" s="29" t="s">
        <v>2938</v>
      </c>
      <c r="C1349" s="30" t="s">
        <v>1777</v>
      </c>
      <c r="D1349" s="31" t="s">
        <v>2939</v>
      </c>
      <c r="E1349" s="51">
        <v>23.85</v>
      </c>
      <c r="F1349" s="32" t="s">
        <v>15</v>
      </c>
      <c r="G1349" s="32">
        <v>0</v>
      </c>
      <c r="H1349" s="12"/>
      <c r="I1349" s="11">
        <f>Table1[[#This Row],[Qty]]*Table1[[#This Row],[Price]]</f>
        <v>0</v>
      </c>
    </row>
    <row r="1350" spans="1:9" ht="13.5" customHeight="1" x14ac:dyDescent="0.25">
      <c r="A1350" s="28">
        <v>719346621236</v>
      </c>
      <c r="B1350" s="29" t="s">
        <v>157</v>
      </c>
      <c r="C1350" s="30" t="s">
        <v>158</v>
      </c>
      <c r="D1350" s="31" t="s">
        <v>159</v>
      </c>
      <c r="E1350" s="51">
        <v>3.5</v>
      </c>
      <c r="F1350" s="32" t="s">
        <v>15</v>
      </c>
      <c r="G1350" s="32" t="s">
        <v>5664</v>
      </c>
      <c r="H1350" s="22"/>
      <c r="I1350" s="11">
        <f>Table1[[#This Row],[Qty]]*Table1[[#This Row],[Price]]</f>
        <v>0</v>
      </c>
    </row>
    <row r="1351" spans="1:9" ht="13.5" customHeight="1" x14ac:dyDescent="0.25">
      <c r="A1351" s="28">
        <v>719346567442</v>
      </c>
      <c r="B1351" s="29" t="s">
        <v>506</v>
      </c>
      <c r="C1351" s="30" t="s">
        <v>158</v>
      </c>
      <c r="D1351" s="31" t="s">
        <v>507</v>
      </c>
      <c r="E1351" s="51">
        <v>12.42</v>
      </c>
      <c r="F1351" s="32" t="s">
        <v>15</v>
      </c>
      <c r="G1351" s="32" t="s">
        <v>5861</v>
      </c>
      <c r="H1351" s="22"/>
      <c r="I1351" s="11">
        <f>Table1[[#This Row],[Qty]]*Table1[[#This Row],[Price]]</f>
        <v>0</v>
      </c>
    </row>
    <row r="1352" spans="1:9" ht="13.5" customHeight="1" x14ac:dyDescent="0.25">
      <c r="A1352" s="28">
        <v>719346256346</v>
      </c>
      <c r="B1352" s="29" t="s">
        <v>521</v>
      </c>
      <c r="C1352" s="30" t="s">
        <v>158</v>
      </c>
      <c r="D1352" s="31" t="s">
        <v>522</v>
      </c>
      <c r="E1352" s="51">
        <v>13.62</v>
      </c>
      <c r="F1352" s="32" t="s">
        <v>15</v>
      </c>
      <c r="G1352" s="32" t="s">
        <v>5868</v>
      </c>
      <c r="H1352" s="12"/>
      <c r="I1352" s="11">
        <f>Table1[[#This Row],[Qty]]*Table1[[#This Row],[Price]]</f>
        <v>0</v>
      </c>
    </row>
    <row r="1353" spans="1:9" ht="13.5" customHeight="1" x14ac:dyDescent="0.25">
      <c r="A1353" s="28">
        <v>719346262170</v>
      </c>
      <c r="B1353" s="29" t="s">
        <v>1829</v>
      </c>
      <c r="C1353" s="30" t="s">
        <v>158</v>
      </c>
      <c r="D1353" s="31" t="s">
        <v>1830</v>
      </c>
      <c r="E1353" s="51">
        <v>19</v>
      </c>
      <c r="F1353" s="32" t="s">
        <v>15</v>
      </c>
      <c r="G1353" s="32" t="s">
        <v>6310</v>
      </c>
      <c r="H1353" s="12"/>
      <c r="I1353" s="11">
        <f>Table1[[#This Row],[Qty]]*Table1[[#This Row],[Price]]</f>
        <v>0</v>
      </c>
    </row>
    <row r="1354" spans="1:9" ht="13.5" customHeight="1" x14ac:dyDescent="0.25">
      <c r="A1354" s="28">
        <v>719346117722</v>
      </c>
      <c r="B1354" s="29" t="s">
        <v>1908</v>
      </c>
      <c r="C1354" s="30" t="s">
        <v>158</v>
      </c>
      <c r="D1354" s="31" t="s">
        <v>1909</v>
      </c>
      <c r="E1354" s="51">
        <v>16.5</v>
      </c>
      <c r="F1354" s="32" t="s">
        <v>15</v>
      </c>
      <c r="G1354" s="32" t="s">
        <v>6334</v>
      </c>
      <c r="H1354" s="22"/>
      <c r="I1354" s="11">
        <f>Table1[[#This Row],[Qty]]*Table1[[#This Row],[Price]]</f>
        <v>0</v>
      </c>
    </row>
    <row r="1355" spans="1:9" ht="13.5" customHeight="1" x14ac:dyDescent="0.25">
      <c r="A1355" s="28">
        <v>719346565868</v>
      </c>
      <c r="B1355" s="29" t="s">
        <v>1967</v>
      </c>
      <c r="C1355" s="30" t="s">
        <v>158</v>
      </c>
      <c r="D1355" s="31" t="s">
        <v>1968</v>
      </c>
      <c r="E1355" s="51">
        <v>15</v>
      </c>
      <c r="F1355" s="32" t="s">
        <v>15</v>
      </c>
      <c r="G1355" s="32" t="s">
        <v>6351</v>
      </c>
      <c r="H1355" s="12"/>
      <c r="I1355" s="11">
        <f>Table1[[#This Row],[Qty]]*Table1[[#This Row],[Price]]</f>
        <v>0</v>
      </c>
    </row>
    <row r="1356" spans="1:9" ht="13.5" customHeight="1" x14ac:dyDescent="0.25">
      <c r="A1356" s="28">
        <v>719346698825</v>
      </c>
      <c r="B1356" s="29" t="s">
        <v>2015</v>
      </c>
      <c r="C1356" s="30" t="s">
        <v>158</v>
      </c>
      <c r="D1356" s="31" t="s">
        <v>2016</v>
      </c>
      <c r="E1356" s="51">
        <v>13.5</v>
      </c>
      <c r="F1356" s="32" t="s">
        <v>15</v>
      </c>
      <c r="G1356" s="32">
        <v>0</v>
      </c>
      <c r="H1356" s="12"/>
      <c r="I1356" s="11">
        <f>Table1[[#This Row],[Qty]]*Table1[[#This Row],[Price]]</f>
        <v>0</v>
      </c>
    </row>
    <row r="1357" spans="1:9" ht="13.5" customHeight="1" x14ac:dyDescent="0.25">
      <c r="A1357" s="28">
        <v>719346191814</v>
      </c>
      <c r="B1357" s="29" t="s">
        <v>2144</v>
      </c>
      <c r="C1357" s="30" t="s">
        <v>158</v>
      </c>
      <c r="D1357" s="31" t="s">
        <v>2145</v>
      </c>
      <c r="E1357" s="51">
        <v>11.36</v>
      </c>
      <c r="F1357" s="32" t="s">
        <v>15</v>
      </c>
      <c r="G1357" s="32" t="s">
        <v>6384</v>
      </c>
      <c r="H1357" s="22"/>
      <c r="I1357" s="11">
        <f>Table1[[#This Row],[Qty]]*Table1[[#This Row],[Price]]</f>
        <v>0</v>
      </c>
    </row>
    <row r="1358" spans="1:9" ht="13.5" customHeight="1" x14ac:dyDescent="0.25">
      <c r="A1358" s="28">
        <v>719346635035</v>
      </c>
      <c r="B1358" s="29" t="s">
        <v>2256</v>
      </c>
      <c r="C1358" s="30" t="s">
        <v>158</v>
      </c>
      <c r="D1358" s="31" t="s">
        <v>2257</v>
      </c>
      <c r="E1358" s="51">
        <v>6.9</v>
      </c>
      <c r="F1358" s="32" t="s">
        <v>15</v>
      </c>
      <c r="G1358" s="32" t="s">
        <v>6399</v>
      </c>
      <c r="H1358" s="22"/>
      <c r="I1358" s="11">
        <f>Table1[[#This Row],[Qty]]*Table1[[#This Row],[Price]]</f>
        <v>0</v>
      </c>
    </row>
    <row r="1359" spans="1:9" ht="13.5" customHeight="1" x14ac:dyDescent="0.25">
      <c r="A1359" s="28">
        <v>719346630856</v>
      </c>
      <c r="B1359" s="29" t="s">
        <v>2274</v>
      </c>
      <c r="C1359" s="30" t="s">
        <v>158</v>
      </c>
      <c r="D1359" s="31" t="s">
        <v>2275</v>
      </c>
      <c r="E1359" s="51">
        <v>5.85</v>
      </c>
      <c r="F1359" s="32" t="s">
        <v>15</v>
      </c>
      <c r="G1359" s="32">
        <v>0</v>
      </c>
      <c r="H1359" s="22"/>
      <c r="I1359" s="11">
        <f>Table1[[#This Row],[Qty]]*Table1[[#This Row],[Price]]</f>
        <v>0</v>
      </c>
    </row>
    <row r="1360" spans="1:9" ht="13.5" customHeight="1" x14ac:dyDescent="0.25">
      <c r="A1360" s="28">
        <v>719346250436</v>
      </c>
      <c r="B1360" s="29" t="s">
        <v>2940</v>
      </c>
      <c r="C1360" s="30" t="s">
        <v>158</v>
      </c>
      <c r="D1360" s="31" t="s">
        <v>2941</v>
      </c>
      <c r="E1360" s="51">
        <v>12.12</v>
      </c>
      <c r="F1360" s="32" t="s">
        <v>15</v>
      </c>
      <c r="G1360" s="32" t="s">
        <v>6652</v>
      </c>
      <c r="H1360" s="22"/>
      <c r="I1360" s="11">
        <f>Table1[[#This Row],[Qty]]*Table1[[#This Row],[Price]]</f>
        <v>0</v>
      </c>
    </row>
    <row r="1361" spans="1:9" ht="13.5" customHeight="1" x14ac:dyDescent="0.25">
      <c r="A1361" s="28">
        <v>719346636933</v>
      </c>
      <c r="B1361" s="29" t="s">
        <v>4075</v>
      </c>
      <c r="C1361" s="30" t="s">
        <v>158</v>
      </c>
      <c r="D1361" s="31" t="s">
        <v>4076</v>
      </c>
      <c r="E1361" s="51">
        <v>3.57</v>
      </c>
      <c r="F1361" s="32" t="s">
        <v>15</v>
      </c>
      <c r="G1361" s="32" t="s">
        <v>7194</v>
      </c>
      <c r="H1361" s="12"/>
      <c r="I1361" s="11">
        <f>Table1[[#This Row],[Qty]]*Table1[[#This Row],[Price]]</f>
        <v>0</v>
      </c>
    </row>
    <row r="1362" spans="1:9" ht="13.5" customHeight="1" x14ac:dyDescent="0.25">
      <c r="A1362" s="28">
        <v>719346233439</v>
      </c>
      <c r="B1362" s="29" t="s">
        <v>4933</v>
      </c>
      <c r="C1362" s="30" t="s">
        <v>158</v>
      </c>
      <c r="D1362" s="31" t="s">
        <v>4934</v>
      </c>
      <c r="E1362" s="51">
        <v>6</v>
      </c>
      <c r="F1362" s="32" t="s">
        <v>15</v>
      </c>
      <c r="G1362" s="32">
        <v>0</v>
      </c>
      <c r="H1362" s="12"/>
      <c r="I1362" s="11">
        <f>Table1[[#This Row],[Qty]]*Table1[[#This Row],[Price]]</f>
        <v>0</v>
      </c>
    </row>
    <row r="1363" spans="1:9" ht="13.5" customHeight="1" x14ac:dyDescent="0.25">
      <c r="A1363" s="28">
        <v>3614227748682</v>
      </c>
      <c r="B1363" s="29" t="s">
        <v>1666</v>
      </c>
      <c r="C1363" s="30" t="s">
        <v>1667</v>
      </c>
      <c r="D1363" s="31" t="s">
        <v>1668</v>
      </c>
      <c r="E1363" s="51">
        <v>26</v>
      </c>
      <c r="F1363" s="32" t="s">
        <v>15</v>
      </c>
      <c r="G1363" s="32">
        <v>0</v>
      </c>
      <c r="H1363" s="22"/>
      <c r="I1363" s="11">
        <f>Table1[[#This Row],[Qty]]*Table1[[#This Row],[Price]]</f>
        <v>0</v>
      </c>
    </row>
    <row r="1364" spans="1:9" ht="13.5" customHeight="1" x14ac:dyDescent="0.25">
      <c r="A1364" s="28">
        <v>3614226905666</v>
      </c>
      <c r="B1364" s="29" t="s">
        <v>1673</v>
      </c>
      <c r="C1364" s="30" t="s">
        <v>1667</v>
      </c>
      <c r="D1364" s="31" t="s">
        <v>1674</v>
      </c>
      <c r="E1364" s="51">
        <v>25.5</v>
      </c>
      <c r="F1364" s="32" t="s">
        <v>15</v>
      </c>
      <c r="G1364" s="32">
        <v>0</v>
      </c>
      <c r="H1364" s="12"/>
      <c r="I1364" s="11">
        <f>Table1[[#This Row],[Qty]]*Table1[[#This Row],[Price]]</f>
        <v>0</v>
      </c>
    </row>
    <row r="1365" spans="1:9" ht="13.5" customHeight="1" x14ac:dyDescent="0.25">
      <c r="A1365" s="28">
        <v>3614226905758</v>
      </c>
      <c r="B1365" s="29" t="s">
        <v>3734</v>
      </c>
      <c r="C1365" s="30" t="s">
        <v>1667</v>
      </c>
      <c r="D1365" s="31" t="s">
        <v>3735</v>
      </c>
      <c r="E1365" s="51">
        <v>21.12</v>
      </c>
      <c r="F1365" s="32" t="s">
        <v>15</v>
      </c>
      <c r="G1365" s="32" t="s">
        <v>7039</v>
      </c>
      <c r="H1365" s="12"/>
      <c r="I1365" s="11">
        <f>Table1[[#This Row],[Qty]]*Table1[[#This Row],[Price]]</f>
        <v>0</v>
      </c>
    </row>
    <row r="1366" spans="1:9" ht="13.5" customHeight="1" x14ac:dyDescent="0.25">
      <c r="A1366" s="28">
        <v>3614229820799</v>
      </c>
      <c r="B1366" s="29" t="s">
        <v>4202</v>
      </c>
      <c r="C1366" s="30" t="s">
        <v>1667</v>
      </c>
      <c r="D1366" s="31" t="s">
        <v>4203</v>
      </c>
      <c r="E1366" s="51">
        <v>49.5</v>
      </c>
      <c r="F1366" s="32" t="s">
        <v>15</v>
      </c>
      <c r="G1366" s="32">
        <v>0</v>
      </c>
      <c r="H1366" s="12"/>
      <c r="I1366" s="11">
        <f>Table1[[#This Row],[Qty]]*Table1[[#This Row],[Price]]</f>
        <v>0</v>
      </c>
    </row>
    <row r="1367" spans="1:9" ht="13.5" customHeight="1" x14ac:dyDescent="0.25">
      <c r="A1367" s="28">
        <v>3616301838227</v>
      </c>
      <c r="B1367" s="29" t="s">
        <v>4204</v>
      </c>
      <c r="C1367" s="30" t="s">
        <v>1667</v>
      </c>
      <c r="D1367" s="31" t="s">
        <v>4205</v>
      </c>
      <c r="E1367" s="51">
        <v>20.5</v>
      </c>
      <c r="F1367" s="32" t="s">
        <v>15</v>
      </c>
      <c r="G1367" s="32">
        <v>0</v>
      </c>
      <c r="H1367" s="22"/>
      <c r="I1367" s="11">
        <f>Table1[[#This Row],[Qty]]*Table1[[#This Row],[Price]]</f>
        <v>0</v>
      </c>
    </row>
    <row r="1368" spans="1:9" ht="13.5" customHeight="1" x14ac:dyDescent="0.25">
      <c r="A1368" s="48">
        <v>3614229820805</v>
      </c>
      <c r="B1368" s="41" t="s">
        <v>4569</v>
      </c>
      <c r="C1368" s="6" t="s">
        <v>1667</v>
      </c>
      <c r="D1368" t="s">
        <v>4570</v>
      </c>
      <c r="E1368" s="47">
        <v>71.55</v>
      </c>
      <c r="F1368" s="6" t="s">
        <v>15</v>
      </c>
      <c r="G1368" s="6">
        <v>0</v>
      </c>
      <c r="H1368" s="22"/>
      <c r="I1368" s="11">
        <f>Table1[[#This Row],[Qty]]*Table1[[#This Row],[Price]]</f>
        <v>0</v>
      </c>
    </row>
    <row r="1369" spans="1:9" ht="13.5" customHeight="1" x14ac:dyDescent="0.25">
      <c r="A1369" s="28">
        <v>3614226905963</v>
      </c>
      <c r="B1369" s="29" t="s">
        <v>4564</v>
      </c>
      <c r="C1369" s="30" t="s">
        <v>1667</v>
      </c>
      <c r="D1369" s="31" t="s">
        <v>4565</v>
      </c>
      <c r="E1369" s="51">
        <v>58.83</v>
      </c>
      <c r="F1369" s="32" t="s">
        <v>15</v>
      </c>
      <c r="G1369" s="32">
        <v>0</v>
      </c>
      <c r="H1369" s="22"/>
      <c r="I1369" s="11">
        <f>Table1[[#This Row],[Qty]]*Table1[[#This Row],[Price]]</f>
        <v>0</v>
      </c>
    </row>
    <row r="1370" spans="1:9" ht="13.5" customHeight="1" x14ac:dyDescent="0.25">
      <c r="A1370" s="28">
        <v>3616300892442</v>
      </c>
      <c r="B1370" s="29" t="s">
        <v>4914</v>
      </c>
      <c r="C1370" s="30" t="s">
        <v>1667</v>
      </c>
      <c r="D1370" s="31" t="s">
        <v>4915</v>
      </c>
      <c r="E1370" s="51">
        <v>58.83</v>
      </c>
      <c r="F1370" s="32" t="s">
        <v>15</v>
      </c>
      <c r="G1370" s="32">
        <v>0</v>
      </c>
      <c r="H1370" s="12"/>
      <c r="I1370" s="11">
        <f>Table1[[#This Row],[Qty]]*Table1[[#This Row],[Price]]</f>
        <v>0</v>
      </c>
    </row>
    <row r="1371" spans="1:9" ht="13.5" customHeight="1" x14ac:dyDescent="0.25">
      <c r="A1371" s="28">
        <v>3614226904966</v>
      </c>
      <c r="B1371" s="29" t="s">
        <v>4869</v>
      </c>
      <c r="C1371" s="30" t="s">
        <v>1667</v>
      </c>
      <c r="D1371" s="31" t="s">
        <v>4870</v>
      </c>
      <c r="E1371" s="51">
        <v>28</v>
      </c>
      <c r="F1371" s="32" t="s">
        <v>15</v>
      </c>
      <c r="G1371" s="32">
        <v>0</v>
      </c>
      <c r="H1371" s="12"/>
      <c r="I1371" s="11">
        <f>Table1[[#This Row],[Qty]]*Table1[[#This Row],[Price]]</f>
        <v>0</v>
      </c>
    </row>
    <row r="1372" spans="1:9" ht="13.5" customHeight="1" x14ac:dyDescent="0.25">
      <c r="A1372" s="28">
        <v>3614226905000</v>
      </c>
      <c r="B1372" s="29" t="s">
        <v>4867</v>
      </c>
      <c r="C1372" s="30" t="s">
        <v>1667</v>
      </c>
      <c r="D1372" s="31" t="s">
        <v>4868</v>
      </c>
      <c r="E1372" s="51">
        <v>27</v>
      </c>
      <c r="F1372" s="32" t="s">
        <v>15</v>
      </c>
      <c r="G1372" s="32">
        <v>0</v>
      </c>
      <c r="H1372" s="22"/>
      <c r="I1372" s="11">
        <f>Table1[[#This Row],[Qty]]*Table1[[#This Row],[Price]]</f>
        <v>0</v>
      </c>
    </row>
    <row r="1373" spans="1:9" ht="13.5" customHeight="1" x14ac:dyDescent="0.25">
      <c r="A1373" s="28">
        <v>3614226905215</v>
      </c>
      <c r="B1373" s="29" t="s">
        <v>5167</v>
      </c>
      <c r="C1373" s="30" t="s">
        <v>5168</v>
      </c>
      <c r="D1373" s="31" t="s">
        <v>5169</v>
      </c>
      <c r="E1373" s="51">
        <v>25.22</v>
      </c>
      <c r="F1373" s="32" t="s">
        <v>15</v>
      </c>
      <c r="G1373" s="32"/>
      <c r="H1373" s="14"/>
      <c r="I1373" s="11">
        <f>Table1[[#This Row],[Qty]]*Table1[[#This Row],[Price]]</f>
        <v>0</v>
      </c>
    </row>
    <row r="1374" spans="1:9" ht="13.5" customHeight="1" x14ac:dyDescent="0.25">
      <c r="A1374" s="28">
        <v>3614226905208</v>
      </c>
      <c r="B1374" s="29" t="s">
        <v>5303</v>
      </c>
      <c r="C1374" s="30" t="s">
        <v>5168</v>
      </c>
      <c r="D1374" s="31" t="s">
        <v>5304</v>
      </c>
      <c r="E1374" s="51">
        <v>20.95</v>
      </c>
      <c r="F1374" s="32" t="s">
        <v>15</v>
      </c>
      <c r="G1374" s="32"/>
      <c r="H1374" s="12"/>
      <c r="I1374" s="11">
        <f>Table1[[#This Row],[Qty]]*Table1[[#This Row],[Price]]</f>
        <v>0</v>
      </c>
    </row>
    <row r="1375" spans="1:9" ht="13.5" customHeight="1" x14ac:dyDescent="0.25">
      <c r="A1375" s="28">
        <v>3614226905192</v>
      </c>
      <c r="B1375" s="29" t="s">
        <v>4861</v>
      </c>
      <c r="C1375" s="30" t="s">
        <v>1667</v>
      </c>
      <c r="D1375" s="31" t="s">
        <v>4862</v>
      </c>
      <c r="E1375" s="51">
        <v>20.63</v>
      </c>
      <c r="F1375" s="32" t="s">
        <v>15</v>
      </c>
      <c r="G1375" s="32">
        <v>0</v>
      </c>
      <c r="H1375" s="12"/>
      <c r="I1375" s="11">
        <f>Table1[[#This Row],[Qty]]*Table1[[#This Row],[Price]]</f>
        <v>0</v>
      </c>
    </row>
    <row r="1376" spans="1:9" ht="13.5" customHeight="1" x14ac:dyDescent="0.25">
      <c r="A1376" s="28">
        <v>3614226905697</v>
      </c>
      <c r="B1376" s="29" t="s">
        <v>5313</v>
      </c>
      <c r="C1376" s="30" t="s">
        <v>1667</v>
      </c>
      <c r="D1376" s="31" t="s">
        <v>5314</v>
      </c>
      <c r="E1376" s="51">
        <v>18.649999999999999</v>
      </c>
      <c r="F1376" s="32" t="s">
        <v>15</v>
      </c>
      <c r="G1376" s="32">
        <v>0</v>
      </c>
      <c r="H1376" s="22"/>
      <c r="I1376" s="11">
        <f>Table1[[#This Row],[Qty]]*Table1[[#This Row],[Price]]</f>
        <v>0</v>
      </c>
    </row>
    <row r="1377" spans="1:9" ht="13.5" customHeight="1" x14ac:dyDescent="0.25">
      <c r="A1377" s="28">
        <v>3614226905253</v>
      </c>
      <c r="B1377" s="29" t="s">
        <v>5334</v>
      </c>
      <c r="C1377" s="30" t="s">
        <v>1667</v>
      </c>
      <c r="D1377" s="31" t="s">
        <v>5335</v>
      </c>
      <c r="E1377" s="51">
        <v>17.7</v>
      </c>
      <c r="F1377" s="32" t="s">
        <v>15</v>
      </c>
      <c r="G1377" s="32" t="s">
        <v>7419</v>
      </c>
      <c r="H1377" s="12"/>
      <c r="I1377" s="11">
        <f>Table1[[#This Row],[Qty]]*Table1[[#This Row],[Price]]</f>
        <v>0</v>
      </c>
    </row>
    <row r="1378" spans="1:9" ht="13.5" customHeight="1" x14ac:dyDescent="0.25">
      <c r="A1378" s="28">
        <v>3614226905185</v>
      </c>
      <c r="B1378" s="29" t="s">
        <v>5323</v>
      </c>
      <c r="C1378" s="30" t="s">
        <v>1667</v>
      </c>
      <c r="D1378" s="31" t="s">
        <v>5324</v>
      </c>
      <c r="E1378" s="51">
        <v>16.3</v>
      </c>
      <c r="F1378" s="32" t="s">
        <v>15</v>
      </c>
      <c r="G1378" s="32">
        <v>0</v>
      </c>
      <c r="H1378" s="22"/>
      <c r="I1378" s="11">
        <f>Table1[[#This Row],[Qty]]*Table1[[#This Row],[Price]]</f>
        <v>0</v>
      </c>
    </row>
    <row r="1379" spans="1:9" ht="13.5" customHeight="1" x14ac:dyDescent="0.25">
      <c r="A1379" s="28">
        <v>783320416101</v>
      </c>
      <c r="B1379" s="29" t="s">
        <v>201</v>
      </c>
      <c r="C1379" s="30" t="s">
        <v>202</v>
      </c>
      <c r="D1379" s="31" t="s">
        <v>203</v>
      </c>
      <c r="E1379" s="51">
        <v>34</v>
      </c>
      <c r="F1379" s="32" t="s">
        <v>15</v>
      </c>
      <c r="G1379" s="32" t="s">
        <v>5683</v>
      </c>
      <c r="H1379" s="22"/>
      <c r="I1379" s="11">
        <f>Table1[[#This Row],[Qty]]*Table1[[#This Row],[Price]]</f>
        <v>0</v>
      </c>
    </row>
    <row r="1380" spans="1:9" ht="13.5" customHeight="1" x14ac:dyDescent="0.25">
      <c r="A1380" s="28">
        <v>783320833700</v>
      </c>
      <c r="B1380" s="29" t="s">
        <v>1222</v>
      </c>
      <c r="C1380" s="30" t="s">
        <v>202</v>
      </c>
      <c r="D1380" s="31" t="s">
        <v>1223</v>
      </c>
      <c r="E1380" s="51">
        <v>78.44</v>
      </c>
      <c r="F1380" s="32" t="s">
        <v>15</v>
      </c>
      <c r="G1380" s="32">
        <v>0</v>
      </c>
      <c r="H1380" s="22"/>
      <c r="I1380" s="11">
        <f>Table1[[#This Row],[Qty]]*Table1[[#This Row],[Price]]</f>
        <v>0</v>
      </c>
    </row>
    <row r="1381" spans="1:9" ht="13.5" customHeight="1" x14ac:dyDescent="0.25">
      <c r="A1381" s="28">
        <v>783320420566</v>
      </c>
      <c r="B1381" s="29" t="s">
        <v>1234</v>
      </c>
      <c r="C1381" s="33" t="s">
        <v>202</v>
      </c>
      <c r="D1381" s="31" t="s">
        <v>1235</v>
      </c>
      <c r="E1381" s="51">
        <v>75.260000000000005</v>
      </c>
      <c r="F1381" s="32" t="s">
        <v>15</v>
      </c>
      <c r="G1381" s="32">
        <v>0</v>
      </c>
      <c r="H1381" s="22"/>
      <c r="I1381" s="11">
        <f>Table1[[#This Row],[Qty]]*Table1[[#This Row],[Price]]</f>
        <v>0</v>
      </c>
    </row>
    <row r="1382" spans="1:9" ht="13.5" customHeight="1" x14ac:dyDescent="0.25">
      <c r="A1382" s="28">
        <v>783320413858</v>
      </c>
      <c r="B1382" s="29" t="s">
        <v>1259</v>
      </c>
      <c r="C1382" s="30" t="s">
        <v>202</v>
      </c>
      <c r="D1382" s="31" t="s">
        <v>1260</v>
      </c>
      <c r="E1382" s="51">
        <v>67.84</v>
      </c>
      <c r="F1382" s="32" t="s">
        <v>15</v>
      </c>
      <c r="G1382" s="32">
        <v>0</v>
      </c>
      <c r="H1382" s="22"/>
      <c r="I1382" s="11">
        <f>Table1[[#This Row],[Qty]]*Table1[[#This Row],[Price]]</f>
        <v>0</v>
      </c>
    </row>
    <row r="1383" spans="1:9" ht="13.5" customHeight="1" x14ac:dyDescent="0.25">
      <c r="A1383" s="28">
        <v>783320402739</v>
      </c>
      <c r="B1383" s="29" t="s">
        <v>1264</v>
      </c>
      <c r="C1383" s="30" t="s">
        <v>202</v>
      </c>
      <c r="D1383" s="31" t="s">
        <v>1265</v>
      </c>
      <c r="E1383" s="51">
        <v>67.84</v>
      </c>
      <c r="F1383" s="32" t="s">
        <v>15</v>
      </c>
      <c r="G1383" s="32" t="s">
        <v>6178</v>
      </c>
      <c r="H1383" s="12"/>
      <c r="I1383" s="11">
        <f>Table1[[#This Row],[Qty]]*Table1[[#This Row],[Price]]</f>
        <v>0</v>
      </c>
    </row>
    <row r="1384" spans="1:9" ht="13.5" customHeight="1" x14ac:dyDescent="0.25">
      <c r="A1384" s="28">
        <v>783320402852</v>
      </c>
      <c r="B1384" s="29" t="s">
        <v>1322</v>
      </c>
      <c r="C1384" s="30" t="s">
        <v>202</v>
      </c>
      <c r="D1384" s="31" t="s">
        <v>1323</v>
      </c>
      <c r="E1384" s="51">
        <v>59.36</v>
      </c>
      <c r="F1384" s="32" t="s">
        <v>15</v>
      </c>
      <c r="G1384" s="32" t="s">
        <v>6191</v>
      </c>
      <c r="H1384" s="12"/>
      <c r="I1384" s="11">
        <f>Table1[[#This Row],[Qty]]*Table1[[#This Row],[Price]]</f>
        <v>0</v>
      </c>
    </row>
    <row r="1385" spans="1:9" ht="13.5" customHeight="1" x14ac:dyDescent="0.25">
      <c r="A1385" s="28">
        <v>783320403897</v>
      </c>
      <c r="B1385" s="29" t="s">
        <v>1363</v>
      </c>
      <c r="C1385" s="30" t="s">
        <v>202</v>
      </c>
      <c r="D1385" s="31" t="s">
        <v>1364</v>
      </c>
      <c r="E1385" s="51">
        <v>52.47</v>
      </c>
      <c r="F1385" s="32" t="s">
        <v>15</v>
      </c>
      <c r="G1385" s="32">
        <v>0</v>
      </c>
      <c r="H1385" s="22"/>
      <c r="I1385" s="11">
        <f>Table1[[#This Row],[Qty]]*Table1[[#This Row],[Price]]</f>
        <v>0</v>
      </c>
    </row>
    <row r="1386" spans="1:9" ht="13.5" customHeight="1" x14ac:dyDescent="0.25">
      <c r="A1386" s="28">
        <v>783320415623</v>
      </c>
      <c r="B1386" s="29" t="s">
        <v>1401</v>
      </c>
      <c r="C1386" s="30" t="s">
        <v>202</v>
      </c>
      <c r="D1386" s="31" t="s">
        <v>1402</v>
      </c>
      <c r="E1386" s="51">
        <v>47.7</v>
      </c>
      <c r="F1386" s="32" t="s">
        <v>15</v>
      </c>
      <c r="G1386" s="32">
        <v>0</v>
      </c>
      <c r="H1386" s="22"/>
      <c r="I1386" s="11">
        <f>Table1[[#This Row],[Qty]]*Table1[[#This Row],[Price]]</f>
        <v>0</v>
      </c>
    </row>
    <row r="1387" spans="1:9" ht="13.5" customHeight="1" x14ac:dyDescent="0.25">
      <c r="A1387" s="28">
        <v>783320410888</v>
      </c>
      <c r="B1387" s="29" t="s">
        <v>2946</v>
      </c>
      <c r="C1387" s="30" t="s">
        <v>202</v>
      </c>
      <c r="D1387" s="31" t="s">
        <v>2947</v>
      </c>
      <c r="E1387" s="51">
        <v>44</v>
      </c>
      <c r="F1387" s="32" t="s">
        <v>15</v>
      </c>
      <c r="G1387" s="32">
        <v>0</v>
      </c>
      <c r="H1387" s="22"/>
      <c r="I1387" s="11">
        <f>Table1[[#This Row],[Qty]]*Table1[[#This Row],[Price]]</f>
        <v>0</v>
      </c>
    </row>
    <row r="1388" spans="1:9" ht="13.5" customHeight="1" x14ac:dyDescent="0.25">
      <c r="A1388" s="28">
        <v>783320977343</v>
      </c>
      <c r="B1388" s="29" t="s">
        <v>2948</v>
      </c>
      <c r="C1388" s="33" t="s">
        <v>202</v>
      </c>
      <c r="D1388" s="31" t="s">
        <v>2949</v>
      </c>
      <c r="E1388" s="51">
        <v>56.18</v>
      </c>
      <c r="F1388" s="32" t="s">
        <v>15</v>
      </c>
      <c r="G1388" s="32" t="s">
        <v>6654</v>
      </c>
      <c r="H1388" s="22"/>
      <c r="I1388" s="11">
        <f>Table1[[#This Row],[Qty]]*Table1[[#This Row],[Price]]</f>
        <v>0</v>
      </c>
    </row>
    <row r="1389" spans="1:9" ht="13.5" customHeight="1" x14ac:dyDescent="0.25">
      <c r="A1389" s="28">
        <v>783320416118</v>
      </c>
      <c r="B1389" s="29" t="s">
        <v>5348</v>
      </c>
      <c r="C1389" s="30" t="s">
        <v>202</v>
      </c>
      <c r="D1389" s="31" t="s">
        <v>5349</v>
      </c>
      <c r="E1389" s="51">
        <v>14</v>
      </c>
      <c r="F1389" s="32" t="s">
        <v>15</v>
      </c>
      <c r="G1389" s="32">
        <v>0</v>
      </c>
      <c r="H1389" s="12"/>
      <c r="I1389" s="11">
        <f>Table1[[#This Row],[Qty]]*Table1[[#This Row],[Price]]</f>
        <v>0</v>
      </c>
    </row>
    <row r="1390" spans="1:9" ht="13.5" customHeight="1" x14ac:dyDescent="0.25">
      <c r="A1390" s="28">
        <v>3614271775047</v>
      </c>
      <c r="B1390" s="29" t="s">
        <v>1477</v>
      </c>
      <c r="C1390" s="30" t="s">
        <v>1478</v>
      </c>
      <c r="D1390" s="31" t="s">
        <v>1479</v>
      </c>
      <c r="E1390" s="51">
        <v>37.5</v>
      </c>
      <c r="F1390" s="32" t="s">
        <v>15</v>
      </c>
      <c r="G1390" s="32">
        <v>0</v>
      </c>
      <c r="H1390" s="22"/>
      <c r="I1390" s="11">
        <f>Table1[[#This Row],[Qty]]*Table1[[#This Row],[Price]]</f>
        <v>0</v>
      </c>
    </row>
    <row r="1391" spans="1:9" ht="13.5" customHeight="1" x14ac:dyDescent="0.25">
      <c r="A1391" s="28">
        <v>3614273843188</v>
      </c>
      <c r="B1391" s="29" t="s">
        <v>1564</v>
      </c>
      <c r="C1391" s="30" t="s">
        <v>1478</v>
      </c>
      <c r="D1391" s="31" t="s">
        <v>1565</v>
      </c>
      <c r="E1391" s="51">
        <v>30.25</v>
      </c>
      <c r="F1391" s="32" t="s">
        <v>15</v>
      </c>
      <c r="G1391" s="32">
        <v>0</v>
      </c>
      <c r="H1391" s="22"/>
      <c r="I1391" s="11">
        <f>Table1[[#This Row],[Qty]]*Table1[[#This Row],[Price]]</f>
        <v>0</v>
      </c>
    </row>
    <row r="1392" spans="1:9" ht="13.5" customHeight="1" x14ac:dyDescent="0.25">
      <c r="A1392" s="28">
        <v>3360374507206</v>
      </c>
      <c r="B1392" s="29" t="s">
        <v>1715</v>
      </c>
      <c r="C1392" s="30" t="s">
        <v>1478</v>
      </c>
      <c r="D1392" s="31" t="s">
        <v>1716</v>
      </c>
      <c r="E1392" s="51">
        <v>23.5</v>
      </c>
      <c r="F1392" s="32" t="s">
        <v>15</v>
      </c>
      <c r="G1392" s="32" t="s">
        <v>6281</v>
      </c>
      <c r="H1392" s="14"/>
      <c r="I1392" s="11">
        <f>Table1[[#This Row],[Qty]]*Table1[[#This Row],[Price]]</f>
        <v>0</v>
      </c>
    </row>
    <row r="1393" spans="1:9" ht="13.5" customHeight="1" x14ac:dyDescent="0.25">
      <c r="A1393" s="28">
        <v>3614273476140</v>
      </c>
      <c r="B1393" s="29" t="s">
        <v>1982</v>
      </c>
      <c r="C1393" s="30" t="s">
        <v>1478</v>
      </c>
      <c r="D1393" s="31" t="s">
        <v>1983</v>
      </c>
      <c r="E1393" s="51">
        <v>14.5</v>
      </c>
      <c r="F1393" s="32" t="s">
        <v>15</v>
      </c>
      <c r="G1393" s="32">
        <v>0</v>
      </c>
      <c r="H1393" s="22"/>
      <c r="I1393" s="11">
        <f>Table1[[#This Row],[Qty]]*Table1[[#This Row],[Price]]</f>
        <v>0</v>
      </c>
    </row>
    <row r="1394" spans="1:9" ht="13.5" customHeight="1" x14ac:dyDescent="0.25">
      <c r="A1394" s="28">
        <v>3360373063703</v>
      </c>
      <c r="B1394" s="29" t="s">
        <v>4502</v>
      </c>
      <c r="C1394" s="30" t="s">
        <v>1478</v>
      </c>
      <c r="D1394" s="31" t="s">
        <v>4503</v>
      </c>
      <c r="E1394" s="51">
        <v>22.25</v>
      </c>
      <c r="F1394" s="32" t="s">
        <v>15</v>
      </c>
      <c r="G1394" s="32">
        <v>0</v>
      </c>
      <c r="H1394" s="12"/>
      <c r="I1394" s="11">
        <f>Table1[[#This Row],[Qty]]*Table1[[#This Row],[Price]]</f>
        <v>0</v>
      </c>
    </row>
    <row r="1395" spans="1:9" ht="13.5" customHeight="1" x14ac:dyDescent="0.25">
      <c r="A1395" s="28">
        <v>3360373016358</v>
      </c>
      <c r="B1395" s="29" t="s">
        <v>5319</v>
      </c>
      <c r="C1395" s="30" t="s">
        <v>1478</v>
      </c>
      <c r="D1395" s="31" t="s">
        <v>5320</v>
      </c>
      <c r="E1395" s="51">
        <v>7.25</v>
      </c>
      <c r="F1395" s="32" t="s">
        <v>15</v>
      </c>
      <c r="G1395" s="32" t="s">
        <v>7439</v>
      </c>
      <c r="H1395" s="12"/>
      <c r="I1395" s="11">
        <f>Table1[[#This Row],[Qty]]*Table1[[#This Row],[Price]]</f>
        <v>0</v>
      </c>
    </row>
    <row r="1396" spans="1:9" ht="13.5" customHeight="1" x14ac:dyDescent="0.25">
      <c r="A1396" s="28">
        <v>88300106752</v>
      </c>
      <c r="B1396" s="29" t="s">
        <v>124</v>
      </c>
      <c r="C1396" s="33" t="s">
        <v>43</v>
      </c>
      <c r="D1396" s="31" t="s">
        <v>125</v>
      </c>
      <c r="E1396" s="51">
        <v>21</v>
      </c>
      <c r="F1396" s="32" t="s">
        <v>15</v>
      </c>
      <c r="G1396" s="32" t="s">
        <v>5651</v>
      </c>
      <c r="H1396" s="22"/>
      <c r="I1396" s="11">
        <f>Table1[[#This Row],[Qty]]*Table1[[#This Row],[Price]]</f>
        <v>0</v>
      </c>
    </row>
    <row r="1397" spans="1:9" ht="13.5" customHeight="1" x14ac:dyDescent="0.25">
      <c r="A1397" s="28">
        <v>88300602513</v>
      </c>
      <c r="B1397" s="29" t="s">
        <v>194</v>
      </c>
      <c r="C1397" s="30" t="s">
        <v>43</v>
      </c>
      <c r="D1397" s="31" t="s">
        <v>195</v>
      </c>
      <c r="E1397" s="51">
        <v>19</v>
      </c>
      <c r="F1397" s="32" t="s">
        <v>15</v>
      </c>
      <c r="G1397" s="32" t="s">
        <v>5680</v>
      </c>
      <c r="H1397" s="22"/>
      <c r="I1397" s="11">
        <f>Table1[[#This Row],[Qty]]*Table1[[#This Row],[Price]]</f>
        <v>0</v>
      </c>
    </row>
    <row r="1398" spans="1:9" ht="13.5" customHeight="1" x14ac:dyDescent="0.25">
      <c r="A1398" s="28">
        <v>88300196944</v>
      </c>
      <c r="B1398" s="29" t="s">
        <v>275</v>
      </c>
      <c r="C1398" s="30" t="s">
        <v>43</v>
      </c>
      <c r="D1398" s="31" t="s">
        <v>276</v>
      </c>
      <c r="E1398" s="51">
        <v>16.100000000000001</v>
      </c>
      <c r="F1398" s="32" t="s">
        <v>15</v>
      </c>
      <c r="G1398" s="32" t="s">
        <v>5716</v>
      </c>
      <c r="H1398" s="14"/>
      <c r="I1398" s="11">
        <f>Table1[[#This Row],[Qty]]*Table1[[#This Row],[Price]]</f>
        <v>0</v>
      </c>
    </row>
    <row r="1399" spans="1:9" ht="13.5" customHeight="1" x14ac:dyDescent="0.25">
      <c r="A1399" s="28">
        <v>88300150458</v>
      </c>
      <c r="B1399" s="29" t="s">
        <v>288</v>
      </c>
      <c r="C1399" s="30" t="s">
        <v>43</v>
      </c>
      <c r="D1399" s="31" t="s">
        <v>289</v>
      </c>
      <c r="E1399" s="51">
        <v>18</v>
      </c>
      <c r="F1399" s="32" t="s">
        <v>15</v>
      </c>
      <c r="G1399" s="32" t="s">
        <v>5721</v>
      </c>
      <c r="H1399" s="12"/>
      <c r="I1399" s="11">
        <f>Table1[[#This Row],[Qty]]*Table1[[#This Row],[Price]]</f>
        <v>0</v>
      </c>
    </row>
    <row r="1400" spans="1:9" ht="13.5" customHeight="1" x14ac:dyDescent="0.25">
      <c r="A1400" s="28">
        <v>88300162543</v>
      </c>
      <c r="B1400" s="29" t="s">
        <v>1625</v>
      </c>
      <c r="C1400" s="30" t="s">
        <v>43</v>
      </c>
      <c r="D1400" s="31" t="s">
        <v>1626</v>
      </c>
      <c r="E1400" s="51">
        <v>27.25</v>
      </c>
      <c r="F1400" s="32" t="s">
        <v>15</v>
      </c>
      <c r="G1400" s="32" t="s">
        <v>6260</v>
      </c>
      <c r="H1400" s="22"/>
      <c r="I1400" s="11">
        <f>Table1[[#This Row],[Qty]]*Table1[[#This Row],[Price]]</f>
        <v>0</v>
      </c>
    </row>
    <row r="1401" spans="1:9" ht="13.5" customHeight="1" x14ac:dyDescent="0.25">
      <c r="A1401" s="28">
        <v>3607342401822</v>
      </c>
      <c r="B1401" s="29" t="s">
        <v>1760</v>
      </c>
      <c r="C1401" s="30" t="s">
        <v>43</v>
      </c>
      <c r="D1401" s="31" t="s">
        <v>1761</v>
      </c>
      <c r="E1401" s="51">
        <v>21.5</v>
      </c>
      <c r="F1401" s="32" t="s">
        <v>15</v>
      </c>
      <c r="G1401" s="32">
        <v>0</v>
      </c>
      <c r="H1401" s="22"/>
      <c r="I1401" s="11">
        <f>Table1[[#This Row],[Qty]]*Table1[[#This Row],[Price]]</f>
        <v>0</v>
      </c>
    </row>
    <row r="1402" spans="1:9" ht="13.5" customHeight="1" x14ac:dyDescent="0.25">
      <c r="A1402" s="28">
        <v>88300104437</v>
      </c>
      <c r="B1402" s="29" t="s">
        <v>1783</v>
      </c>
      <c r="C1402" s="30" t="s">
        <v>43</v>
      </c>
      <c r="D1402" s="31" t="s">
        <v>1784</v>
      </c>
      <c r="E1402" s="51">
        <v>20.5</v>
      </c>
      <c r="F1402" s="32" t="s">
        <v>15</v>
      </c>
      <c r="G1402" s="32" t="s">
        <v>6302</v>
      </c>
      <c r="H1402" s="22"/>
      <c r="I1402" s="11">
        <f>Table1[[#This Row],[Qty]]*Table1[[#This Row],[Price]]</f>
        <v>0</v>
      </c>
    </row>
    <row r="1403" spans="1:9" ht="13.5" customHeight="1" x14ac:dyDescent="0.25">
      <c r="A1403" s="48">
        <v>88300196869</v>
      </c>
      <c r="B1403" s="41" t="s">
        <v>1790</v>
      </c>
      <c r="C1403" s="6" t="s">
        <v>43</v>
      </c>
      <c r="D1403" t="s">
        <v>1791</v>
      </c>
      <c r="E1403" s="52">
        <v>20.25</v>
      </c>
      <c r="F1403" s="49" t="s">
        <v>15</v>
      </c>
      <c r="G1403" s="49">
        <v>0</v>
      </c>
      <c r="H1403" s="22"/>
      <c r="I1403" s="11">
        <f>Table1[[#This Row],[Qty]]*Table1[[#This Row],[Price]]</f>
        <v>0</v>
      </c>
    </row>
    <row r="1404" spans="1:9" ht="13.5" customHeight="1" x14ac:dyDescent="0.25">
      <c r="A1404" s="28">
        <v>31655644844</v>
      </c>
      <c r="B1404" s="29" t="s">
        <v>1848</v>
      </c>
      <c r="C1404" s="30" t="s">
        <v>43</v>
      </c>
      <c r="D1404" s="31" t="s">
        <v>1849</v>
      </c>
      <c r="E1404" s="51">
        <v>18</v>
      </c>
      <c r="F1404" s="32" t="s">
        <v>15</v>
      </c>
      <c r="G1404" s="32">
        <v>0</v>
      </c>
      <c r="H1404" s="12"/>
      <c r="I1404" s="11">
        <f>Table1[[#This Row],[Qty]]*Table1[[#This Row],[Price]]</f>
        <v>0</v>
      </c>
    </row>
    <row r="1405" spans="1:9" ht="13.5" customHeight="1" x14ac:dyDescent="0.25">
      <c r="A1405" s="28">
        <v>88300106516</v>
      </c>
      <c r="B1405" s="29" t="s">
        <v>1862</v>
      </c>
      <c r="C1405" s="33" t="s">
        <v>43</v>
      </c>
      <c r="D1405" s="31" t="s">
        <v>1863</v>
      </c>
      <c r="E1405" s="51">
        <v>17.5</v>
      </c>
      <c r="F1405" s="32" t="s">
        <v>15</v>
      </c>
      <c r="G1405" s="32">
        <v>0</v>
      </c>
      <c r="H1405" s="22"/>
      <c r="I1405" s="11">
        <f>Table1[[#This Row],[Qty]]*Table1[[#This Row],[Price]]</f>
        <v>0</v>
      </c>
    </row>
    <row r="1406" spans="1:9" ht="13.5" customHeight="1" x14ac:dyDescent="0.25">
      <c r="A1406" s="28">
        <v>88300603305</v>
      </c>
      <c r="B1406" s="29" t="s">
        <v>1882</v>
      </c>
      <c r="C1406" s="30" t="s">
        <v>43</v>
      </c>
      <c r="D1406" s="31" t="s">
        <v>1883</v>
      </c>
      <c r="E1406" s="51">
        <v>17</v>
      </c>
      <c r="F1406" s="32" t="s">
        <v>15</v>
      </c>
      <c r="G1406" s="32">
        <v>0</v>
      </c>
      <c r="H1406" s="12"/>
      <c r="I1406" s="11">
        <f>Table1[[#This Row],[Qty]]*Table1[[#This Row],[Price]]</f>
        <v>0</v>
      </c>
    </row>
    <row r="1407" spans="1:9" ht="13.5" customHeight="1" x14ac:dyDescent="0.25">
      <c r="A1407" s="28">
        <v>3614223162963</v>
      </c>
      <c r="B1407" s="29" t="s">
        <v>1935</v>
      </c>
      <c r="C1407" s="30" t="s">
        <v>43</v>
      </c>
      <c r="D1407" s="31" t="s">
        <v>1936</v>
      </c>
      <c r="E1407" s="51">
        <v>15.75</v>
      </c>
      <c r="F1407" s="32" t="s">
        <v>15</v>
      </c>
      <c r="G1407" s="32">
        <v>0</v>
      </c>
      <c r="H1407" s="22"/>
      <c r="I1407" s="11">
        <f>Table1[[#This Row],[Qty]]*Table1[[#This Row],[Price]]</f>
        <v>0</v>
      </c>
    </row>
    <row r="1408" spans="1:9" ht="13.5" customHeight="1" x14ac:dyDescent="0.25">
      <c r="A1408" s="28">
        <v>3616303322588</v>
      </c>
      <c r="B1408" s="29" t="s">
        <v>2098</v>
      </c>
      <c r="C1408" s="30" t="s">
        <v>43</v>
      </c>
      <c r="D1408" s="31" t="s">
        <v>2099</v>
      </c>
      <c r="E1408" s="51">
        <v>12</v>
      </c>
      <c r="F1408" s="32" t="s">
        <v>15</v>
      </c>
      <c r="G1408" s="32">
        <v>0</v>
      </c>
      <c r="H1408" s="12"/>
      <c r="I1408" s="11">
        <f>Table1[[#This Row],[Qty]]*Table1[[#This Row],[Price]]</f>
        <v>0</v>
      </c>
    </row>
    <row r="1409" spans="1:9" ht="13.5" customHeight="1" x14ac:dyDescent="0.25">
      <c r="A1409" s="28">
        <v>3616302015580</v>
      </c>
      <c r="B1409" s="29" t="s">
        <v>2966</v>
      </c>
      <c r="C1409" s="30" t="s">
        <v>43</v>
      </c>
      <c r="D1409" s="31" t="s">
        <v>2967</v>
      </c>
      <c r="E1409" s="51">
        <v>16</v>
      </c>
      <c r="F1409" s="32" t="s">
        <v>15</v>
      </c>
      <c r="G1409" s="32">
        <v>0</v>
      </c>
      <c r="H1409" s="14"/>
      <c r="I1409" s="11">
        <f>Table1[[#This Row],[Qty]]*Table1[[#This Row],[Price]]</f>
        <v>0</v>
      </c>
    </row>
    <row r="1410" spans="1:9" ht="13.5" customHeight="1" x14ac:dyDescent="0.25">
      <c r="A1410" s="28">
        <v>88300605538</v>
      </c>
      <c r="B1410" s="29" t="s">
        <v>2968</v>
      </c>
      <c r="C1410" s="30" t="s">
        <v>43</v>
      </c>
      <c r="D1410" s="31" t="s">
        <v>2969</v>
      </c>
      <c r="E1410" s="51">
        <v>17.5</v>
      </c>
      <c r="F1410" s="32" t="s">
        <v>15</v>
      </c>
      <c r="G1410" s="32">
        <v>0</v>
      </c>
      <c r="H1410" s="22"/>
      <c r="I1410" s="11">
        <f>Table1[[#This Row],[Qty]]*Table1[[#This Row],[Price]]</f>
        <v>0</v>
      </c>
    </row>
    <row r="1411" spans="1:9" ht="13.5" customHeight="1" x14ac:dyDescent="0.25">
      <c r="A1411" s="28">
        <v>88300606511</v>
      </c>
      <c r="B1411" s="29" t="s">
        <v>2970</v>
      </c>
      <c r="C1411" s="30" t="s">
        <v>43</v>
      </c>
      <c r="D1411" s="31" t="s">
        <v>2971</v>
      </c>
      <c r="E1411" s="51">
        <v>17.5</v>
      </c>
      <c r="F1411" s="32" t="s">
        <v>15</v>
      </c>
      <c r="G1411" s="32">
        <v>0</v>
      </c>
      <c r="H1411" s="22"/>
      <c r="I1411" s="11">
        <f>Table1[[#This Row],[Qty]]*Table1[[#This Row],[Price]]</f>
        <v>0</v>
      </c>
    </row>
    <row r="1412" spans="1:9" ht="13.5" customHeight="1" x14ac:dyDescent="0.25">
      <c r="A1412" s="28">
        <v>3614225670435</v>
      </c>
      <c r="B1412" s="29" t="s">
        <v>2972</v>
      </c>
      <c r="C1412" s="30" t="s">
        <v>43</v>
      </c>
      <c r="D1412" s="31" t="s">
        <v>2973</v>
      </c>
      <c r="E1412" s="51">
        <v>17.7</v>
      </c>
      <c r="F1412" s="32" t="s">
        <v>15</v>
      </c>
      <c r="G1412" s="32" t="s">
        <v>6657</v>
      </c>
      <c r="H1412" s="12"/>
      <c r="I1412" s="11">
        <f>Table1[[#This Row],[Qty]]*Table1[[#This Row],[Price]]</f>
        <v>0</v>
      </c>
    </row>
    <row r="1413" spans="1:9" ht="13.5" customHeight="1" x14ac:dyDescent="0.25">
      <c r="A1413" s="28">
        <v>3614229656145</v>
      </c>
      <c r="B1413" s="29" t="s">
        <v>2974</v>
      </c>
      <c r="C1413" s="30" t="s">
        <v>43</v>
      </c>
      <c r="D1413" s="31" t="s">
        <v>2975</v>
      </c>
      <c r="E1413" s="51">
        <v>18.37</v>
      </c>
      <c r="F1413" s="32" t="s">
        <v>15</v>
      </c>
      <c r="G1413" s="32" t="s">
        <v>6658</v>
      </c>
      <c r="H1413" s="12"/>
      <c r="I1413" s="11">
        <f>Table1[[#This Row],[Qty]]*Table1[[#This Row],[Price]]</f>
        <v>0</v>
      </c>
    </row>
    <row r="1414" spans="1:9" ht="13.5" customHeight="1" x14ac:dyDescent="0.25">
      <c r="A1414" s="28">
        <v>88300139507</v>
      </c>
      <c r="B1414" s="29" t="s">
        <v>2976</v>
      </c>
      <c r="C1414" s="30" t="s">
        <v>43</v>
      </c>
      <c r="D1414" s="31" t="s">
        <v>2977</v>
      </c>
      <c r="E1414" s="51">
        <v>20.82</v>
      </c>
      <c r="F1414" s="32" t="s">
        <v>15</v>
      </c>
      <c r="G1414" s="32" t="s">
        <v>6659</v>
      </c>
      <c r="H1414" s="12"/>
      <c r="I1414" s="11">
        <f>Table1[[#This Row],[Qty]]*Table1[[#This Row],[Price]]</f>
        <v>0</v>
      </c>
    </row>
    <row r="1415" spans="1:9" ht="13.5" customHeight="1" x14ac:dyDescent="0.25">
      <c r="A1415" s="28">
        <v>3607340213267</v>
      </c>
      <c r="B1415" s="29" t="s">
        <v>2978</v>
      </c>
      <c r="C1415" s="33" t="s">
        <v>43</v>
      </c>
      <c r="D1415" s="31" t="s">
        <v>2979</v>
      </c>
      <c r="E1415" s="51">
        <v>25.5</v>
      </c>
      <c r="F1415" s="32" t="s">
        <v>15</v>
      </c>
      <c r="G1415" s="32">
        <v>0</v>
      </c>
      <c r="H1415" s="22"/>
      <c r="I1415" s="11">
        <f>Table1[[#This Row],[Qty]]*Table1[[#This Row],[Price]]</f>
        <v>0</v>
      </c>
    </row>
    <row r="1416" spans="1:9" ht="13.5" customHeight="1" x14ac:dyDescent="0.25">
      <c r="A1416" s="28">
        <v>3616305805874</v>
      </c>
      <c r="B1416" s="29" t="s">
        <v>5523</v>
      </c>
      <c r="C1416" s="30" t="s">
        <v>43</v>
      </c>
      <c r="D1416" s="31" t="s">
        <v>5524</v>
      </c>
      <c r="E1416" s="51">
        <v>26.5</v>
      </c>
      <c r="F1416" s="32" t="s">
        <v>15</v>
      </c>
      <c r="G1416" s="32" t="s">
        <v>6980</v>
      </c>
      <c r="H1416" s="22"/>
      <c r="I1416" s="11">
        <f>Table1[[#This Row],[Qty]]*Table1[[#This Row],[Price]]</f>
        <v>0</v>
      </c>
    </row>
    <row r="1417" spans="1:9" ht="13.5" customHeight="1" x14ac:dyDescent="0.25">
      <c r="A1417" s="28">
        <v>3614224871284</v>
      </c>
      <c r="B1417" s="29" t="s">
        <v>3770</v>
      </c>
      <c r="C1417" s="33" t="s">
        <v>43</v>
      </c>
      <c r="D1417" s="31" t="s">
        <v>3771</v>
      </c>
      <c r="E1417" s="51">
        <v>17.12</v>
      </c>
      <c r="F1417" s="32" t="s">
        <v>15</v>
      </c>
      <c r="G1417" s="32" t="s">
        <v>7057</v>
      </c>
      <c r="H1417" s="22"/>
      <c r="I1417" s="11">
        <f>Table1[[#This Row],[Qty]]*Table1[[#This Row],[Price]]</f>
        <v>0</v>
      </c>
    </row>
    <row r="1418" spans="1:9" ht="13.5" customHeight="1" x14ac:dyDescent="0.25">
      <c r="A1418" s="48">
        <v>3616303455217</v>
      </c>
      <c r="B1418" s="41" t="s">
        <v>4555</v>
      </c>
      <c r="C1418" s="6" t="s">
        <v>43</v>
      </c>
      <c r="D1418" t="s">
        <v>4556</v>
      </c>
      <c r="E1418" s="52">
        <v>42</v>
      </c>
      <c r="F1418" s="49" t="s">
        <v>15</v>
      </c>
      <c r="G1418" s="49"/>
      <c r="H1418" s="22"/>
      <c r="I1418" s="11">
        <f>Table1[[#This Row],[Qty]]*Table1[[#This Row],[Price]]</f>
        <v>0</v>
      </c>
    </row>
    <row r="1419" spans="1:9" ht="13.5" customHeight="1" x14ac:dyDescent="0.25">
      <c r="A1419" s="28">
        <v>88300606504</v>
      </c>
      <c r="B1419" s="29" t="s">
        <v>4577</v>
      </c>
      <c r="C1419" s="30" t="s">
        <v>43</v>
      </c>
      <c r="D1419" s="31" t="s">
        <v>4578</v>
      </c>
      <c r="E1419" s="51">
        <v>15</v>
      </c>
      <c r="F1419" s="32" t="s">
        <v>15</v>
      </c>
      <c r="G1419" s="32"/>
      <c r="H1419" s="14"/>
      <c r="I1419" s="11">
        <f>Table1[[#This Row],[Qty]]*Table1[[#This Row],[Price]]</f>
        <v>0</v>
      </c>
    </row>
    <row r="1420" spans="1:9" ht="13.5" customHeight="1" x14ac:dyDescent="0.25">
      <c r="A1420" s="28">
        <v>3607341471727</v>
      </c>
      <c r="B1420" s="29" t="s">
        <v>5346</v>
      </c>
      <c r="C1420" s="30" t="s">
        <v>43</v>
      </c>
      <c r="D1420" s="31" t="s">
        <v>5347</v>
      </c>
      <c r="E1420" s="51">
        <v>11.75</v>
      </c>
      <c r="F1420" s="32" t="s">
        <v>15</v>
      </c>
      <c r="G1420" s="32">
        <v>0</v>
      </c>
      <c r="H1420" s="12"/>
      <c r="I1420" s="11">
        <f>Table1[[#This Row],[Qty]]*Table1[[#This Row],[Price]]</f>
        <v>0</v>
      </c>
    </row>
    <row r="1421" spans="1:9" ht="13.5" customHeight="1" x14ac:dyDescent="0.25">
      <c r="A1421" s="28">
        <v>3616304072451</v>
      </c>
      <c r="B1421" s="29" t="s">
        <v>4585</v>
      </c>
      <c r="C1421" s="30" t="s">
        <v>43</v>
      </c>
      <c r="D1421" s="31" t="s">
        <v>4586</v>
      </c>
      <c r="E1421" s="51">
        <v>8</v>
      </c>
      <c r="F1421" s="32" t="s">
        <v>15</v>
      </c>
      <c r="G1421" s="32"/>
      <c r="H1421" s="22"/>
      <c r="I1421" s="11">
        <f>Table1[[#This Row],[Qty]]*Table1[[#This Row],[Price]]</f>
        <v>0</v>
      </c>
    </row>
    <row r="1422" spans="1:9" ht="13.5" customHeight="1" x14ac:dyDescent="0.25">
      <c r="A1422" s="28">
        <v>88300073627</v>
      </c>
      <c r="B1422" s="29" t="s">
        <v>5299</v>
      </c>
      <c r="C1422" s="30" t="s">
        <v>43</v>
      </c>
      <c r="D1422" s="31" t="s">
        <v>5300</v>
      </c>
      <c r="E1422" s="51">
        <v>7.5</v>
      </c>
      <c r="F1422" s="32" t="s">
        <v>15</v>
      </c>
      <c r="G1422" s="32">
        <v>0</v>
      </c>
      <c r="H1422" s="12"/>
      <c r="I1422" s="11">
        <f>Table1[[#This Row],[Qty]]*Table1[[#This Row],[Price]]</f>
        <v>0</v>
      </c>
    </row>
    <row r="1423" spans="1:9" ht="13.5" customHeight="1" x14ac:dyDescent="0.25">
      <c r="A1423" s="28">
        <v>850009634061</v>
      </c>
      <c r="B1423" s="29" t="s">
        <v>5408</v>
      </c>
      <c r="C1423" s="30" t="s">
        <v>5409</v>
      </c>
      <c r="D1423" s="31" t="s">
        <v>5410</v>
      </c>
      <c r="E1423" s="51">
        <v>12.45</v>
      </c>
      <c r="F1423" s="32" t="s">
        <v>15</v>
      </c>
      <c r="G1423" s="32">
        <v>0</v>
      </c>
      <c r="H1423" s="22"/>
      <c r="I1423" s="11">
        <f>Table1[[#This Row],[Qty]]*Table1[[#This Row],[Price]]</f>
        <v>0</v>
      </c>
    </row>
    <row r="1424" spans="1:9" ht="13.5" customHeight="1" x14ac:dyDescent="0.25">
      <c r="A1424" s="28">
        <v>8411061106297</v>
      </c>
      <c r="B1424" s="29" t="s">
        <v>185</v>
      </c>
      <c r="C1424" s="33" t="s">
        <v>186</v>
      </c>
      <c r="D1424" s="31" t="s">
        <v>187</v>
      </c>
      <c r="E1424" s="51">
        <v>70.75</v>
      </c>
      <c r="F1424" s="32" t="s">
        <v>15</v>
      </c>
      <c r="G1424" s="32" t="s">
        <v>5676</v>
      </c>
      <c r="H1424" s="22"/>
      <c r="I1424" s="11">
        <f>Table1[[#This Row],[Qty]]*Table1[[#This Row],[Price]]</f>
        <v>0</v>
      </c>
    </row>
    <row r="1425" spans="1:9" ht="13.5" customHeight="1" x14ac:dyDescent="0.25">
      <c r="A1425" s="48">
        <v>8411061865583</v>
      </c>
      <c r="B1425" s="41" t="s">
        <v>586</v>
      </c>
      <c r="C1425" s="6" t="s">
        <v>186</v>
      </c>
      <c r="D1425" t="s">
        <v>587</v>
      </c>
      <c r="E1425" s="52">
        <v>43.21</v>
      </c>
      <c r="F1425" s="49" t="s">
        <v>15</v>
      </c>
      <c r="G1425" s="49" t="s">
        <v>5897</v>
      </c>
      <c r="H1425" s="22"/>
      <c r="I1425" s="11">
        <f>Table1[[#This Row],[Qty]]*Table1[[#This Row],[Price]]</f>
        <v>0</v>
      </c>
    </row>
    <row r="1426" spans="1:9" ht="13.5" customHeight="1" x14ac:dyDescent="0.25">
      <c r="A1426" s="28">
        <v>8411061865439</v>
      </c>
      <c r="B1426" s="29" t="s">
        <v>604</v>
      </c>
      <c r="C1426" s="30" t="s">
        <v>186</v>
      </c>
      <c r="D1426" s="31" t="s">
        <v>605</v>
      </c>
      <c r="E1426" s="51">
        <v>57.16</v>
      </c>
      <c r="F1426" s="32" t="s">
        <v>15</v>
      </c>
      <c r="G1426" s="32" t="s">
        <v>5906</v>
      </c>
      <c r="H1426" s="12"/>
      <c r="I1426" s="11">
        <f>Table1[[#This Row],[Qty]]*Table1[[#This Row],[Price]]</f>
        <v>0</v>
      </c>
    </row>
    <row r="1427" spans="1:9" ht="13.5" customHeight="1" x14ac:dyDescent="0.25">
      <c r="A1427" s="28">
        <v>8411061777176</v>
      </c>
      <c r="B1427" s="29" t="s">
        <v>743</v>
      </c>
      <c r="C1427" s="30" t="s">
        <v>186</v>
      </c>
      <c r="D1427" s="31" t="s">
        <v>744</v>
      </c>
      <c r="E1427" s="51">
        <v>68.900000000000006</v>
      </c>
      <c r="F1427" s="32" t="s">
        <v>15</v>
      </c>
      <c r="G1427" s="32" t="s">
        <v>5969</v>
      </c>
      <c r="H1427" s="22"/>
      <c r="I1427" s="11">
        <f>Table1[[#This Row],[Qty]]*Table1[[#This Row],[Price]]</f>
        <v>0</v>
      </c>
    </row>
    <row r="1428" spans="1:9" ht="13.5" customHeight="1" x14ac:dyDescent="0.25">
      <c r="A1428" s="28">
        <v>8411061002865</v>
      </c>
      <c r="B1428" s="29" t="s">
        <v>909</v>
      </c>
      <c r="C1428" s="30" t="s">
        <v>186</v>
      </c>
      <c r="D1428" s="31" t="s">
        <v>910</v>
      </c>
      <c r="E1428" s="51">
        <v>75.45</v>
      </c>
      <c r="F1428" s="32" t="s">
        <v>15</v>
      </c>
      <c r="G1428" s="32" t="s">
        <v>6042</v>
      </c>
      <c r="H1428" s="12"/>
      <c r="I1428" s="11">
        <f>Table1[[#This Row],[Qty]]*Table1[[#This Row],[Price]]</f>
        <v>0</v>
      </c>
    </row>
    <row r="1429" spans="1:9" ht="13.5" customHeight="1" x14ac:dyDescent="0.25">
      <c r="A1429" s="28">
        <v>8411061024485</v>
      </c>
      <c r="B1429" s="29" t="s">
        <v>1247</v>
      </c>
      <c r="C1429" s="30" t="s">
        <v>186</v>
      </c>
      <c r="D1429" s="31" t="s">
        <v>1248</v>
      </c>
      <c r="E1429" s="51">
        <v>72.61</v>
      </c>
      <c r="F1429" s="32" t="s">
        <v>15</v>
      </c>
      <c r="G1429" s="32">
        <v>0</v>
      </c>
      <c r="H1429" s="12"/>
      <c r="I1429" s="11">
        <f>Table1[[#This Row],[Qty]]*Table1[[#This Row],[Price]]</f>
        <v>0</v>
      </c>
    </row>
    <row r="1430" spans="1:9" ht="13.5" customHeight="1" x14ac:dyDescent="0.25">
      <c r="A1430" s="28">
        <v>8411061057056</v>
      </c>
      <c r="B1430" s="29" t="s">
        <v>1284</v>
      </c>
      <c r="C1430" s="30" t="s">
        <v>186</v>
      </c>
      <c r="D1430" s="31" t="s">
        <v>1285</v>
      </c>
      <c r="E1430" s="51">
        <v>65.72</v>
      </c>
      <c r="F1430" s="32" t="s">
        <v>15</v>
      </c>
      <c r="G1430" s="32" t="s">
        <v>6182</v>
      </c>
      <c r="H1430" s="12"/>
      <c r="I1430" s="11">
        <f>Table1[[#This Row],[Qty]]*Table1[[#This Row],[Price]]</f>
        <v>0</v>
      </c>
    </row>
    <row r="1431" spans="1:9" ht="13.5" customHeight="1" x14ac:dyDescent="0.25">
      <c r="A1431" s="28">
        <v>8411061028933</v>
      </c>
      <c r="B1431" s="29" t="s">
        <v>1301</v>
      </c>
      <c r="C1431" s="30" t="s">
        <v>186</v>
      </c>
      <c r="D1431" s="31" t="s">
        <v>1302</v>
      </c>
      <c r="E1431" s="51">
        <v>62.28</v>
      </c>
      <c r="F1431" s="32" t="s">
        <v>15</v>
      </c>
      <c r="G1431" s="32">
        <v>0</v>
      </c>
      <c r="H1431" s="12"/>
      <c r="I1431" s="11">
        <f>Table1[[#This Row],[Qty]]*Table1[[#This Row],[Price]]</f>
        <v>0</v>
      </c>
    </row>
    <row r="1432" spans="1:9" ht="13.5" customHeight="1" x14ac:dyDescent="0.25">
      <c r="A1432" s="28">
        <v>8411061026250</v>
      </c>
      <c r="B1432" s="29" t="s">
        <v>1337</v>
      </c>
      <c r="C1432" s="30" t="s">
        <v>186</v>
      </c>
      <c r="D1432" s="31" t="s">
        <v>1338</v>
      </c>
      <c r="E1432" s="51">
        <v>57.24</v>
      </c>
      <c r="F1432" s="32" t="s">
        <v>15</v>
      </c>
      <c r="G1432" s="32">
        <v>0</v>
      </c>
      <c r="H1432" s="12"/>
      <c r="I1432" s="11">
        <f>Table1[[#This Row],[Qty]]*Table1[[#This Row],[Price]]</f>
        <v>0</v>
      </c>
    </row>
    <row r="1433" spans="1:9" ht="13.5" customHeight="1" x14ac:dyDescent="0.25">
      <c r="A1433" s="28">
        <v>8411061056660</v>
      </c>
      <c r="B1433" s="29" t="s">
        <v>1351</v>
      </c>
      <c r="C1433" s="30" t="s">
        <v>186</v>
      </c>
      <c r="D1433" s="31" t="s">
        <v>7457</v>
      </c>
      <c r="E1433" s="51">
        <v>55.12</v>
      </c>
      <c r="F1433" s="32" t="s">
        <v>15</v>
      </c>
      <c r="G1433" s="32">
        <v>0</v>
      </c>
      <c r="H1433" s="12"/>
      <c r="I1433" s="11">
        <f>Table1[[#This Row],[Qty]]*Table1[[#This Row],[Price]]</f>
        <v>0</v>
      </c>
    </row>
    <row r="1434" spans="1:9" ht="13.5" customHeight="1" x14ac:dyDescent="0.25">
      <c r="A1434" s="28">
        <v>8411061972168</v>
      </c>
      <c r="B1434" s="29" t="s">
        <v>1387</v>
      </c>
      <c r="C1434" s="30" t="s">
        <v>186</v>
      </c>
      <c r="D1434" s="31" t="s">
        <v>1388</v>
      </c>
      <c r="E1434" s="51">
        <v>50.35</v>
      </c>
      <c r="F1434" s="32" t="s">
        <v>15</v>
      </c>
      <c r="G1434" s="32">
        <v>0</v>
      </c>
      <c r="H1434" s="12"/>
      <c r="I1434" s="11">
        <f>Table1[[#This Row],[Qty]]*Table1[[#This Row],[Price]]</f>
        <v>0</v>
      </c>
    </row>
    <row r="1435" spans="1:9" ht="13.5" customHeight="1" x14ac:dyDescent="0.25">
      <c r="A1435" s="28">
        <v>8411061711804</v>
      </c>
      <c r="B1435" s="29" t="s">
        <v>1500</v>
      </c>
      <c r="C1435" s="30" t="s">
        <v>186</v>
      </c>
      <c r="D1435" s="31" t="s">
        <v>1501</v>
      </c>
      <c r="E1435" s="51">
        <v>36</v>
      </c>
      <c r="F1435" s="32" t="s">
        <v>15</v>
      </c>
      <c r="G1435" s="32" t="s">
        <v>6229</v>
      </c>
      <c r="H1435" s="22"/>
      <c r="I1435" s="11">
        <f>Table1[[#This Row],[Qty]]*Table1[[#This Row],[Price]]</f>
        <v>0</v>
      </c>
    </row>
    <row r="1436" spans="1:9" ht="13.5" customHeight="1" x14ac:dyDescent="0.25">
      <c r="A1436" s="28">
        <v>8411061071601</v>
      </c>
      <c r="B1436" s="29" t="s">
        <v>1513</v>
      </c>
      <c r="C1436" s="30" t="s">
        <v>186</v>
      </c>
      <c r="D1436" s="31" t="s">
        <v>1514</v>
      </c>
      <c r="E1436" s="51">
        <v>34.5</v>
      </c>
      <c r="F1436" s="32" t="s">
        <v>15</v>
      </c>
      <c r="G1436" s="32" t="s">
        <v>6233</v>
      </c>
      <c r="H1436" s="12"/>
      <c r="I1436" s="11">
        <f>Table1[[#This Row],[Qty]]*Table1[[#This Row],[Price]]</f>
        <v>0</v>
      </c>
    </row>
    <row r="1437" spans="1:9" ht="13.5" customHeight="1" x14ac:dyDescent="0.25">
      <c r="A1437" s="28">
        <v>8411061057193</v>
      </c>
      <c r="B1437" s="29" t="s">
        <v>2954</v>
      </c>
      <c r="C1437" s="30" t="s">
        <v>186</v>
      </c>
      <c r="D1437" s="31" t="s">
        <v>2955</v>
      </c>
      <c r="E1437" s="51">
        <v>47.7</v>
      </c>
      <c r="F1437" s="32" t="s">
        <v>15</v>
      </c>
      <c r="G1437" s="32" t="s">
        <v>6655</v>
      </c>
      <c r="H1437" s="22"/>
      <c r="I1437" s="11">
        <f>Table1[[#This Row],[Qty]]*Table1[[#This Row],[Price]]</f>
        <v>0</v>
      </c>
    </row>
    <row r="1438" spans="1:9" ht="13.5" customHeight="1" x14ac:dyDescent="0.25">
      <c r="A1438" s="28">
        <v>8411061982075</v>
      </c>
      <c r="B1438" s="29" t="s">
        <v>2956</v>
      </c>
      <c r="C1438" s="30" t="s">
        <v>186</v>
      </c>
      <c r="D1438" s="31" t="s">
        <v>2957</v>
      </c>
      <c r="E1438" s="51">
        <v>25.35</v>
      </c>
      <c r="F1438" s="32" t="s">
        <v>15</v>
      </c>
      <c r="G1438" s="32">
        <v>0</v>
      </c>
      <c r="H1438" s="22"/>
      <c r="I1438" s="11">
        <f>Table1[[#This Row],[Qty]]*Table1[[#This Row],[Price]]</f>
        <v>0</v>
      </c>
    </row>
    <row r="1439" spans="1:9" ht="13.5" customHeight="1" x14ac:dyDescent="0.25">
      <c r="A1439" s="28">
        <v>8411061041659</v>
      </c>
      <c r="B1439" s="29" t="s">
        <v>2958</v>
      </c>
      <c r="C1439" s="30" t="s">
        <v>186</v>
      </c>
      <c r="D1439" s="31" t="s">
        <v>2959</v>
      </c>
      <c r="E1439" s="51">
        <v>48.76</v>
      </c>
      <c r="F1439" s="32" t="s">
        <v>15</v>
      </c>
      <c r="G1439" s="32">
        <v>0</v>
      </c>
      <c r="H1439" s="12"/>
      <c r="I1439" s="11">
        <f>Table1[[#This Row],[Qty]]*Table1[[#This Row],[Price]]</f>
        <v>0</v>
      </c>
    </row>
    <row r="1440" spans="1:9" ht="13.5" customHeight="1" x14ac:dyDescent="0.25">
      <c r="A1440" s="28">
        <v>8411061058459</v>
      </c>
      <c r="B1440" s="29" t="s">
        <v>2960</v>
      </c>
      <c r="C1440" s="30" t="s">
        <v>186</v>
      </c>
      <c r="D1440" s="31" t="s">
        <v>2961</v>
      </c>
      <c r="E1440" s="51">
        <v>83.58</v>
      </c>
      <c r="F1440" s="32" t="s">
        <v>15</v>
      </c>
      <c r="G1440" s="32" t="s">
        <v>6656</v>
      </c>
      <c r="H1440" s="22"/>
      <c r="I1440" s="11">
        <f>Table1[[#This Row],[Qty]]*Table1[[#This Row],[Price]]</f>
        <v>0</v>
      </c>
    </row>
    <row r="1441" spans="1:9" ht="13.5" customHeight="1" x14ac:dyDescent="0.25">
      <c r="A1441" s="28">
        <v>8411061058466</v>
      </c>
      <c r="B1441" s="29" t="s">
        <v>2962</v>
      </c>
      <c r="C1441" s="33" t="s">
        <v>186</v>
      </c>
      <c r="D1441" s="31" t="s">
        <v>2963</v>
      </c>
      <c r="E1441" s="51">
        <v>63.07</v>
      </c>
      <c r="F1441" s="32" t="s">
        <v>15</v>
      </c>
      <c r="G1441" s="32">
        <v>0</v>
      </c>
      <c r="H1441" s="22"/>
      <c r="I1441" s="11">
        <f>Table1[[#This Row],[Qty]]*Table1[[#This Row],[Price]]</f>
        <v>0</v>
      </c>
    </row>
    <row r="1442" spans="1:9" ht="13.5" customHeight="1" x14ac:dyDescent="0.25">
      <c r="A1442" s="28">
        <v>8411061841655</v>
      </c>
      <c r="B1442" s="29" t="s">
        <v>2964</v>
      </c>
      <c r="C1442" s="30" t="s">
        <v>186</v>
      </c>
      <c r="D1442" s="31" t="s">
        <v>2965</v>
      </c>
      <c r="E1442" s="51">
        <v>18</v>
      </c>
      <c r="F1442" s="32" t="s">
        <v>15</v>
      </c>
      <c r="G1442" s="32">
        <v>0</v>
      </c>
      <c r="H1442" s="22"/>
      <c r="I1442" s="11">
        <f>Table1[[#This Row],[Qty]]*Table1[[#This Row],[Price]]</f>
        <v>0</v>
      </c>
    </row>
    <row r="1443" spans="1:9" ht="13.5" customHeight="1" x14ac:dyDescent="0.25">
      <c r="A1443" s="28">
        <v>8411061865460</v>
      </c>
      <c r="B1443" s="29" t="s">
        <v>3200</v>
      </c>
      <c r="C1443" s="30" t="s">
        <v>186</v>
      </c>
      <c r="D1443" s="31" t="s">
        <v>3201</v>
      </c>
      <c r="E1443" s="51">
        <v>43.66</v>
      </c>
      <c r="F1443" s="32" t="s">
        <v>15</v>
      </c>
      <c r="G1443" s="32" t="s">
        <v>6737</v>
      </c>
      <c r="H1443" s="22"/>
      <c r="I1443" s="11">
        <f>Table1[[#This Row],[Qty]]*Table1[[#This Row],[Price]]</f>
        <v>0</v>
      </c>
    </row>
    <row r="1444" spans="1:9" ht="13.5" customHeight="1" x14ac:dyDescent="0.25">
      <c r="A1444" s="28">
        <v>8411061124406</v>
      </c>
      <c r="B1444" s="29" t="s">
        <v>3334</v>
      </c>
      <c r="C1444" s="30" t="s">
        <v>186</v>
      </c>
      <c r="D1444" s="31" t="s">
        <v>7462</v>
      </c>
      <c r="E1444" s="51">
        <v>67.84</v>
      </c>
      <c r="F1444" s="32" t="s">
        <v>15</v>
      </c>
      <c r="G1444" s="32" t="s">
        <v>6796</v>
      </c>
      <c r="H1444" s="14"/>
      <c r="I1444" s="11">
        <f>Table1[[#This Row],[Qty]]*Table1[[#This Row],[Price]]</f>
        <v>0</v>
      </c>
    </row>
    <row r="1445" spans="1:9" ht="13.5" customHeight="1" x14ac:dyDescent="0.25">
      <c r="A1445" s="28">
        <v>8411061023655</v>
      </c>
      <c r="B1445" s="29" t="s">
        <v>3736</v>
      </c>
      <c r="C1445" s="30" t="s">
        <v>186</v>
      </c>
      <c r="D1445" s="31" t="s">
        <v>3737</v>
      </c>
      <c r="E1445" s="51">
        <v>56.62</v>
      </c>
      <c r="F1445" s="32" t="s">
        <v>15</v>
      </c>
      <c r="G1445" s="32" t="s">
        <v>7040</v>
      </c>
      <c r="H1445" s="22"/>
      <c r="I1445" s="11">
        <f>Table1[[#This Row],[Qty]]*Table1[[#This Row],[Price]]</f>
        <v>0</v>
      </c>
    </row>
    <row r="1446" spans="1:9" ht="13.5" customHeight="1" x14ac:dyDescent="0.25">
      <c r="A1446" s="28">
        <v>8411061954331</v>
      </c>
      <c r="B1446" s="29" t="s">
        <v>3919</v>
      </c>
      <c r="C1446" s="30" t="s">
        <v>186</v>
      </c>
      <c r="D1446" s="31" t="s">
        <v>3920</v>
      </c>
      <c r="E1446" s="51">
        <v>21.35</v>
      </c>
      <c r="F1446" s="32" t="s">
        <v>15</v>
      </c>
      <c r="G1446" s="32" t="s">
        <v>7127</v>
      </c>
      <c r="H1446" s="22"/>
      <c r="I1446" s="11">
        <f>Table1[[#This Row],[Qty]]*Table1[[#This Row],[Price]]</f>
        <v>0</v>
      </c>
    </row>
    <row r="1447" spans="1:9" ht="13.5" customHeight="1" x14ac:dyDescent="0.25">
      <c r="A1447" s="28">
        <v>8411061099759</v>
      </c>
      <c r="B1447" s="29" t="s">
        <v>3957</v>
      </c>
      <c r="C1447" s="30" t="s">
        <v>186</v>
      </c>
      <c r="D1447" s="31" t="s">
        <v>3958</v>
      </c>
      <c r="E1447" s="51">
        <v>69.95</v>
      </c>
      <c r="F1447" s="32" t="s">
        <v>15</v>
      </c>
      <c r="G1447" s="32" t="s">
        <v>7144</v>
      </c>
      <c r="H1447" s="12"/>
      <c r="I1447" s="11">
        <f>Table1[[#This Row],[Qty]]*Table1[[#This Row],[Price]]</f>
        <v>0</v>
      </c>
    </row>
    <row r="1448" spans="1:9" ht="13.5" customHeight="1" x14ac:dyDescent="0.25">
      <c r="A1448" s="28">
        <v>8411061723760</v>
      </c>
      <c r="B1448" s="29" t="s">
        <v>4232</v>
      </c>
      <c r="C1448" s="30" t="s">
        <v>186</v>
      </c>
      <c r="D1448" s="31" t="s">
        <v>4233</v>
      </c>
      <c r="E1448" s="51">
        <v>54.79</v>
      </c>
      <c r="F1448" s="32" t="s">
        <v>15</v>
      </c>
      <c r="G1448" s="32" t="s">
        <v>7251</v>
      </c>
      <c r="H1448" s="14"/>
      <c r="I1448" s="11">
        <f>Table1[[#This Row],[Qty]]*Table1[[#This Row],[Price]]</f>
        <v>0</v>
      </c>
    </row>
    <row r="1449" spans="1:9" ht="13.5" customHeight="1" x14ac:dyDescent="0.25">
      <c r="A1449" s="28">
        <v>8411061081600</v>
      </c>
      <c r="B1449" s="29" t="s">
        <v>4256</v>
      </c>
      <c r="C1449" s="30" t="s">
        <v>186</v>
      </c>
      <c r="D1449" s="31" t="s">
        <v>4257</v>
      </c>
      <c r="E1449" s="51">
        <v>38.630000000000003</v>
      </c>
      <c r="F1449" s="32" t="s">
        <v>15</v>
      </c>
      <c r="G1449" s="32" t="s">
        <v>7262</v>
      </c>
      <c r="H1449" s="22"/>
      <c r="I1449" s="11">
        <f>Table1[[#This Row],[Qty]]*Table1[[#This Row],[Price]]</f>
        <v>0</v>
      </c>
    </row>
    <row r="1450" spans="1:9" ht="13.5" customHeight="1" x14ac:dyDescent="0.25">
      <c r="A1450" s="28">
        <v>8411061974759</v>
      </c>
      <c r="B1450" s="29" t="s">
        <v>5344</v>
      </c>
      <c r="C1450" s="30" t="s">
        <v>186</v>
      </c>
      <c r="D1450" s="31" t="s">
        <v>5345</v>
      </c>
      <c r="E1450" s="51">
        <v>5.68</v>
      </c>
      <c r="F1450" s="32" t="s">
        <v>15</v>
      </c>
      <c r="G1450" s="32" t="s">
        <v>7444</v>
      </c>
      <c r="H1450" s="22"/>
      <c r="I1450" s="11">
        <f>Table1[[#This Row],[Qty]]*Table1[[#This Row],[Price]]</f>
        <v>0</v>
      </c>
    </row>
    <row r="1451" spans="1:9" ht="13.5" customHeight="1" x14ac:dyDescent="0.25">
      <c r="A1451" s="28">
        <v>3432240502100</v>
      </c>
      <c r="B1451" s="29" t="s">
        <v>1249</v>
      </c>
      <c r="C1451" s="30" t="s">
        <v>1250</v>
      </c>
      <c r="D1451" s="31" t="s">
        <v>1251</v>
      </c>
      <c r="E1451" s="51">
        <v>69.959999999999994</v>
      </c>
      <c r="F1451" s="32" t="s">
        <v>15</v>
      </c>
      <c r="G1451" s="32" t="s">
        <v>6176</v>
      </c>
      <c r="H1451" s="22"/>
      <c r="I1451" s="11">
        <f>Table1[[#This Row],[Qty]]*Table1[[#This Row],[Price]]</f>
        <v>0</v>
      </c>
    </row>
    <row r="1452" spans="1:9" ht="13.5" customHeight="1" x14ac:dyDescent="0.25">
      <c r="A1452" s="28">
        <v>3432240500533</v>
      </c>
      <c r="B1452" s="29" t="s">
        <v>2988</v>
      </c>
      <c r="C1452" s="30" t="s">
        <v>1250</v>
      </c>
      <c r="D1452" s="31" t="s">
        <v>2989</v>
      </c>
      <c r="E1452" s="51">
        <v>63.34</v>
      </c>
      <c r="F1452" s="32" t="s">
        <v>15</v>
      </c>
      <c r="G1452" s="32" t="s">
        <v>6664</v>
      </c>
      <c r="H1452" s="12"/>
      <c r="I1452" s="11">
        <f>Table1[[#This Row],[Qty]]*Table1[[#This Row],[Price]]</f>
        <v>0</v>
      </c>
    </row>
    <row r="1453" spans="1:9" ht="13.5" customHeight="1" x14ac:dyDescent="0.25">
      <c r="A1453" s="28">
        <v>3145891165203</v>
      </c>
      <c r="B1453" s="29" t="s">
        <v>1172</v>
      </c>
      <c r="C1453" s="33" t="s">
        <v>1173</v>
      </c>
      <c r="D1453" s="31" t="s">
        <v>1174</v>
      </c>
      <c r="E1453" s="51">
        <v>159</v>
      </c>
      <c r="F1453" s="32" t="s">
        <v>15</v>
      </c>
      <c r="G1453" s="32">
        <v>0</v>
      </c>
      <c r="H1453" s="22"/>
      <c r="I1453" s="11">
        <f>Table1[[#This Row],[Qty]]*Table1[[#This Row],[Price]]</f>
        <v>0</v>
      </c>
    </row>
    <row r="1454" spans="1:9" ht="13.5" customHeight="1" x14ac:dyDescent="0.25">
      <c r="A1454" s="28">
        <v>3614228842822</v>
      </c>
      <c r="B1454" s="29" t="s">
        <v>4789</v>
      </c>
      <c r="C1454" s="30" t="s">
        <v>4790</v>
      </c>
      <c r="D1454" s="31" t="s">
        <v>4791</v>
      </c>
      <c r="E1454" s="51">
        <v>72.61</v>
      </c>
      <c r="F1454" s="32" t="s">
        <v>15</v>
      </c>
      <c r="G1454" s="32">
        <v>0</v>
      </c>
      <c r="H1454" s="12"/>
      <c r="I1454" s="11">
        <f>Table1[[#This Row],[Qty]]*Table1[[#This Row],[Price]]</f>
        <v>0</v>
      </c>
    </row>
    <row r="1455" spans="1:9" ht="13.5" customHeight="1" x14ac:dyDescent="0.25">
      <c r="A1455" s="28">
        <v>3616304974465</v>
      </c>
      <c r="B1455" s="29" t="s">
        <v>5350</v>
      </c>
      <c r="C1455" s="30" t="s">
        <v>5351</v>
      </c>
      <c r="D1455" s="31" t="s">
        <v>5352</v>
      </c>
      <c r="E1455" s="51">
        <v>48.76</v>
      </c>
      <c r="F1455" s="32" t="s">
        <v>15</v>
      </c>
      <c r="G1455" s="32"/>
      <c r="H1455" s="22"/>
      <c r="I1455" s="11">
        <f>Table1[[#This Row],[Qty]]*Table1[[#This Row],[Price]]</f>
        <v>0</v>
      </c>
    </row>
    <row r="1456" spans="1:9" ht="13.5" customHeight="1" x14ac:dyDescent="0.25">
      <c r="A1456" s="28">
        <v>3614229395709</v>
      </c>
      <c r="B1456" s="29" t="s">
        <v>5227</v>
      </c>
      <c r="C1456" s="30" t="s">
        <v>4790</v>
      </c>
      <c r="D1456" s="31" t="s">
        <v>5228</v>
      </c>
      <c r="E1456" s="51">
        <v>42.25</v>
      </c>
      <c r="F1456" s="32" t="s">
        <v>15</v>
      </c>
      <c r="G1456" s="32">
        <v>0</v>
      </c>
      <c r="H1456" s="12"/>
      <c r="I1456" s="11">
        <f>Table1[[#This Row],[Qty]]*Table1[[#This Row],[Price]]</f>
        <v>0</v>
      </c>
    </row>
    <row r="1457" spans="1:9" ht="13.5" customHeight="1" x14ac:dyDescent="0.25">
      <c r="A1457" s="28">
        <v>3607346232347</v>
      </c>
      <c r="B1457" s="29" t="s">
        <v>5480</v>
      </c>
      <c r="C1457" s="30" t="s">
        <v>4790</v>
      </c>
      <c r="D1457" s="31" t="s">
        <v>5481</v>
      </c>
      <c r="E1457" s="51">
        <v>42</v>
      </c>
      <c r="F1457" s="32" t="s">
        <v>15</v>
      </c>
      <c r="G1457" s="32" t="s">
        <v>7388</v>
      </c>
      <c r="H1457" s="12"/>
      <c r="I1457" s="11">
        <f>Table1[[#This Row],[Qty]]*Table1[[#This Row],[Price]]</f>
        <v>0</v>
      </c>
    </row>
    <row r="1458" spans="1:9" ht="13.5" customHeight="1" x14ac:dyDescent="0.25">
      <c r="A1458" s="28">
        <v>3607346232385</v>
      </c>
      <c r="B1458" s="29" t="s">
        <v>5386</v>
      </c>
      <c r="C1458" s="30" t="s">
        <v>4790</v>
      </c>
      <c r="D1458" s="31" t="s">
        <v>5387</v>
      </c>
      <c r="E1458" s="51">
        <v>19.5</v>
      </c>
      <c r="F1458" s="32" t="s">
        <v>15</v>
      </c>
      <c r="G1458" s="32" t="s">
        <v>7414</v>
      </c>
      <c r="H1458" s="22"/>
      <c r="I1458" s="11">
        <f>Table1[[#This Row],[Qty]]*Table1[[#This Row],[Price]]</f>
        <v>0</v>
      </c>
    </row>
    <row r="1459" spans="1:9" ht="13.5" customHeight="1" x14ac:dyDescent="0.25">
      <c r="A1459" s="28">
        <v>3348900012219</v>
      </c>
      <c r="B1459" s="29" t="s">
        <v>176</v>
      </c>
      <c r="C1459" s="30" t="s">
        <v>151</v>
      </c>
      <c r="D1459" s="31" t="s">
        <v>177</v>
      </c>
      <c r="E1459" s="51">
        <v>75</v>
      </c>
      <c r="F1459" s="32" t="s">
        <v>15</v>
      </c>
      <c r="G1459" s="32" t="s">
        <v>5672</v>
      </c>
      <c r="H1459" s="12"/>
      <c r="I1459" s="11">
        <f>Table1[[#This Row],[Qty]]*Table1[[#This Row],[Price]]</f>
        <v>0</v>
      </c>
    </row>
    <row r="1460" spans="1:9" ht="13.5" customHeight="1" x14ac:dyDescent="0.25">
      <c r="A1460" s="28">
        <v>3348901428545</v>
      </c>
      <c r="B1460" s="29" t="s">
        <v>1175</v>
      </c>
      <c r="C1460" s="33" t="s">
        <v>151</v>
      </c>
      <c r="D1460" s="31" t="s">
        <v>1176</v>
      </c>
      <c r="E1460" s="51">
        <v>152</v>
      </c>
      <c r="F1460" s="32" t="s">
        <v>15</v>
      </c>
      <c r="G1460" s="32" t="s">
        <v>6154</v>
      </c>
      <c r="H1460" s="22"/>
      <c r="I1460" s="11">
        <f>Table1[[#This Row],[Qty]]*Table1[[#This Row],[Price]]</f>
        <v>0</v>
      </c>
    </row>
    <row r="1461" spans="1:9" ht="13.5" customHeight="1" x14ac:dyDescent="0.25">
      <c r="A1461" s="28">
        <v>3348901237116</v>
      </c>
      <c r="B1461" s="29" t="s">
        <v>1179</v>
      </c>
      <c r="C1461" s="30" t="s">
        <v>151</v>
      </c>
      <c r="D1461" s="31" t="s">
        <v>1180</v>
      </c>
      <c r="E1461" s="51">
        <v>121.89</v>
      </c>
      <c r="F1461" s="32" t="s">
        <v>15</v>
      </c>
      <c r="G1461" s="32">
        <v>0</v>
      </c>
      <c r="H1461" s="22"/>
      <c r="I1461" s="11">
        <f>Table1[[#This Row],[Qty]]*Table1[[#This Row],[Price]]</f>
        <v>0</v>
      </c>
    </row>
    <row r="1462" spans="1:9" ht="13.5" customHeight="1" x14ac:dyDescent="0.25">
      <c r="A1462" s="28">
        <v>3348901321129</v>
      </c>
      <c r="B1462" s="29" t="s">
        <v>1181</v>
      </c>
      <c r="C1462" s="30" t="s">
        <v>151</v>
      </c>
      <c r="D1462" s="31" t="s">
        <v>1182</v>
      </c>
      <c r="E1462" s="51">
        <v>132</v>
      </c>
      <c r="F1462" s="32" t="s">
        <v>15</v>
      </c>
      <c r="G1462" s="32" t="s">
        <v>6156</v>
      </c>
      <c r="H1462" s="14"/>
      <c r="I1462" s="11">
        <f>Table1[[#This Row],[Qty]]*Table1[[#This Row],[Price]]</f>
        <v>0</v>
      </c>
    </row>
    <row r="1463" spans="1:9" ht="13.5" customHeight="1" x14ac:dyDescent="0.25">
      <c r="A1463" s="28">
        <v>348901368254</v>
      </c>
      <c r="B1463" s="29" t="s">
        <v>1232</v>
      </c>
      <c r="C1463" s="30" t="s">
        <v>151</v>
      </c>
      <c r="D1463" s="31" t="s">
        <v>1233</v>
      </c>
      <c r="E1463" s="51">
        <v>76.319999999999993</v>
      </c>
      <c r="F1463" s="32" t="s">
        <v>15</v>
      </c>
      <c r="G1463" s="32" t="s">
        <v>6174</v>
      </c>
      <c r="H1463" s="12"/>
      <c r="I1463" s="11">
        <f>Table1[[#This Row],[Qty]]*Table1[[#This Row],[Price]]</f>
        <v>0</v>
      </c>
    </row>
    <row r="1464" spans="1:9" ht="13.5" customHeight="1" x14ac:dyDescent="0.25">
      <c r="A1464" s="28">
        <v>3348901001120</v>
      </c>
      <c r="B1464" s="29" t="s">
        <v>2402</v>
      </c>
      <c r="C1464" s="30" t="s">
        <v>151</v>
      </c>
      <c r="D1464" s="31" t="s">
        <v>2403</v>
      </c>
      <c r="E1464" s="51">
        <v>124.5</v>
      </c>
      <c r="F1464" s="32" t="s">
        <v>15</v>
      </c>
      <c r="G1464" s="32">
        <v>0</v>
      </c>
      <c r="H1464" s="12"/>
      <c r="I1464" s="11">
        <f>Table1[[#This Row],[Qty]]*Table1[[#This Row],[Price]]</f>
        <v>0</v>
      </c>
    </row>
    <row r="1465" spans="1:9" ht="13.5" customHeight="1" x14ac:dyDescent="0.25">
      <c r="A1465" s="28">
        <v>3348901181839</v>
      </c>
      <c r="B1465" s="29" t="s">
        <v>2404</v>
      </c>
      <c r="C1465" s="30" t="s">
        <v>151</v>
      </c>
      <c r="D1465" s="31" t="s">
        <v>2405</v>
      </c>
      <c r="E1465" s="51">
        <v>113</v>
      </c>
      <c r="F1465" s="32" t="s">
        <v>15</v>
      </c>
      <c r="G1465" s="32">
        <v>0</v>
      </c>
      <c r="H1465" s="22"/>
      <c r="I1465" s="11">
        <f>Table1[[#This Row],[Qty]]*Table1[[#This Row],[Price]]</f>
        <v>0</v>
      </c>
    </row>
    <row r="1466" spans="1:9" ht="13.5" customHeight="1" x14ac:dyDescent="0.25">
      <c r="A1466" s="28">
        <v>3348901292276</v>
      </c>
      <c r="B1466" s="29" t="s">
        <v>2950</v>
      </c>
      <c r="C1466" s="30" t="s">
        <v>151</v>
      </c>
      <c r="D1466" s="31" t="s">
        <v>2951</v>
      </c>
      <c r="E1466" s="51">
        <v>29.25</v>
      </c>
      <c r="F1466" s="32" t="s">
        <v>15</v>
      </c>
      <c r="G1466" s="32">
        <v>0</v>
      </c>
      <c r="H1466" s="14"/>
      <c r="I1466" s="11">
        <f>Table1[[#This Row],[Qty]]*Table1[[#This Row],[Price]]</f>
        <v>0</v>
      </c>
    </row>
    <row r="1467" spans="1:9" ht="13.5" customHeight="1" x14ac:dyDescent="0.25">
      <c r="A1467" s="28">
        <v>3348901484893</v>
      </c>
      <c r="B1467" s="29" t="s">
        <v>2952</v>
      </c>
      <c r="C1467" s="30" t="s">
        <v>151</v>
      </c>
      <c r="D1467" s="31" t="s">
        <v>2953</v>
      </c>
      <c r="E1467" s="51">
        <v>27.5</v>
      </c>
      <c r="F1467" s="32" t="s">
        <v>15</v>
      </c>
      <c r="G1467" s="32">
        <v>0</v>
      </c>
      <c r="H1467" s="22"/>
      <c r="I1467" s="11">
        <f>Table1[[#This Row],[Qty]]*Table1[[#This Row],[Price]]</f>
        <v>0</v>
      </c>
    </row>
    <row r="1468" spans="1:9" ht="13.5" customHeight="1" x14ac:dyDescent="0.25">
      <c r="A1468" s="28">
        <v>3348900378575</v>
      </c>
      <c r="B1468" s="29" t="s">
        <v>3792</v>
      </c>
      <c r="C1468" s="30" t="s">
        <v>151</v>
      </c>
      <c r="D1468" s="31" t="s">
        <v>3793</v>
      </c>
      <c r="E1468" s="51">
        <v>60.5</v>
      </c>
      <c r="F1468" s="32" t="s">
        <v>15</v>
      </c>
      <c r="G1468" s="32" t="s">
        <v>7067</v>
      </c>
      <c r="H1468" s="12"/>
      <c r="I1468" s="11">
        <f>Table1[[#This Row],[Qty]]*Table1[[#This Row],[Price]]</f>
        <v>0</v>
      </c>
    </row>
    <row r="1469" spans="1:9" ht="13.5" customHeight="1" x14ac:dyDescent="0.25">
      <c r="A1469" s="28">
        <v>3348900838185</v>
      </c>
      <c r="B1469" s="29" t="s">
        <v>3896</v>
      </c>
      <c r="C1469" s="30" t="s">
        <v>151</v>
      </c>
      <c r="D1469" s="31" t="s">
        <v>3897</v>
      </c>
      <c r="E1469" s="51">
        <v>104.98</v>
      </c>
      <c r="F1469" s="32" t="s">
        <v>15</v>
      </c>
      <c r="G1469" s="32" t="s">
        <v>7117</v>
      </c>
      <c r="H1469" s="14"/>
      <c r="I1469" s="11">
        <f>Table1[[#This Row],[Qty]]*Table1[[#This Row],[Price]]</f>
        <v>0</v>
      </c>
    </row>
    <row r="1470" spans="1:9" ht="13.5" customHeight="1" x14ac:dyDescent="0.25">
      <c r="A1470" s="28">
        <v>20714080303</v>
      </c>
      <c r="B1470" s="29" t="s">
        <v>2001</v>
      </c>
      <c r="C1470" s="30" t="s">
        <v>549</v>
      </c>
      <c r="D1470" s="31" t="s">
        <v>2002</v>
      </c>
      <c r="E1470" s="51">
        <v>14.15</v>
      </c>
      <c r="F1470" s="32" t="s">
        <v>15</v>
      </c>
      <c r="G1470" s="32" t="s">
        <v>6359</v>
      </c>
      <c r="H1470" s="12"/>
      <c r="I1470" s="11">
        <f>Table1[[#This Row],[Qty]]*Table1[[#This Row],[Price]]</f>
        <v>0</v>
      </c>
    </row>
    <row r="1471" spans="1:9" ht="13.5" customHeight="1" x14ac:dyDescent="0.25">
      <c r="A1471" s="28">
        <v>20714881436</v>
      </c>
      <c r="B1471" s="29" t="s">
        <v>2980</v>
      </c>
      <c r="C1471" s="30" t="s">
        <v>549</v>
      </c>
      <c r="D1471" s="31" t="s">
        <v>2981</v>
      </c>
      <c r="E1471" s="51">
        <v>13.04</v>
      </c>
      <c r="F1471" s="32" t="s">
        <v>15</v>
      </c>
      <c r="G1471" s="32" t="s">
        <v>6660</v>
      </c>
      <c r="H1471" s="22"/>
      <c r="I1471" s="11">
        <f>Table1[[#This Row],[Qty]]*Table1[[#This Row],[Price]]</f>
        <v>0</v>
      </c>
    </row>
    <row r="1472" spans="1:9" ht="13.5" customHeight="1" x14ac:dyDescent="0.25">
      <c r="A1472" s="28">
        <v>20714052959</v>
      </c>
      <c r="B1472" s="29" t="s">
        <v>4206</v>
      </c>
      <c r="C1472" s="30" t="s">
        <v>549</v>
      </c>
      <c r="D1472" s="31" t="s">
        <v>4207</v>
      </c>
      <c r="E1472" s="51">
        <v>19.59</v>
      </c>
      <c r="F1472" s="32" t="s">
        <v>15</v>
      </c>
      <c r="G1472" s="32" t="s">
        <v>7241</v>
      </c>
      <c r="H1472" s="22"/>
      <c r="I1472" s="11">
        <f>Table1[[#This Row],[Qty]]*Table1[[#This Row],[Price]]</f>
        <v>0</v>
      </c>
    </row>
    <row r="1473" spans="1:9" ht="13.5" customHeight="1" x14ac:dyDescent="0.25">
      <c r="A1473" s="28">
        <v>192333168097</v>
      </c>
      <c r="B1473" s="29" t="s">
        <v>5233</v>
      </c>
      <c r="C1473" s="30" t="s">
        <v>549</v>
      </c>
      <c r="D1473" s="31" t="s">
        <v>5234</v>
      </c>
      <c r="E1473" s="51">
        <v>56.18</v>
      </c>
      <c r="F1473" s="32" t="s">
        <v>15</v>
      </c>
      <c r="G1473" s="32">
        <v>0</v>
      </c>
      <c r="H1473" s="12"/>
      <c r="I1473" s="11">
        <f>Table1[[#This Row],[Qty]]*Table1[[#This Row],[Price]]</f>
        <v>0</v>
      </c>
    </row>
    <row r="1474" spans="1:9" ht="13.5" customHeight="1" x14ac:dyDescent="0.25">
      <c r="A1474" s="28">
        <v>20714001940</v>
      </c>
      <c r="B1474" s="29" t="s">
        <v>5434</v>
      </c>
      <c r="C1474" s="30" t="s">
        <v>549</v>
      </c>
      <c r="D1474" s="31" t="s">
        <v>5435</v>
      </c>
      <c r="E1474" s="51">
        <v>22</v>
      </c>
      <c r="F1474" s="32" t="s">
        <v>15</v>
      </c>
      <c r="G1474" s="32" t="s">
        <v>7408</v>
      </c>
      <c r="H1474" s="12"/>
      <c r="I1474" s="11">
        <f>Table1[[#This Row],[Qty]]*Table1[[#This Row],[Price]]</f>
        <v>0</v>
      </c>
    </row>
    <row r="1475" spans="1:9" ht="13.5" customHeight="1" x14ac:dyDescent="0.25">
      <c r="A1475" s="28">
        <v>3386460096867</v>
      </c>
      <c r="B1475" s="29" t="s">
        <v>1529</v>
      </c>
      <c r="C1475" s="30" t="s">
        <v>1530</v>
      </c>
      <c r="D1475" s="31" t="s">
        <v>1531</v>
      </c>
      <c r="E1475" s="51">
        <v>32</v>
      </c>
      <c r="F1475" s="32" t="s">
        <v>15</v>
      </c>
      <c r="G1475" s="32">
        <v>0</v>
      </c>
      <c r="H1475" s="12"/>
      <c r="I1475" s="11">
        <f>Table1[[#This Row],[Qty]]*Table1[[#This Row],[Price]]</f>
        <v>0</v>
      </c>
    </row>
    <row r="1476" spans="1:9" ht="13.5" customHeight="1" x14ac:dyDescent="0.25">
      <c r="A1476" s="28">
        <v>3386460108119</v>
      </c>
      <c r="B1476" s="29" t="s">
        <v>1538</v>
      </c>
      <c r="C1476" s="30" t="s">
        <v>1530</v>
      </c>
      <c r="D1476" s="31" t="s">
        <v>1539</v>
      </c>
      <c r="E1476" s="51">
        <v>31.5</v>
      </c>
      <c r="F1476" s="32" t="s">
        <v>15</v>
      </c>
      <c r="G1476" s="32">
        <v>0</v>
      </c>
      <c r="H1476" s="22"/>
      <c r="I1476" s="11">
        <f>Table1[[#This Row],[Qty]]*Table1[[#This Row],[Price]]</f>
        <v>0</v>
      </c>
    </row>
    <row r="1477" spans="1:9" ht="13.5" customHeight="1" x14ac:dyDescent="0.25">
      <c r="A1477" s="28">
        <v>3386460086325</v>
      </c>
      <c r="B1477" s="29" t="s">
        <v>1544</v>
      </c>
      <c r="C1477" s="30" t="s">
        <v>1530</v>
      </c>
      <c r="D1477" s="31" t="s">
        <v>1545</v>
      </c>
      <c r="E1477" s="51">
        <v>31</v>
      </c>
      <c r="F1477" s="32" t="s">
        <v>15</v>
      </c>
      <c r="G1477" s="32">
        <v>0</v>
      </c>
      <c r="H1477" s="12"/>
      <c r="I1477" s="11">
        <f>Table1[[#This Row],[Qty]]*Table1[[#This Row],[Price]]</f>
        <v>0</v>
      </c>
    </row>
    <row r="1478" spans="1:9" ht="13.5" customHeight="1" x14ac:dyDescent="0.25">
      <c r="A1478" s="28">
        <v>3386460142182</v>
      </c>
      <c r="B1478" s="29" t="s">
        <v>2406</v>
      </c>
      <c r="C1478" s="30" t="s">
        <v>1530</v>
      </c>
      <c r="D1478" s="31" t="s">
        <v>2407</v>
      </c>
      <c r="E1478" s="51">
        <v>32.049999999999997</v>
      </c>
      <c r="F1478" s="32" t="s">
        <v>15</v>
      </c>
      <c r="G1478" s="32" t="s">
        <v>6448</v>
      </c>
      <c r="H1478" s="22"/>
      <c r="I1478" s="11">
        <f>Table1[[#This Row],[Qty]]*Table1[[#This Row],[Price]]</f>
        <v>0</v>
      </c>
    </row>
    <row r="1479" spans="1:9" ht="13.5" customHeight="1" x14ac:dyDescent="0.25">
      <c r="A1479" s="28">
        <v>3386460126571</v>
      </c>
      <c r="B1479" s="29" t="s">
        <v>2464</v>
      </c>
      <c r="C1479" s="30" t="s">
        <v>1530</v>
      </c>
      <c r="D1479" s="31" t="s">
        <v>2465</v>
      </c>
      <c r="E1479" s="51">
        <v>38.119999999999997</v>
      </c>
      <c r="F1479" s="32" t="s">
        <v>15</v>
      </c>
      <c r="G1479" s="32" t="s">
        <v>6474</v>
      </c>
      <c r="H1479" s="22"/>
      <c r="I1479" s="11">
        <f>Table1[[#This Row],[Qty]]*Table1[[#This Row],[Price]]</f>
        <v>0</v>
      </c>
    </row>
    <row r="1480" spans="1:9" ht="13.5" customHeight="1" x14ac:dyDescent="0.25">
      <c r="A1480" s="28">
        <v>3386460141253</v>
      </c>
      <c r="B1480" s="29" t="s">
        <v>4017</v>
      </c>
      <c r="C1480" s="33" t="s">
        <v>1530</v>
      </c>
      <c r="D1480" s="31" t="s">
        <v>2824</v>
      </c>
      <c r="E1480" s="51">
        <v>27.03</v>
      </c>
      <c r="F1480" s="32" t="s">
        <v>15</v>
      </c>
      <c r="G1480" s="32" t="s">
        <v>7167</v>
      </c>
      <c r="H1480" s="22"/>
      <c r="I1480" s="11">
        <f>Table1[[#This Row],[Qty]]*Table1[[#This Row],[Price]]</f>
        <v>0</v>
      </c>
    </row>
    <row r="1481" spans="1:9" ht="13.5" customHeight="1" x14ac:dyDescent="0.25">
      <c r="A1481" s="28">
        <v>3386460113724</v>
      </c>
      <c r="B1481" s="29" t="s">
        <v>4052</v>
      </c>
      <c r="C1481" s="30" t="s">
        <v>1530</v>
      </c>
      <c r="D1481" s="31" t="s">
        <v>477</v>
      </c>
      <c r="E1481" s="51">
        <v>32.97</v>
      </c>
      <c r="F1481" s="32" t="s">
        <v>15</v>
      </c>
      <c r="G1481" s="32" t="s">
        <v>7183</v>
      </c>
      <c r="H1481" s="14"/>
      <c r="I1481" s="11">
        <f>Table1[[#This Row],[Qty]]*Table1[[#This Row],[Price]]</f>
        <v>0</v>
      </c>
    </row>
    <row r="1482" spans="1:9" ht="13.5" customHeight="1" x14ac:dyDescent="0.25">
      <c r="A1482" s="28">
        <v>3386460097659</v>
      </c>
      <c r="B1482" s="29" t="s">
        <v>4908</v>
      </c>
      <c r="C1482" s="30" t="s">
        <v>1530</v>
      </c>
      <c r="D1482" s="31" t="s">
        <v>4909</v>
      </c>
      <c r="E1482" s="51">
        <v>47.59</v>
      </c>
      <c r="F1482" s="32" t="s">
        <v>15</v>
      </c>
      <c r="G1482" s="32">
        <v>0</v>
      </c>
      <c r="H1482" s="22"/>
      <c r="I1482" s="11">
        <f>Table1[[#This Row],[Qty]]*Table1[[#This Row],[Price]]</f>
        <v>0</v>
      </c>
    </row>
    <row r="1483" spans="1:9" ht="13.5" customHeight="1" x14ac:dyDescent="0.25">
      <c r="A1483" s="28">
        <v>3386460126632</v>
      </c>
      <c r="B1483" s="29" t="s">
        <v>4510</v>
      </c>
      <c r="C1483" s="30" t="s">
        <v>1530</v>
      </c>
      <c r="D1483" s="31" t="s">
        <v>4511</v>
      </c>
      <c r="E1483" s="51">
        <v>35</v>
      </c>
      <c r="F1483" s="32" t="s">
        <v>15</v>
      </c>
      <c r="G1483" s="32">
        <v>0</v>
      </c>
      <c r="H1483" s="12"/>
      <c r="I1483" s="11">
        <f>Table1[[#This Row],[Qty]]*Table1[[#This Row],[Price]]</f>
        <v>0</v>
      </c>
    </row>
    <row r="1484" spans="1:9" ht="13.5" customHeight="1" x14ac:dyDescent="0.25">
      <c r="A1484" s="28">
        <v>3386460078337</v>
      </c>
      <c r="B1484" s="29" t="s">
        <v>4873</v>
      </c>
      <c r="C1484" s="30" t="s">
        <v>1530</v>
      </c>
      <c r="D1484" s="31" t="s">
        <v>4874</v>
      </c>
      <c r="E1484" s="51">
        <v>31.5</v>
      </c>
      <c r="F1484" s="32" t="s">
        <v>15</v>
      </c>
      <c r="G1484" s="32">
        <v>0</v>
      </c>
      <c r="H1484" s="13"/>
      <c r="I1484" s="11">
        <f>Table1[[#This Row],[Qty]]*Table1[[#This Row],[Price]]</f>
        <v>0</v>
      </c>
    </row>
    <row r="1485" spans="1:9" ht="13.5" customHeight="1" x14ac:dyDescent="0.25">
      <c r="A1485" s="28">
        <v>3386460126625</v>
      </c>
      <c r="B1485" s="29" t="s">
        <v>4857</v>
      </c>
      <c r="C1485" s="33" t="s">
        <v>1530</v>
      </c>
      <c r="D1485" s="31" t="s">
        <v>4858</v>
      </c>
      <c r="E1485" s="51">
        <v>23.25</v>
      </c>
      <c r="F1485" s="32" t="s">
        <v>15</v>
      </c>
      <c r="G1485" s="32">
        <v>0</v>
      </c>
      <c r="H1485" s="22"/>
      <c r="I1485" s="11">
        <f>Table1[[#This Row],[Qty]]*Table1[[#This Row],[Price]]</f>
        <v>0</v>
      </c>
    </row>
    <row r="1486" spans="1:9" ht="13.5" customHeight="1" x14ac:dyDescent="0.25">
      <c r="A1486" s="28">
        <v>3331431550305</v>
      </c>
      <c r="B1486" s="29" t="s">
        <v>2248</v>
      </c>
      <c r="C1486" s="30" t="s">
        <v>2249</v>
      </c>
      <c r="D1486" s="31" t="s">
        <v>2250</v>
      </c>
      <c r="E1486" s="51">
        <v>7</v>
      </c>
      <c r="F1486" s="32" t="s">
        <v>15</v>
      </c>
      <c r="G1486" s="32" t="s">
        <v>6398</v>
      </c>
      <c r="H1486" s="22"/>
      <c r="I1486" s="11">
        <f>Table1[[#This Row],[Qty]]*Table1[[#This Row],[Price]]</f>
        <v>0</v>
      </c>
    </row>
    <row r="1487" spans="1:9" ht="13.5" customHeight="1" x14ac:dyDescent="0.25">
      <c r="A1487" s="28">
        <v>3508440251749</v>
      </c>
      <c r="B1487" s="29" t="s">
        <v>1161</v>
      </c>
      <c r="C1487" s="33" t="s">
        <v>1162</v>
      </c>
      <c r="D1487" s="31" t="s">
        <v>1163</v>
      </c>
      <c r="E1487" s="51">
        <v>279.60000000000002</v>
      </c>
      <c r="F1487" s="32" t="s">
        <v>15</v>
      </c>
      <c r="G1487" s="32" t="s">
        <v>6153</v>
      </c>
      <c r="H1487" s="22"/>
      <c r="I1487" s="11">
        <f>Table1[[#This Row],[Qty]]*Table1[[#This Row],[Price]]</f>
        <v>0</v>
      </c>
    </row>
    <row r="1488" spans="1:9" ht="13.5" customHeight="1" x14ac:dyDescent="0.25">
      <c r="A1488" s="28">
        <v>3508441001114</v>
      </c>
      <c r="B1488" s="29" t="s">
        <v>1164</v>
      </c>
      <c r="C1488" s="30" t="s">
        <v>1162</v>
      </c>
      <c r="D1488" s="31" t="s">
        <v>1165</v>
      </c>
      <c r="E1488" s="51">
        <v>224.5</v>
      </c>
      <c r="F1488" s="32" t="s">
        <v>15</v>
      </c>
      <c r="G1488" s="32">
        <v>0</v>
      </c>
      <c r="H1488" s="22"/>
      <c r="I1488" s="11">
        <f>Table1[[#This Row],[Qty]]*Table1[[#This Row],[Price]]</f>
        <v>0</v>
      </c>
    </row>
    <row r="1489" spans="1:9" ht="13.5" customHeight="1" x14ac:dyDescent="0.25">
      <c r="A1489" s="28">
        <v>3508441001275</v>
      </c>
      <c r="B1489" s="29" t="s">
        <v>1166</v>
      </c>
      <c r="C1489" s="30" t="s">
        <v>1162</v>
      </c>
      <c r="D1489" s="31" t="s">
        <v>1167</v>
      </c>
      <c r="E1489" s="51">
        <v>185</v>
      </c>
      <c r="F1489" s="32" t="s">
        <v>15</v>
      </c>
      <c r="G1489" s="32">
        <v>0</v>
      </c>
      <c r="H1489" s="13"/>
      <c r="I1489" s="11">
        <f>Table1[[#This Row],[Qty]]*Table1[[#This Row],[Price]]</f>
        <v>0</v>
      </c>
    </row>
    <row r="1490" spans="1:9" ht="13.5" customHeight="1" x14ac:dyDescent="0.25">
      <c r="A1490" s="28">
        <v>3508441001039</v>
      </c>
      <c r="B1490" s="29" t="s">
        <v>1168</v>
      </c>
      <c r="C1490" s="33" t="s">
        <v>1162</v>
      </c>
      <c r="D1490" s="31" t="s">
        <v>1169</v>
      </c>
      <c r="E1490" s="51">
        <v>169</v>
      </c>
      <c r="F1490" s="32" t="s">
        <v>15</v>
      </c>
      <c r="G1490" s="32">
        <v>0</v>
      </c>
      <c r="H1490" s="22"/>
      <c r="I1490" s="11">
        <f>Table1[[#This Row],[Qty]]*Table1[[#This Row],[Price]]</f>
        <v>0</v>
      </c>
    </row>
    <row r="1491" spans="1:9" ht="13.5" customHeight="1" x14ac:dyDescent="0.25">
      <c r="A1491" s="28">
        <v>3508440561114</v>
      </c>
      <c r="B1491" s="29" t="s">
        <v>1170</v>
      </c>
      <c r="C1491" s="33" t="s">
        <v>1162</v>
      </c>
      <c r="D1491" s="31" t="s">
        <v>1171</v>
      </c>
      <c r="E1491" s="51">
        <v>160.5</v>
      </c>
      <c r="F1491" s="32" t="s">
        <v>15</v>
      </c>
      <c r="G1491" s="32">
        <v>0</v>
      </c>
      <c r="H1491" s="22"/>
      <c r="I1491" s="11">
        <f>Table1[[#This Row],[Qty]]*Table1[[#This Row],[Price]]</f>
        <v>0</v>
      </c>
    </row>
    <row r="1492" spans="1:9" ht="13.5" customHeight="1" x14ac:dyDescent="0.25">
      <c r="A1492" s="28">
        <v>3508441001022</v>
      </c>
      <c r="B1492" s="29" t="s">
        <v>2982</v>
      </c>
      <c r="C1492" s="30" t="s">
        <v>1162</v>
      </c>
      <c r="D1492" s="31" t="s">
        <v>2983</v>
      </c>
      <c r="E1492" s="51">
        <v>169.5</v>
      </c>
      <c r="F1492" s="32" t="s">
        <v>15</v>
      </c>
      <c r="G1492" s="32" t="s">
        <v>6661</v>
      </c>
      <c r="H1492" s="22"/>
      <c r="I1492" s="11">
        <f>Table1[[#This Row],[Qty]]*Table1[[#This Row],[Price]]</f>
        <v>0</v>
      </c>
    </row>
    <row r="1493" spans="1:9" ht="13.5" customHeight="1" x14ac:dyDescent="0.25">
      <c r="A1493" s="28">
        <v>3508441104617</v>
      </c>
      <c r="B1493" s="29" t="s">
        <v>2984</v>
      </c>
      <c r="C1493" s="30" t="s">
        <v>1162</v>
      </c>
      <c r="D1493" s="31" t="s">
        <v>2985</v>
      </c>
      <c r="E1493" s="51">
        <v>148</v>
      </c>
      <c r="F1493" s="32" t="s">
        <v>15</v>
      </c>
      <c r="G1493" s="32" t="s">
        <v>6662</v>
      </c>
      <c r="H1493" s="12"/>
      <c r="I1493" s="11">
        <f>Table1[[#This Row],[Qty]]*Table1[[#This Row],[Price]]</f>
        <v>0</v>
      </c>
    </row>
    <row r="1494" spans="1:9" ht="13.5" customHeight="1" x14ac:dyDescent="0.25">
      <c r="A1494" s="28">
        <v>3508440506955</v>
      </c>
      <c r="B1494" s="29" t="s">
        <v>2986</v>
      </c>
      <c r="C1494" s="30" t="s">
        <v>1162</v>
      </c>
      <c r="D1494" s="31" t="s">
        <v>2987</v>
      </c>
      <c r="E1494" s="51">
        <v>153</v>
      </c>
      <c r="F1494" s="32" t="s">
        <v>15</v>
      </c>
      <c r="G1494" s="32" t="s">
        <v>6663</v>
      </c>
      <c r="H1494" s="12"/>
      <c r="I1494" s="11">
        <f>Table1[[#This Row],[Qty]]*Table1[[#This Row],[Price]]</f>
        <v>0</v>
      </c>
    </row>
    <row r="1495" spans="1:9" ht="13.5" customHeight="1" x14ac:dyDescent="0.25">
      <c r="A1495" s="28">
        <v>3508441104662</v>
      </c>
      <c r="B1495" s="29" t="s">
        <v>5491</v>
      </c>
      <c r="C1495" s="30" t="s">
        <v>1162</v>
      </c>
      <c r="D1495" s="31" t="s">
        <v>5492</v>
      </c>
      <c r="E1495" s="51">
        <v>254.5</v>
      </c>
      <c r="F1495" s="32" t="s">
        <v>15</v>
      </c>
      <c r="G1495" s="32">
        <v>0</v>
      </c>
      <c r="H1495" s="12"/>
      <c r="I1495" s="11">
        <f>Table1[[#This Row],[Qty]]*Table1[[#This Row],[Price]]</f>
        <v>0</v>
      </c>
    </row>
    <row r="1496" spans="1:9" ht="13.5" customHeight="1" x14ac:dyDescent="0.25">
      <c r="A1496" s="28">
        <v>5060524511494</v>
      </c>
      <c r="B1496" s="29" t="s">
        <v>3987</v>
      </c>
      <c r="C1496" s="30" t="s">
        <v>878</v>
      </c>
      <c r="D1496" s="31" t="s">
        <v>3988</v>
      </c>
      <c r="E1496" s="51">
        <v>19</v>
      </c>
      <c r="F1496" s="32" t="s">
        <v>15</v>
      </c>
      <c r="G1496" s="32" t="s">
        <v>5754</v>
      </c>
      <c r="H1496" s="12"/>
      <c r="I1496" s="11">
        <f>Table1[[#This Row],[Qty]]*Table1[[#This Row],[Price]]</f>
        <v>0</v>
      </c>
    </row>
    <row r="1497" spans="1:9" ht="13.5" customHeight="1" x14ac:dyDescent="0.25">
      <c r="A1497" s="28">
        <v>5060524511142</v>
      </c>
      <c r="B1497" s="29" t="s">
        <v>1770</v>
      </c>
      <c r="C1497" s="30" t="s">
        <v>878</v>
      </c>
      <c r="D1497" s="31" t="s">
        <v>1771</v>
      </c>
      <c r="E1497" s="51">
        <v>20.45</v>
      </c>
      <c r="F1497" s="32" t="s">
        <v>15</v>
      </c>
      <c r="G1497" s="32" t="s">
        <v>6300</v>
      </c>
      <c r="H1497" s="22"/>
      <c r="I1497" s="11">
        <f>Table1[[#This Row],[Qty]]*Table1[[#This Row],[Price]]</f>
        <v>0</v>
      </c>
    </row>
    <row r="1498" spans="1:9" ht="13.5" customHeight="1" x14ac:dyDescent="0.25">
      <c r="A1498" s="28">
        <v>5060524510732</v>
      </c>
      <c r="B1498" s="29" t="s">
        <v>2072</v>
      </c>
      <c r="C1498" s="30" t="s">
        <v>878</v>
      </c>
      <c r="D1498" s="31" t="s">
        <v>2073</v>
      </c>
      <c r="E1498" s="51">
        <v>12.5</v>
      </c>
      <c r="F1498" s="32" t="s">
        <v>15</v>
      </c>
      <c r="G1498" s="32" t="s">
        <v>6373</v>
      </c>
      <c r="H1498" s="22"/>
      <c r="I1498" s="11">
        <f>Table1[[#This Row],[Qty]]*Table1[[#This Row],[Price]]</f>
        <v>0</v>
      </c>
    </row>
    <row r="1499" spans="1:9" ht="13.5" customHeight="1" x14ac:dyDescent="0.25">
      <c r="A1499" s="28">
        <v>8436581945324</v>
      </c>
      <c r="B1499" s="29" t="s">
        <v>5083</v>
      </c>
      <c r="C1499" s="30" t="s">
        <v>5084</v>
      </c>
      <c r="D1499" s="31" t="s">
        <v>5085</v>
      </c>
      <c r="E1499" s="51">
        <v>14.5</v>
      </c>
      <c r="F1499" s="32" t="s">
        <v>15</v>
      </c>
      <c r="G1499" s="32" t="s">
        <v>7424</v>
      </c>
      <c r="H1499" s="12"/>
      <c r="I1499" s="11">
        <f>Table1[[#This Row],[Qty]]*Table1[[#This Row],[Price]]</f>
        <v>0</v>
      </c>
    </row>
    <row r="1500" spans="1:9" ht="13.5" customHeight="1" x14ac:dyDescent="0.25">
      <c r="A1500" s="28">
        <v>5425017733508</v>
      </c>
      <c r="B1500" s="29" t="s">
        <v>279</v>
      </c>
      <c r="C1500" s="30" t="s">
        <v>280</v>
      </c>
      <c r="D1500" s="31" t="s">
        <v>281</v>
      </c>
      <c r="E1500" s="51">
        <v>5</v>
      </c>
      <c r="F1500" s="32" t="s">
        <v>15</v>
      </c>
      <c r="G1500" s="32" t="s">
        <v>5717</v>
      </c>
      <c r="H1500" s="12"/>
      <c r="I1500" s="11">
        <f>Table1[[#This Row],[Qty]]*Table1[[#This Row],[Price]]</f>
        <v>0</v>
      </c>
    </row>
    <row r="1501" spans="1:9" ht="13.5" customHeight="1" x14ac:dyDescent="0.25">
      <c r="A1501" s="28">
        <v>5425017732389</v>
      </c>
      <c r="B1501" s="29" t="s">
        <v>765</v>
      </c>
      <c r="C1501" s="30" t="s">
        <v>280</v>
      </c>
      <c r="D1501" s="31" t="s">
        <v>766</v>
      </c>
      <c r="E1501" s="51">
        <v>7</v>
      </c>
      <c r="F1501" s="32" t="s">
        <v>15</v>
      </c>
      <c r="G1501" s="32" t="s">
        <v>5979</v>
      </c>
      <c r="H1501" s="22"/>
      <c r="I1501" s="11">
        <f>Table1[[#This Row],[Qty]]*Table1[[#This Row],[Price]]</f>
        <v>0</v>
      </c>
    </row>
    <row r="1502" spans="1:9" ht="13.5" customHeight="1" x14ac:dyDescent="0.25">
      <c r="A1502" s="28">
        <v>5425039220611</v>
      </c>
      <c r="B1502" s="29" t="s">
        <v>2224</v>
      </c>
      <c r="C1502" s="30" t="s">
        <v>280</v>
      </c>
      <c r="D1502" s="31" t="s">
        <v>2225</v>
      </c>
      <c r="E1502" s="51">
        <v>7.5</v>
      </c>
      <c r="F1502" s="32" t="s">
        <v>15</v>
      </c>
      <c r="G1502" s="32">
        <v>0</v>
      </c>
      <c r="H1502" s="22"/>
      <c r="I1502" s="11">
        <f>Table1[[#This Row],[Qty]]*Table1[[#This Row],[Price]]</f>
        <v>0</v>
      </c>
    </row>
    <row r="1503" spans="1:9" ht="13.5" customHeight="1" x14ac:dyDescent="0.25">
      <c r="A1503" s="28">
        <v>5425039222189</v>
      </c>
      <c r="B1503" s="29" t="s">
        <v>2226</v>
      </c>
      <c r="C1503" s="30" t="s">
        <v>280</v>
      </c>
      <c r="D1503" s="31" t="s">
        <v>2227</v>
      </c>
      <c r="E1503" s="51">
        <v>7.5</v>
      </c>
      <c r="F1503" s="32" t="s">
        <v>15</v>
      </c>
      <c r="G1503" s="32">
        <v>0</v>
      </c>
      <c r="H1503" s="22"/>
      <c r="I1503" s="11">
        <f>Table1[[#This Row],[Qty]]*Table1[[#This Row],[Price]]</f>
        <v>0</v>
      </c>
    </row>
    <row r="1504" spans="1:9" ht="13.5" customHeight="1" x14ac:dyDescent="0.25">
      <c r="A1504" s="28">
        <v>5425039220628</v>
      </c>
      <c r="B1504" s="29" t="s">
        <v>2233</v>
      </c>
      <c r="C1504" s="30" t="s">
        <v>280</v>
      </c>
      <c r="D1504" s="31" t="s">
        <v>2234</v>
      </c>
      <c r="E1504" s="51">
        <v>7.25</v>
      </c>
      <c r="F1504" s="32" t="s">
        <v>15</v>
      </c>
      <c r="G1504" s="32">
        <v>0</v>
      </c>
      <c r="H1504" s="14"/>
      <c r="I1504" s="11">
        <f>Table1[[#This Row],[Qty]]*Table1[[#This Row],[Price]]</f>
        <v>0</v>
      </c>
    </row>
    <row r="1505" spans="1:9" ht="13.5" customHeight="1" x14ac:dyDescent="0.25">
      <c r="A1505" s="28">
        <v>5425039222080</v>
      </c>
      <c r="B1505" s="29" t="s">
        <v>2246</v>
      </c>
      <c r="C1505" s="30" t="s">
        <v>280</v>
      </c>
      <c r="D1505" s="31" t="s">
        <v>2247</v>
      </c>
      <c r="E1505" s="51">
        <v>7</v>
      </c>
      <c r="F1505" s="32" t="s">
        <v>15</v>
      </c>
      <c r="G1505" s="32">
        <v>0</v>
      </c>
      <c r="H1505" s="22"/>
      <c r="I1505" s="11">
        <f>Table1[[#This Row],[Qty]]*Table1[[#This Row],[Price]]</f>
        <v>0</v>
      </c>
    </row>
    <row r="1506" spans="1:9" ht="13.5" customHeight="1" x14ac:dyDescent="0.25">
      <c r="A1506" s="28">
        <v>5425017732464</v>
      </c>
      <c r="B1506" s="29" t="s">
        <v>2251</v>
      </c>
      <c r="C1506" s="30" t="s">
        <v>280</v>
      </c>
      <c r="D1506" s="31" t="s">
        <v>2252</v>
      </c>
      <c r="E1506" s="51">
        <v>7</v>
      </c>
      <c r="F1506" s="32" t="s">
        <v>15</v>
      </c>
      <c r="G1506" s="32">
        <v>0</v>
      </c>
      <c r="H1506" s="22"/>
      <c r="I1506" s="11">
        <f>Table1[[#This Row],[Qty]]*Table1[[#This Row],[Price]]</f>
        <v>0</v>
      </c>
    </row>
    <row r="1507" spans="1:9" ht="13.5" customHeight="1" x14ac:dyDescent="0.25">
      <c r="A1507" s="28">
        <v>5425017734192</v>
      </c>
      <c r="B1507" s="29" t="s">
        <v>2258</v>
      </c>
      <c r="C1507" s="30" t="s">
        <v>280</v>
      </c>
      <c r="D1507" s="31" t="s">
        <v>2259</v>
      </c>
      <c r="E1507" s="51">
        <v>6.75</v>
      </c>
      <c r="F1507" s="32" t="s">
        <v>15</v>
      </c>
      <c r="G1507" s="32">
        <v>0</v>
      </c>
      <c r="H1507" s="22"/>
      <c r="I1507" s="11">
        <f>Table1[[#This Row],[Qty]]*Table1[[#This Row],[Price]]</f>
        <v>0</v>
      </c>
    </row>
    <row r="1508" spans="1:9" ht="13.5" customHeight="1" x14ac:dyDescent="0.25">
      <c r="A1508" s="28">
        <v>5425039222172</v>
      </c>
      <c r="B1508" s="29" t="s">
        <v>2260</v>
      </c>
      <c r="C1508" s="30" t="s">
        <v>280</v>
      </c>
      <c r="D1508" s="31" t="s">
        <v>2261</v>
      </c>
      <c r="E1508" s="51">
        <v>6.75</v>
      </c>
      <c r="F1508" s="32" t="s">
        <v>15</v>
      </c>
      <c r="G1508" s="32">
        <v>0</v>
      </c>
      <c r="H1508" s="12"/>
      <c r="I1508" s="11">
        <f>Table1[[#This Row],[Qty]]*Table1[[#This Row],[Price]]</f>
        <v>0</v>
      </c>
    </row>
    <row r="1509" spans="1:9" ht="13.5" customHeight="1" x14ac:dyDescent="0.25">
      <c r="A1509" s="28">
        <v>5425017732471</v>
      </c>
      <c r="B1509" s="29" t="s">
        <v>2262</v>
      </c>
      <c r="C1509" s="30" t="s">
        <v>280</v>
      </c>
      <c r="D1509" s="31" t="s">
        <v>2263</v>
      </c>
      <c r="E1509" s="51">
        <v>6.75</v>
      </c>
      <c r="F1509" s="32" t="s">
        <v>15</v>
      </c>
      <c r="G1509" s="32">
        <v>0</v>
      </c>
      <c r="H1509" s="12"/>
      <c r="I1509" s="11">
        <f>Table1[[#This Row],[Qty]]*Table1[[#This Row],[Price]]</f>
        <v>0</v>
      </c>
    </row>
    <row r="1510" spans="1:9" ht="13.5" customHeight="1" x14ac:dyDescent="0.25">
      <c r="A1510" s="28">
        <v>5425017732488</v>
      </c>
      <c r="B1510" s="29" t="s">
        <v>2264</v>
      </c>
      <c r="C1510" s="30" t="s">
        <v>280</v>
      </c>
      <c r="D1510" s="31" t="s">
        <v>2265</v>
      </c>
      <c r="E1510" s="51">
        <v>6.75</v>
      </c>
      <c r="F1510" s="32" t="s">
        <v>15</v>
      </c>
      <c r="G1510" s="32">
        <v>0</v>
      </c>
      <c r="H1510" s="22"/>
      <c r="I1510" s="11">
        <f>Table1[[#This Row],[Qty]]*Table1[[#This Row],[Price]]</f>
        <v>0</v>
      </c>
    </row>
    <row r="1511" spans="1:9" ht="13.5" customHeight="1" x14ac:dyDescent="0.25">
      <c r="A1511" s="28">
        <v>5425017736028</v>
      </c>
      <c r="B1511" s="29" t="s">
        <v>2266</v>
      </c>
      <c r="C1511" s="30" t="s">
        <v>280</v>
      </c>
      <c r="D1511" s="31" t="s">
        <v>2267</v>
      </c>
      <c r="E1511" s="51">
        <v>6.75</v>
      </c>
      <c r="F1511" s="32" t="s">
        <v>15</v>
      </c>
      <c r="G1511" s="32">
        <v>0</v>
      </c>
      <c r="H1511" s="22"/>
      <c r="I1511" s="11">
        <f>Table1[[#This Row],[Qty]]*Table1[[#This Row],[Price]]</f>
        <v>0</v>
      </c>
    </row>
    <row r="1512" spans="1:9" ht="13.5" customHeight="1" x14ac:dyDescent="0.25">
      <c r="A1512" s="28">
        <v>5425017732396</v>
      </c>
      <c r="B1512" s="29" t="s">
        <v>2392</v>
      </c>
      <c r="C1512" s="30" t="s">
        <v>280</v>
      </c>
      <c r="D1512" s="31" t="s">
        <v>2393</v>
      </c>
      <c r="E1512" s="51">
        <v>6.77</v>
      </c>
      <c r="F1512" s="32" t="s">
        <v>15</v>
      </c>
      <c r="G1512" s="32" t="s">
        <v>6443</v>
      </c>
      <c r="H1512" s="12"/>
      <c r="I1512" s="11">
        <f>Table1[[#This Row],[Qty]]*Table1[[#This Row],[Price]]</f>
        <v>0</v>
      </c>
    </row>
    <row r="1513" spans="1:9" ht="13.5" customHeight="1" x14ac:dyDescent="0.25">
      <c r="A1513" s="28">
        <v>5425017731962</v>
      </c>
      <c r="B1513" s="29" t="s">
        <v>2579</v>
      </c>
      <c r="C1513" s="33" t="s">
        <v>280</v>
      </c>
      <c r="D1513" s="31" t="s">
        <v>2580</v>
      </c>
      <c r="E1513" s="51">
        <v>6.62</v>
      </c>
      <c r="F1513" s="32" t="s">
        <v>15</v>
      </c>
      <c r="G1513" s="32" t="s">
        <v>6525</v>
      </c>
      <c r="H1513" s="22"/>
      <c r="I1513" s="11">
        <f>Table1[[#This Row],[Qty]]*Table1[[#This Row],[Price]]</f>
        <v>0</v>
      </c>
    </row>
    <row r="1514" spans="1:9" ht="13.5" customHeight="1" x14ac:dyDescent="0.25">
      <c r="A1514" s="28">
        <v>5425017735946</v>
      </c>
      <c r="B1514" s="29" t="s">
        <v>2581</v>
      </c>
      <c r="C1514" s="30" t="s">
        <v>280</v>
      </c>
      <c r="D1514" s="31" t="s">
        <v>2582</v>
      </c>
      <c r="E1514" s="51">
        <v>6.6</v>
      </c>
      <c r="F1514" s="32" t="s">
        <v>15</v>
      </c>
      <c r="G1514" s="32" t="s">
        <v>6526</v>
      </c>
      <c r="H1514" s="12"/>
      <c r="I1514" s="11">
        <f>Table1[[#This Row],[Qty]]*Table1[[#This Row],[Price]]</f>
        <v>0</v>
      </c>
    </row>
    <row r="1515" spans="1:9" ht="13.5" customHeight="1" x14ac:dyDescent="0.25">
      <c r="A1515" s="28">
        <v>5425017736233</v>
      </c>
      <c r="B1515" s="29" t="s">
        <v>2583</v>
      </c>
      <c r="C1515" s="30" t="s">
        <v>280</v>
      </c>
      <c r="D1515" s="31" t="s">
        <v>2584</v>
      </c>
      <c r="E1515" s="51">
        <v>6.45</v>
      </c>
      <c r="F1515" s="32" t="s">
        <v>15</v>
      </c>
      <c r="G1515" s="32" t="s">
        <v>6527</v>
      </c>
      <c r="H1515" s="12"/>
      <c r="I1515" s="11">
        <f>Table1[[#This Row],[Qty]]*Table1[[#This Row],[Price]]</f>
        <v>0</v>
      </c>
    </row>
    <row r="1516" spans="1:9" ht="13.5" customHeight="1" x14ac:dyDescent="0.25">
      <c r="A1516" s="28">
        <v>5425017736240</v>
      </c>
      <c r="B1516" s="29" t="s">
        <v>2585</v>
      </c>
      <c r="C1516" s="33" t="s">
        <v>280</v>
      </c>
      <c r="D1516" s="31" t="s">
        <v>2586</v>
      </c>
      <c r="E1516" s="51">
        <v>6.45</v>
      </c>
      <c r="F1516" s="32" t="s">
        <v>15</v>
      </c>
      <c r="G1516" s="32" t="s">
        <v>6528</v>
      </c>
      <c r="H1516" s="22"/>
      <c r="I1516" s="11">
        <f>Table1[[#This Row],[Qty]]*Table1[[#This Row],[Price]]</f>
        <v>0</v>
      </c>
    </row>
    <row r="1517" spans="1:9" ht="13.5" customHeight="1" x14ac:dyDescent="0.25">
      <c r="A1517" s="28">
        <v>5425017736257</v>
      </c>
      <c r="B1517" s="29" t="s">
        <v>2587</v>
      </c>
      <c r="C1517" s="30" t="s">
        <v>280</v>
      </c>
      <c r="D1517" s="31" t="s">
        <v>2588</v>
      </c>
      <c r="E1517" s="51">
        <v>6.45</v>
      </c>
      <c r="F1517" s="32" t="s">
        <v>15</v>
      </c>
      <c r="G1517" s="32" t="s">
        <v>6529</v>
      </c>
      <c r="H1517" s="22"/>
      <c r="I1517" s="11">
        <f>Table1[[#This Row],[Qty]]*Table1[[#This Row],[Price]]</f>
        <v>0</v>
      </c>
    </row>
    <row r="1518" spans="1:9" ht="13.5" customHeight="1" x14ac:dyDescent="0.25">
      <c r="A1518" s="28">
        <v>5425017736295</v>
      </c>
      <c r="B1518" s="29" t="s">
        <v>2589</v>
      </c>
      <c r="C1518" s="30" t="s">
        <v>280</v>
      </c>
      <c r="D1518" s="31" t="s">
        <v>2590</v>
      </c>
      <c r="E1518" s="51">
        <v>6.45</v>
      </c>
      <c r="F1518" s="32" t="s">
        <v>15</v>
      </c>
      <c r="G1518" s="32" t="s">
        <v>6530</v>
      </c>
      <c r="H1518" s="12"/>
      <c r="I1518" s="11">
        <f>Table1[[#This Row],[Qty]]*Table1[[#This Row],[Price]]</f>
        <v>0</v>
      </c>
    </row>
    <row r="1519" spans="1:9" ht="13.5" customHeight="1" x14ac:dyDescent="0.25">
      <c r="A1519" s="28">
        <v>5425017736400</v>
      </c>
      <c r="B1519" s="29" t="s">
        <v>2591</v>
      </c>
      <c r="C1519" s="30" t="s">
        <v>280</v>
      </c>
      <c r="D1519" s="31" t="s">
        <v>2592</v>
      </c>
      <c r="E1519" s="51">
        <v>6.45</v>
      </c>
      <c r="F1519" s="32" t="s">
        <v>15</v>
      </c>
      <c r="G1519" s="32" t="s">
        <v>6531</v>
      </c>
      <c r="H1519" s="22"/>
      <c r="I1519" s="11">
        <f>Table1[[#This Row],[Qty]]*Table1[[#This Row],[Price]]</f>
        <v>0</v>
      </c>
    </row>
    <row r="1520" spans="1:9" ht="13.5" customHeight="1" x14ac:dyDescent="0.25">
      <c r="A1520" s="28">
        <v>5425039222691</v>
      </c>
      <c r="B1520" s="29" t="s">
        <v>2811</v>
      </c>
      <c r="C1520" s="30" t="s">
        <v>280</v>
      </c>
      <c r="D1520" s="31" t="s">
        <v>2812</v>
      </c>
      <c r="E1520" s="51">
        <v>6.45</v>
      </c>
      <c r="F1520" s="32" t="s">
        <v>15</v>
      </c>
      <c r="G1520" s="32" t="s">
        <v>6614</v>
      </c>
      <c r="H1520" s="22"/>
      <c r="I1520" s="11">
        <f>Table1[[#This Row],[Qty]]*Table1[[#This Row],[Price]]</f>
        <v>0</v>
      </c>
    </row>
    <row r="1521" spans="1:9" ht="13.5" customHeight="1" x14ac:dyDescent="0.25">
      <c r="A1521" s="28">
        <v>5425039222844</v>
      </c>
      <c r="B1521" s="29" t="s">
        <v>2813</v>
      </c>
      <c r="C1521" s="30" t="s">
        <v>280</v>
      </c>
      <c r="D1521" s="31" t="s">
        <v>2814</v>
      </c>
      <c r="E1521" s="51">
        <v>7.64</v>
      </c>
      <c r="F1521" s="32" t="s">
        <v>15</v>
      </c>
      <c r="G1521" s="32" t="s">
        <v>6615</v>
      </c>
      <c r="H1521" s="12"/>
      <c r="I1521" s="11">
        <f>Table1[[#This Row],[Qty]]*Table1[[#This Row],[Price]]</f>
        <v>0</v>
      </c>
    </row>
    <row r="1522" spans="1:9" ht="13.5" customHeight="1" x14ac:dyDescent="0.25">
      <c r="A1522" s="28">
        <v>5425039223711</v>
      </c>
      <c r="B1522" s="29" t="s">
        <v>2815</v>
      </c>
      <c r="C1522" s="30" t="s">
        <v>280</v>
      </c>
      <c r="D1522" s="31" t="s">
        <v>2816</v>
      </c>
      <c r="E1522" s="51">
        <v>6.5</v>
      </c>
      <c r="F1522" s="32" t="s">
        <v>15</v>
      </c>
      <c r="G1522" s="32" t="s">
        <v>6616</v>
      </c>
      <c r="H1522" s="22"/>
      <c r="I1522" s="11">
        <f>Table1[[#This Row],[Qty]]*Table1[[#This Row],[Price]]</f>
        <v>0</v>
      </c>
    </row>
    <row r="1523" spans="1:9" ht="13.5" customHeight="1" x14ac:dyDescent="0.25">
      <c r="A1523" s="28">
        <v>5425039223742</v>
      </c>
      <c r="B1523" s="29" t="s">
        <v>2817</v>
      </c>
      <c r="C1523" s="30" t="s">
        <v>280</v>
      </c>
      <c r="D1523" s="31" t="s">
        <v>2818</v>
      </c>
      <c r="E1523" s="51">
        <v>6.5</v>
      </c>
      <c r="F1523" s="32" t="s">
        <v>15</v>
      </c>
      <c r="G1523" s="32" t="s">
        <v>6617</v>
      </c>
      <c r="H1523" s="12"/>
      <c r="I1523" s="11">
        <f>Table1[[#This Row],[Qty]]*Table1[[#This Row],[Price]]</f>
        <v>0</v>
      </c>
    </row>
    <row r="1524" spans="1:9" ht="13.5" customHeight="1" x14ac:dyDescent="0.25">
      <c r="A1524" s="28">
        <v>5425017732402</v>
      </c>
      <c r="B1524" s="29" t="s">
        <v>2819</v>
      </c>
      <c r="C1524" s="30" t="s">
        <v>280</v>
      </c>
      <c r="D1524" s="31" t="s">
        <v>2820</v>
      </c>
      <c r="E1524" s="51">
        <v>6.6</v>
      </c>
      <c r="F1524" s="32" t="s">
        <v>15</v>
      </c>
      <c r="G1524" s="32" t="s">
        <v>6618</v>
      </c>
      <c r="H1524" s="12"/>
      <c r="I1524" s="11">
        <f>Table1[[#This Row],[Qty]]*Table1[[#This Row],[Price]]</f>
        <v>0</v>
      </c>
    </row>
    <row r="1525" spans="1:9" ht="13.5" customHeight="1" x14ac:dyDescent="0.25">
      <c r="A1525" s="28">
        <v>5425017735953</v>
      </c>
      <c r="B1525" s="29" t="s">
        <v>2821</v>
      </c>
      <c r="C1525" s="30" t="s">
        <v>280</v>
      </c>
      <c r="D1525" s="31" t="s">
        <v>2822</v>
      </c>
      <c r="E1525" s="51">
        <v>6.45</v>
      </c>
      <c r="F1525" s="32" t="s">
        <v>15</v>
      </c>
      <c r="G1525" s="32" t="s">
        <v>6619</v>
      </c>
      <c r="H1525" s="22"/>
      <c r="I1525" s="11">
        <f>Table1[[#This Row],[Qty]]*Table1[[#This Row],[Price]]</f>
        <v>0</v>
      </c>
    </row>
    <row r="1526" spans="1:9" ht="13.5" customHeight="1" x14ac:dyDescent="0.25">
      <c r="A1526" s="28">
        <v>5425017736264</v>
      </c>
      <c r="B1526" s="29" t="s">
        <v>2823</v>
      </c>
      <c r="C1526" s="30" t="s">
        <v>280</v>
      </c>
      <c r="D1526" s="31" t="s">
        <v>2824</v>
      </c>
      <c r="E1526" s="51">
        <v>6.5</v>
      </c>
      <c r="F1526" s="32" t="s">
        <v>15</v>
      </c>
      <c r="G1526" s="32" t="s">
        <v>6620</v>
      </c>
      <c r="H1526" s="12"/>
      <c r="I1526" s="11">
        <f>Table1[[#This Row],[Qty]]*Table1[[#This Row],[Price]]</f>
        <v>0</v>
      </c>
    </row>
    <row r="1527" spans="1:9" ht="13.5" customHeight="1" x14ac:dyDescent="0.25">
      <c r="A1527" s="28">
        <v>5425039222028</v>
      </c>
      <c r="B1527" s="29" t="s">
        <v>3740</v>
      </c>
      <c r="C1527" s="33" t="s">
        <v>280</v>
      </c>
      <c r="D1527" s="31" t="s">
        <v>3741</v>
      </c>
      <c r="E1527" s="51">
        <v>5.4</v>
      </c>
      <c r="F1527" s="32" t="s">
        <v>15</v>
      </c>
      <c r="G1527" s="32" t="s">
        <v>7042</v>
      </c>
      <c r="H1527" s="22"/>
      <c r="I1527" s="11">
        <f>Table1[[#This Row],[Qty]]*Table1[[#This Row],[Price]]</f>
        <v>0</v>
      </c>
    </row>
    <row r="1528" spans="1:9" ht="13.5" customHeight="1" x14ac:dyDescent="0.25">
      <c r="A1528" s="28">
        <v>5425017735755</v>
      </c>
      <c r="B1528" s="29" t="s">
        <v>3742</v>
      </c>
      <c r="C1528" s="30" t="s">
        <v>280</v>
      </c>
      <c r="D1528" s="31" t="s">
        <v>3743</v>
      </c>
      <c r="E1528" s="51">
        <v>5.4</v>
      </c>
      <c r="F1528" s="32" t="s">
        <v>15</v>
      </c>
      <c r="G1528" s="32" t="s">
        <v>7043</v>
      </c>
      <c r="H1528" s="12"/>
      <c r="I1528" s="11">
        <f>Table1[[#This Row],[Qty]]*Table1[[#This Row],[Price]]</f>
        <v>0</v>
      </c>
    </row>
    <row r="1529" spans="1:9" ht="13.5" customHeight="1" x14ac:dyDescent="0.25">
      <c r="A1529" s="28">
        <v>5425039223667</v>
      </c>
      <c r="B1529" s="29" t="s">
        <v>3744</v>
      </c>
      <c r="C1529" s="30" t="s">
        <v>280</v>
      </c>
      <c r="D1529" s="31" t="s">
        <v>3745</v>
      </c>
      <c r="E1529" s="51">
        <v>5.5</v>
      </c>
      <c r="F1529" s="32" t="s">
        <v>15</v>
      </c>
      <c r="G1529" s="32" t="s">
        <v>7044</v>
      </c>
      <c r="H1529" s="13"/>
      <c r="I1529" s="11">
        <f>Table1[[#This Row],[Qty]]*Table1[[#This Row],[Price]]</f>
        <v>0</v>
      </c>
    </row>
    <row r="1530" spans="1:9" ht="13.5" customHeight="1" x14ac:dyDescent="0.25">
      <c r="A1530" s="28">
        <v>5425039222820</v>
      </c>
      <c r="B1530" s="29" t="s">
        <v>3746</v>
      </c>
      <c r="C1530" s="30" t="s">
        <v>280</v>
      </c>
      <c r="D1530" s="31" t="s">
        <v>3747</v>
      </c>
      <c r="E1530" s="51">
        <v>5.64</v>
      </c>
      <c r="F1530" s="32" t="s">
        <v>15</v>
      </c>
      <c r="G1530" s="32" t="s">
        <v>7045</v>
      </c>
      <c r="H1530" s="22"/>
      <c r="I1530" s="11">
        <f>Table1[[#This Row],[Qty]]*Table1[[#This Row],[Price]]</f>
        <v>0</v>
      </c>
    </row>
    <row r="1531" spans="1:9" ht="13.5" customHeight="1" x14ac:dyDescent="0.25">
      <c r="A1531" s="28">
        <v>5425017735861</v>
      </c>
      <c r="B1531" s="29" t="s">
        <v>3748</v>
      </c>
      <c r="C1531" s="30" t="s">
        <v>280</v>
      </c>
      <c r="D1531" s="31" t="s">
        <v>3749</v>
      </c>
      <c r="E1531" s="51">
        <v>5.4</v>
      </c>
      <c r="F1531" s="32" t="s">
        <v>15</v>
      </c>
      <c r="G1531" s="32" t="s">
        <v>7046</v>
      </c>
      <c r="H1531" s="12"/>
      <c r="I1531" s="11">
        <f>Table1[[#This Row],[Qty]]*Table1[[#This Row],[Price]]</f>
        <v>0</v>
      </c>
    </row>
    <row r="1532" spans="1:9" ht="13.5" customHeight="1" x14ac:dyDescent="0.25">
      <c r="A1532" s="28">
        <v>5425039222042</v>
      </c>
      <c r="B1532" s="29" t="s">
        <v>3762</v>
      </c>
      <c r="C1532" s="33" t="s">
        <v>280</v>
      </c>
      <c r="D1532" s="31" t="s">
        <v>3763</v>
      </c>
      <c r="E1532" s="51">
        <v>5.64</v>
      </c>
      <c r="F1532" s="32" t="s">
        <v>15</v>
      </c>
      <c r="G1532" s="32" t="s">
        <v>7053</v>
      </c>
      <c r="H1532" s="22"/>
      <c r="I1532" s="11">
        <f>Table1[[#This Row],[Qty]]*Table1[[#This Row],[Price]]</f>
        <v>0</v>
      </c>
    </row>
    <row r="1533" spans="1:9" ht="13.5" customHeight="1" x14ac:dyDescent="0.25">
      <c r="A1533" s="28">
        <v>5425039222103</v>
      </c>
      <c r="B1533" s="29" t="s">
        <v>3764</v>
      </c>
      <c r="C1533" s="30" t="s">
        <v>280</v>
      </c>
      <c r="D1533" s="31" t="s">
        <v>3765</v>
      </c>
      <c r="E1533" s="51">
        <v>4.7699999999999996</v>
      </c>
      <c r="F1533" s="32" t="s">
        <v>15</v>
      </c>
      <c r="G1533" s="32" t="s">
        <v>7054</v>
      </c>
      <c r="H1533" s="22"/>
      <c r="I1533" s="11">
        <f>Table1[[#This Row],[Qty]]*Table1[[#This Row],[Price]]</f>
        <v>0</v>
      </c>
    </row>
    <row r="1534" spans="1:9" ht="13.5" customHeight="1" x14ac:dyDescent="0.25">
      <c r="A1534" s="28">
        <v>5425017736370</v>
      </c>
      <c r="B1534" s="29" t="s">
        <v>3766</v>
      </c>
      <c r="C1534" s="30" t="s">
        <v>280</v>
      </c>
      <c r="D1534" s="31" t="s">
        <v>3767</v>
      </c>
      <c r="E1534" s="51">
        <v>4.5999999999999996</v>
      </c>
      <c r="F1534" s="32" t="s">
        <v>15</v>
      </c>
      <c r="G1534" s="32" t="s">
        <v>7055</v>
      </c>
      <c r="H1534" s="22"/>
      <c r="I1534" s="11">
        <f>Table1[[#This Row],[Qty]]*Table1[[#This Row],[Price]]</f>
        <v>0</v>
      </c>
    </row>
    <row r="1535" spans="1:9" ht="13.5" customHeight="1" x14ac:dyDescent="0.25">
      <c r="A1535" s="28">
        <v>5425039222035</v>
      </c>
      <c r="B1535" s="29" t="s">
        <v>3784</v>
      </c>
      <c r="C1535" s="30" t="s">
        <v>280</v>
      </c>
      <c r="D1535" s="31" t="s">
        <v>3785</v>
      </c>
      <c r="E1535" s="51">
        <v>5.64</v>
      </c>
      <c r="F1535" s="32" t="s">
        <v>15</v>
      </c>
      <c r="G1535" s="32" t="s">
        <v>7064</v>
      </c>
      <c r="H1535" s="22"/>
      <c r="I1535" s="11">
        <f>Table1[[#This Row],[Qty]]*Table1[[#This Row],[Price]]</f>
        <v>0</v>
      </c>
    </row>
    <row r="1536" spans="1:9" ht="13.5" customHeight="1" x14ac:dyDescent="0.25">
      <c r="A1536" s="28">
        <v>5425017735748</v>
      </c>
      <c r="B1536" s="29" t="s">
        <v>3878</v>
      </c>
      <c r="C1536" s="33" t="s">
        <v>280</v>
      </c>
      <c r="D1536" s="31" t="s">
        <v>3879</v>
      </c>
      <c r="E1536" s="51">
        <v>5.6</v>
      </c>
      <c r="F1536" s="32" t="s">
        <v>15</v>
      </c>
      <c r="G1536" s="32" t="s">
        <v>7109</v>
      </c>
      <c r="H1536" s="22"/>
      <c r="I1536" s="11">
        <f>Table1[[#This Row],[Qty]]*Table1[[#This Row],[Price]]</f>
        <v>0</v>
      </c>
    </row>
    <row r="1537" spans="1:9" ht="13.5" customHeight="1" x14ac:dyDescent="0.25">
      <c r="A1537" s="28">
        <v>5425039222165</v>
      </c>
      <c r="B1537" s="29" t="s">
        <v>4462</v>
      </c>
      <c r="C1537" s="30" t="s">
        <v>280</v>
      </c>
      <c r="D1537" s="31" t="s">
        <v>4463</v>
      </c>
      <c r="E1537" s="51">
        <v>9</v>
      </c>
      <c r="F1537" s="32" t="s">
        <v>15</v>
      </c>
      <c r="G1537" s="32">
        <v>0</v>
      </c>
      <c r="H1537" s="12"/>
      <c r="I1537" s="11">
        <f>Table1[[#This Row],[Qty]]*Table1[[#This Row],[Price]]</f>
        <v>0</v>
      </c>
    </row>
    <row r="1538" spans="1:9" ht="13.5" customHeight="1" x14ac:dyDescent="0.25">
      <c r="A1538" s="28">
        <v>3414202011714</v>
      </c>
      <c r="B1538" s="29" t="s">
        <v>248</v>
      </c>
      <c r="C1538" s="30" t="s">
        <v>130</v>
      </c>
      <c r="D1538" s="31" t="s">
        <v>249</v>
      </c>
      <c r="E1538" s="51">
        <v>10.96</v>
      </c>
      <c r="F1538" s="32" t="s">
        <v>15</v>
      </c>
      <c r="G1538" s="32" t="s">
        <v>5704</v>
      </c>
      <c r="H1538" s="12"/>
      <c r="I1538" s="11">
        <f>Table1[[#This Row],[Qty]]*Table1[[#This Row],[Price]]</f>
        <v>0</v>
      </c>
    </row>
    <row r="1539" spans="1:9" ht="13.5" customHeight="1" x14ac:dyDescent="0.25">
      <c r="A1539" s="28">
        <v>3607344163773</v>
      </c>
      <c r="B1539" s="29" t="s">
        <v>3002</v>
      </c>
      <c r="C1539" s="30" t="s">
        <v>130</v>
      </c>
      <c r="D1539" s="31" t="s">
        <v>3003</v>
      </c>
      <c r="E1539" s="51">
        <v>19</v>
      </c>
      <c r="F1539" s="32" t="s">
        <v>15</v>
      </c>
      <c r="G1539" s="32" t="s">
        <v>6666</v>
      </c>
      <c r="H1539" s="12"/>
      <c r="I1539" s="11">
        <f>Table1[[#This Row],[Qty]]*Table1[[#This Row],[Price]]</f>
        <v>0</v>
      </c>
    </row>
    <row r="1540" spans="1:9" ht="13.5" customHeight="1" x14ac:dyDescent="0.25">
      <c r="A1540" s="28">
        <v>3614228174275</v>
      </c>
      <c r="B1540" s="29" t="s">
        <v>3927</v>
      </c>
      <c r="C1540" s="30" t="s">
        <v>130</v>
      </c>
      <c r="D1540" s="31" t="s">
        <v>3928</v>
      </c>
      <c r="E1540" s="51">
        <v>21.42</v>
      </c>
      <c r="F1540" s="32" t="s">
        <v>15</v>
      </c>
      <c r="G1540" s="32" t="s">
        <v>7131</v>
      </c>
      <c r="H1540" s="12"/>
      <c r="I1540" s="11">
        <f>Table1[[#This Row],[Qty]]*Table1[[#This Row],[Price]]</f>
        <v>0</v>
      </c>
    </row>
    <row r="1541" spans="1:9" ht="13.5" customHeight="1" x14ac:dyDescent="0.25">
      <c r="A1541" s="28">
        <v>3616305446527</v>
      </c>
      <c r="B1541" s="29" t="s">
        <v>4187</v>
      </c>
      <c r="C1541" s="30" t="s">
        <v>130</v>
      </c>
      <c r="D1541" s="31" t="s">
        <v>4188</v>
      </c>
      <c r="E1541" s="51">
        <v>26.1</v>
      </c>
      <c r="F1541" s="32" t="s">
        <v>15</v>
      </c>
      <c r="G1541" s="32" t="s">
        <v>7235</v>
      </c>
      <c r="H1541" s="22"/>
      <c r="I1541" s="11">
        <f>Table1[[#This Row],[Qty]]*Table1[[#This Row],[Price]]</f>
        <v>0</v>
      </c>
    </row>
    <row r="1542" spans="1:9" ht="13.5" customHeight="1" x14ac:dyDescent="0.25">
      <c r="A1542" s="28">
        <v>3414202000534</v>
      </c>
      <c r="B1542" s="29" t="s">
        <v>5421</v>
      </c>
      <c r="C1542" s="33" t="s">
        <v>130</v>
      </c>
      <c r="D1542" s="31" t="s">
        <v>5422</v>
      </c>
      <c r="E1542" s="51">
        <v>21</v>
      </c>
      <c r="F1542" s="32" t="s">
        <v>15</v>
      </c>
      <c r="G1542" s="32" t="s">
        <v>7409</v>
      </c>
      <c r="H1542" s="22"/>
      <c r="I1542" s="11">
        <f>Table1[[#This Row],[Qty]]*Table1[[#This Row],[Price]]</f>
        <v>0</v>
      </c>
    </row>
    <row r="1543" spans="1:9" ht="13.5" customHeight="1" x14ac:dyDescent="0.25">
      <c r="A1543" s="28">
        <v>3414202000565</v>
      </c>
      <c r="B1543" s="29" t="s">
        <v>4500</v>
      </c>
      <c r="C1543" s="30" t="s">
        <v>130</v>
      </c>
      <c r="D1543" s="31" t="s">
        <v>4501</v>
      </c>
      <c r="E1543" s="51">
        <v>18</v>
      </c>
      <c r="F1543" s="32" t="s">
        <v>15</v>
      </c>
      <c r="G1543" s="32" t="s">
        <v>7417</v>
      </c>
      <c r="H1543" s="22"/>
      <c r="I1543" s="11">
        <f>Table1[[#This Row],[Qty]]*Table1[[#This Row],[Price]]</f>
        <v>0</v>
      </c>
    </row>
    <row r="1544" spans="1:9" ht="13.5" customHeight="1" x14ac:dyDescent="0.25">
      <c r="A1544" s="28">
        <v>3414202011820</v>
      </c>
      <c r="B1544" s="29" t="s">
        <v>5041</v>
      </c>
      <c r="C1544" s="30" t="s">
        <v>130</v>
      </c>
      <c r="D1544" s="31" t="s">
        <v>5042</v>
      </c>
      <c r="E1544" s="51">
        <v>10.95</v>
      </c>
      <c r="F1544" s="32" t="s">
        <v>15</v>
      </c>
      <c r="G1544" s="32">
        <v>0</v>
      </c>
      <c r="H1544" s="22"/>
      <c r="I1544" s="11">
        <f>Table1[[#This Row],[Qty]]*Table1[[#This Row],[Price]]</f>
        <v>0</v>
      </c>
    </row>
    <row r="1545" spans="1:9" ht="13.5" customHeight="1" x14ac:dyDescent="0.25">
      <c r="A1545" s="28">
        <v>3607342359789</v>
      </c>
      <c r="B1545" s="29" t="s">
        <v>5332</v>
      </c>
      <c r="C1545" s="30" t="s">
        <v>130</v>
      </c>
      <c r="D1545" s="31" t="s">
        <v>5333</v>
      </c>
      <c r="E1545" s="51">
        <v>6.75</v>
      </c>
      <c r="F1545" s="32" t="s">
        <v>15</v>
      </c>
      <c r="G1545" s="32" t="s">
        <v>7443</v>
      </c>
      <c r="H1545" s="12"/>
      <c r="I1545" s="11">
        <f>Table1[[#This Row],[Qty]]*Table1[[#This Row],[Price]]</f>
        <v>0</v>
      </c>
    </row>
    <row r="1546" spans="1:9" ht="13.5" customHeight="1" x14ac:dyDescent="0.25">
      <c r="A1546" s="28">
        <v>4085400291001</v>
      </c>
      <c r="B1546" s="29" t="s">
        <v>449</v>
      </c>
      <c r="C1546" s="30" t="s">
        <v>450</v>
      </c>
      <c r="D1546" s="31" t="s">
        <v>451</v>
      </c>
      <c r="E1546" s="51">
        <v>10</v>
      </c>
      <c r="F1546" s="32" t="s">
        <v>15</v>
      </c>
      <c r="G1546" s="32" t="s">
        <v>5836</v>
      </c>
      <c r="H1546" s="12"/>
      <c r="I1546" s="11">
        <f>Table1[[#This Row],[Qty]]*Table1[[#This Row],[Price]]</f>
        <v>0</v>
      </c>
    </row>
    <row r="1547" spans="1:9" ht="13.5" customHeight="1" x14ac:dyDescent="0.25">
      <c r="A1547" s="28">
        <v>3614271673855</v>
      </c>
      <c r="B1547" s="29" t="s">
        <v>1616</v>
      </c>
      <c r="C1547" s="30" t="s">
        <v>450</v>
      </c>
      <c r="D1547" s="31" t="s">
        <v>1617</v>
      </c>
      <c r="E1547" s="51">
        <v>27.5</v>
      </c>
      <c r="F1547" s="32" t="s">
        <v>15</v>
      </c>
      <c r="G1547" s="32">
        <v>0</v>
      </c>
      <c r="H1547" s="12"/>
      <c r="I1547" s="11">
        <f>Table1[[#This Row],[Qty]]*Table1[[#This Row],[Price]]</f>
        <v>0</v>
      </c>
    </row>
    <row r="1548" spans="1:9" ht="13.5" customHeight="1" x14ac:dyDescent="0.25">
      <c r="A1548" s="28">
        <v>3605521534064</v>
      </c>
      <c r="B1548" s="29" t="s">
        <v>1690</v>
      </c>
      <c r="C1548" s="30" t="s">
        <v>450</v>
      </c>
      <c r="D1548" s="31" t="s">
        <v>1691</v>
      </c>
      <c r="E1548" s="51">
        <v>24.5</v>
      </c>
      <c r="F1548" s="32" t="s">
        <v>15</v>
      </c>
      <c r="G1548" s="32" t="s">
        <v>6273</v>
      </c>
      <c r="H1548" s="14"/>
      <c r="I1548" s="11">
        <f>Table1[[#This Row],[Qty]]*Table1[[#This Row],[Price]]</f>
        <v>0</v>
      </c>
    </row>
    <row r="1549" spans="1:9" ht="13.5" customHeight="1" x14ac:dyDescent="0.25">
      <c r="A1549" s="28">
        <v>3605521534132</v>
      </c>
      <c r="B1549" s="29" t="s">
        <v>1710</v>
      </c>
      <c r="C1549" s="30" t="s">
        <v>450</v>
      </c>
      <c r="D1549" s="31" t="s">
        <v>1711</v>
      </c>
      <c r="E1549" s="51">
        <v>23.5</v>
      </c>
      <c r="F1549" s="32" t="s">
        <v>15</v>
      </c>
      <c r="G1549" s="32">
        <v>0</v>
      </c>
      <c r="H1549" s="22"/>
      <c r="I1549" s="11">
        <f>Table1[[#This Row],[Qty]]*Table1[[#This Row],[Price]]</f>
        <v>0</v>
      </c>
    </row>
    <row r="1550" spans="1:9" ht="13.5" customHeight="1" x14ac:dyDescent="0.25">
      <c r="A1550" s="28">
        <v>3614272320833</v>
      </c>
      <c r="B1550" s="29" t="s">
        <v>1721</v>
      </c>
      <c r="C1550" s="30" t="s">
        <v>450</v>
      </c>
      <c r="D1550" s="31" t="s">
        <v>1722</v>
      </c>
      <c r="E1550" s="51">
        <v>23.18</v>
      </c>
      <c r="F1550" s="32" t="s">
        <v>15</v>
      </c>
      <c r="G1550" s="32">
        <v>0</v>
      </c>
      <c r="H1550" s="12"/>
      <c r="I1550" s="11">
        <f>Table1[[#This Row],[Qty]]*Table1[[#This Row],[Price]]</f>
        <v>0</v>
      </c>
    </row>
    <row r="1551" spans="1:9" ht="13.5" customHeight="1" x14ac:dyDescent="0.25">
      <c r="A1551" s="28">
        <v>3605520946592</v>
      </c>
      <c r="B1551" s="29" t="s">
        <v>1741</v>
      </c>
      <c r="C1551" s="30" t="s">
        <v>450</v>
      </c>
      <c r="D1551" s="31" t="s">
        <v>1742</v>
      </c>
      <c r="E1551" s="51">
        <v>22.1</v>
      </c>
      <c r="F1551" s="32" t="s">
        <v>15</v>
      </c>
      <c r="G1551" s="32" t="s">
        <v>6290</v>
      </c>
      <c r="H1551" s="12"/>
      <c r="I1551" s="11">
        <f>Table1[[#This Row],[Qty]]*Table1[[#This Row],[Price]]</f>
        <v>0</v>
      </c>
    </row>
    <row r="1552" spans="1:9" ht="13.5" customHeight="1" x14ac:dyDescent="0.25">
      <c r="A1552" s="28">
        <v>4085400191509</v>
      </c>
      <c r="B1552" s="29" t="s">
        <v>2193</v>
      </c>
      <c r="C1552" s="30" t="s">
        <v>450</v>
      </c>
      <c r="D1552" s="31" t="s">
        <v>2194</v>
      </c>
      <c r="E1552" s="51">
        <v>8.93</v>
      </c>
      <c r="F1552" s="32" t="s">
        <v>15</v>
      </c>
      <c r="G1552" s="32" t="s">
        <v>6395</v>
      </c>
      <c r="H1552" s="22"/>
      <c r="I1552" s="11">
        <f>Table1[[#This Row],[Qty]]*Table1[[#This Row],[Price]]</f>
        <v>0</v>
      </c>
    </row>
    <row r="1553" spans="1:9" ht="13.5" customHeight="1" x14ac:dyDescent="0.25">
      <c r="A1553" s="28">
        <v>4085400271003</v>
      </c>
      <c r="B1553" s="29" t="s">
        <v>2195</v>
      </c>
      <c r="C1553" s="30" t="s">
        <v>450</v>
      </c>
      <c r="D1553" s="31" t="s">
        <v>2196</v>
      </c>
      <c r="E1553" s="51">
        <v>9</v>
      </c>
      <c r="F1553" s="32" t="s">
        <v>15</v>
      </c>
      <c r="G1553" s="32">
        <v>0</v>
      </c>
      <c r="H1553" s="22"/>
      <c r="I1553" s="11">
        <f>Table1[[#This Row],[Qty]]*Table1[[#This Row],[Price]]</f>
        <v>0</v>
      </c>
    </row>
    <row r="1554" spans="1:9" ht="13.5" customHeight="1" x14ac:dyDescent="0.25">
      <c r="A1554" s="28">
        <v>3614273277693</v>
      </c>
      <c r="B1554" s="29" t="s">
        <v>2994</v>
      </c>
      <c r="C1554" s="30" t="s">
        <v>450</v>
      </c>
      <c r="D1554" s="31" t="s">
        <v>2995</v>
      </c>
      <c r="E1554" s="51">
        <v>23.5</v>
      </c>
      <c r="F1554" s="32" t="s">
        <v>15</v>
      </c>
      <c r="G1554" s="32">
        <v>0</v>
      </c>
      <c r="H1554" s="22"/>
      <c r="I1554" s="11">
        <f>Table1[[#This Row],[Qty]]*Table1[[#This Row],[Price]]</f>
        <v>0</v>
      </c>
    </row>
    <row r="1555" spans="1:9" ht="13.5" customHeight="1" x14ac:dyDescent="0.25">
      <c r="A1555" s="28">
        <v>3614272631908</v>
      </c>
      <c r="B1555" s="29" t="s">
        <v>2996</v>
      </c>
      <c r="C1555" s="30" t="s">
        <v>450</v>
      </c>
      <c r="D1555" s="31" t="s">
        <v>2997</v>
      </c>
      <c r="E1555" s="51">
        <v>19.5</v>
      </c>
      <c r="F1555" s="32" t="s">
        <v>15</v>
      </c>
      <c r="G1555" s="32">
        <v>0</v>
      </c>
      <c r="H1555" s="12"/>
      <c r="I1555" s="11">
        <f>Table1[[#This Row],[Qty]]*Table1[[#This Row],[Price]]</f>
        <v>0</v>
      </c>
    </row>
    <row r="1556" spans="1:9" ht="13.5" customHeight="1" x14ac:dyDescent="0.25">
      <c r="A1556" s="28">
        <v>3614273693509</v>
      </c>
      <c r="B1556" s="29" t="s">
        <v>2998</v>
      </c>
      <c r="C1556" s="30" t="s">
        <v>450</v>
      </c>
      <c r="D1556" s="31" t="s">
        <v>2999</v>
      </c>
      <c r="E1556" s="51">
        <v>23</v>
      </c>
      <c r="F1556" s="32" t="s">
        <v>15</v>
      </c>
      <c r="G1556" s="32" t="s">
        <v>6665</v>
      </c>
      <c r="H1556" s="22"/>
      <c r="I1556" s="11">
        <f>Table1[[#This Row],[Qty]]*Table1[[#This Row],[Price]]</f>
        <v>0</v>
      </c>
    </row>
    <row r="1557" spans="1:9" ht="13.5" customHeight="1" x14ac:dyDescent="0.25">
      <c r="A1557" s="28">
        <v>7296145482945</v>
      </c>
      <c r="B1557" s="29" t="s">
        <v>3295</v>
      </c>
      <c r="C1557" s="30" t="s">
        <v>450</v>
      </c>
      <c r="D1557" s="31" t="s">
        <v>3296</v>
      </c>
      <c r="E1557" s="51">
        <v>13</v>
      </c>
      <c r="F1557" s="32" t="s">
        <v>15</v>
      </c>
      <c r="G1557" s="32" t="s">
        <v>6779</v>
      </c>
      <c r="H1557" s="22"/>
      <c r="I1557" s="11">
        <f>Table1[[#This Row],[Qty]]*Table1[[#This Row],[Price]]</f>
        <v>0</v>
      </c>
    </row>
    <row r="1558" spans="1:9" ht="13.5" customHeight="1" x14ac:dyDescent="0.25">
      <c r="A1558" s="28">
        <v>3605520385568</v>
      </c>
      <c r="B1558" s="29" t="s">
        <v>3590</v>
      </c>
      <c r="C1558" s="30" t="s">
        <v>450</v>
      </c>
      <c r="D1558" s="31" t="s">
        <v>3591</v>
      </c>
      <c r="E1558" s="51">
        <v>15.5</v>
      </c>
      <c r="F1558" s="32" t="s">
        <v>15</v>
      </c>
      <c r="G1558" s="32">
        <v>0</v>
      </c>
      <c r="H1558" s="12"/>
      <c r="I1558" s="11">
        <f>Table1[[#This Row],[Qty]]*Table1[[#This Row],[Price]]</f>
        <v>0</v>
      </c>
    </row>
    <row r="1559" spans="1:9" ht="13.5" customHeight="1" x14ac:dyDescent="0.25">
      <c r="A1559" s="28">
        <v>8411114089560</v>
      </c>
      <c r="B1559" s="29" t="s">
        <v>160</v>
      </c>
      <c r="C1559" s="30" t="s">
        <v>161</v>
      </c>
      <c r="D1559" s="31" t="s">
        <v>162</v>
      </c>
      <c r="E1559" s="51">
        <v>7.3</v>
      </c>
      <c r="F1559" s="32" t="s">
        <v>15</v>
      </c>
      <c r="G1559" s="32" t="s">
        <v>5665</v>
      </c>
      <c r="H1559" s="12"/>
      <c r="I1559" s="11">
        <f>Table1[[#This Row],[Qty]]*Table1[[#This Row],[Price]]</f>
        <v>0</v>
      </c>
    </row>
    <row r="1560" spans="1:9" ht="13.5" customHeight="1" x14ac:dyDescent="0.25">
      <c r="A1560" s="28">
        <v>8411114089836</v>
      </c>
      <c r="B1560" s="29" t="s">
        <v>219</v>
      </c>
      <c r="C1560" s="30" t="s">
        <v>161</v>
      </c>
      <c r="D1560" s="31" t="s">
        <v>220</v>
      </c>
      <c r="E1560" s="51">
        <v>14</v>
      </c>
      <c r="F1560" s="32" t="s">
        <v>15</v>
      </c>
      <c r="G1560" s="32" t="s">
        <v>5691</v>
      </c>
      <c r="H1560" s="22"/>
      <c r="I1560" s="11">
        <f>Table1[[#This Row],[Qty]]*Table1[[#This Row],[Price]]</f>
        <v>0</v>
      </c>
    </row>
    <row r="1561" spans="1:9" ht="13.5" customHeight="1" x14ac:dyDescent="0.25">
      <c r="A1561" s="28">
        <v>8411114085876</v>
      </c>
      <c r="B1561" s="29" t="s">
        <v>2110</v>
      </c>
      <c r="C1561" s="30" t="s">
        <v>161</v>
      </c>
      <c r="D1561" s="31" t="s">
        <v>2111</v>
      </c>
      <c r="E1561" s="51">
        <v>11.75</v>
      </c>
      <c r="F1561" s="32" t="s">
        <v>15</v>
      </c>
      <c r="G1561" s="32">
        <v>0</v>
      </c>
      <c r="H1561" s="22"/>
      <c r="I1561" s="11">
        <f>Table1[[#This Row],[Qty]]*Table1[[#This Row],[Price]]</f>
        <v>0</v>
      </c>
    </row>
    <row r="1562" spans="1:9" ht="13.5" customHeight="1" x14ac:dyDescent="0.25">
      <c r="A1562" s="28">
        <v>663350053524</v>
      </c>
      <c r="B1562" s="29" t="s">
        <v>2205</v>
      </c>
      <c r="C1562" s="30" t="s">
        <v>161</v>
      </c>
      <c r="D1562" s="31" t="s">
        <v>2206</v>
      </c>
      <c r="E1562" s="51">
        <v>8</v>
      </c>
      <c r="F1562" s="32" t="s">
        <v>15</v>
      </c>
      <c r="G1562" s="32">
        <v>0</v>
      </c>
      <c r="H1562" s="12"/>
      <c r="I1562" s="11">
        <f>Table1[[#This Row],[Qty]]*Table1[[#This Row],[Price]]</f>
        <v>0</v>
      </c>
    </row>
    <row r="1563" spans="1:9" ht="13.5" customHeight="1" x14ac:dyDescent="0.25">
      <c r="A1563" s="28">
        <v>810876033275</v>
      </c>
      <c r="B1563" s="29" t="s">
        <v>2207</v>
      </c>
      <c r="C1563" s="30" t="s">
        <v>161</v>
      </c>
      <c r="D1563" s="31" t="s">
        <v>2208</v>
      </c>
      <c r="E1563" s="51">
        <v>8</v>
      </c>
      <c r="F1563" s="32" t="s">
        <v>15</v>
      </c>
      <c r="G1563" s="32">
        <v>0</v>
      </c>
      <c r="H1563" s="12"/>
      <c r="I1563" s="11">
        <f>Table1[[#This Row],[Qty]]*Table1[[#This Row],[Price]]</f>
        <v>0</v>
      </c>
    </row>
    <row r="1564" spans="1:9" ht="13.5" customHeight="1" x14ac:dyDescent="0.25">
      <c r="A1564" s="28">
        <v>8411114082615</v>
      </c>
      <c r="B1564" s="29" t="s">
        <v>2209</v>
      </c>
      <c r="C1564" s="30" t="s">
        <v>161</v>
      </c>
      <c r="D1564" s="31" t="s">
        <v>2210</v>
      </c>
      <c r="E1564" s="51">
        <v>7.95</v>
      </c>
      <c r="F1564" s="32" t="s">
        <v>15</v>
      </c>
      <c r="G1564" s="32">
        <v>0</v>
      </c>
      <c r="H1564" s="12"/>
      <c r="I1564" s="11">
        <f>Table1[[#This Row],[Qty]]*Table1[[#This Row],[Price]]</f>
        <v>0</v>
      </c>
    </row>
    <row r="1565" spans="1:9" ht="13.5" customHeight="1" x14ac:dyDescent="0.25">
      <c r="A1565" s="28">
        <v>8411114092882</v>
      </c>
      <c r="B1565" s="29" t="s">
        <v>2211</v>
      </c>
      <c r="C1565" s="30" t="s">
        <v>161</v>
      </c>
      <c r="D1565" s="31" t="s">
        <v>2212</v>
      </c>
      <c r="E1565" s="51">
        <v>7.95</v>
      </c>
      <c r="F1565" s="32" t="s">
        <v>15</v>
      </c>
      <c r="G1565" s="32">
        <v>0</v>
      </c>
      <c r="H1565" s="22"/>
      <c r="I1565" s="11">
        <f>Table1[[#This Row],[Qty]]*Table1[[#This Row],[Price]]</f>
        <v>0</v>
      </c>
    </row>
    <row r="1566" spans="1:9" ht="13.5" customHeight="1" x14ac:dyDescent="0.25">
      <c r="A1566" s="28">
        <v>663350086546</v>
      </c>
      <c r="B1566" s="29" t="s">
        <v>2213</v>
      </c>
      <c r="C1566" s="30" t="s">
        <v>161</v>
      </c>
      <c r="D1566" s="31" t="s">
        <v>2214</v>
      </c>
      <c r="E1566" s="51">
        <v>7.83</v>
      </c>
      <c r="F1566" s="32" t="s">
        <v>15</v>
      </c>
      <c r="G1566" s="32">
        <v>0</v>
      </c>
      <c r="H1566" s="12"/>
      <c r="I1566" s="11">
        <f>Table1[[#This Row],[Qty]]*Table1[[#This Row],[Price]]</f>
        <v>0</v>
      </c>
    </row>
    <row r="1567" spans="1:9" ht="13.5" customHeight="1" x14ac:dyDescent="0.25">
      <c r="A1567" s="28">
        <v>663350086539</v>
      </c>
      <c r="B1567" s="29" t="s">
        <v>2215</v>
      </c>
      <c r="C1567" s="33" t="s">
        <v>161</v>
      </c>
      <c r="D1567" s="31" t="s">
        <v>2216</v>
      </c>
      <c r="E1567" s="51">
        <v>7.75</v>
      </c>
      <c r="F1567" s="32" t="s">
        <v>15</v>
      </c>
      <c r="G1567" s="32">
        <v>0</v>
      </c>
      <c r="H1567" s="22"/>
      <c r="I1567" s="11">
        <f>Table1[[#This Row],[Qty]]*Table1[[#This Row],[Price]]</f>
        <v>0</v>
      </c>
    </row>
    <row r="1568" spans="1:9" ht="13.5" customHeight="1" x14ac:dyDescent="0.25">
      <c r="A1568" s="28">
        <v>8411114085883</v>
      </c>
      <c r="B1568" s="29" t="s">
        <v>2338</v>
      </c>
      <c r="C1568" s="30" t="s">
        <v>161</v>
      </c>
      <c r="D1568" s="31" t="s">
        <v>2339</v>
      </c>
      <c r="E1568" s="51">
        <v>17</v>
      </c>
      <c r="F1568" s="32" t="s">
        <v>15</v>
      </c>
      <c r="G1568" s="32" t="s">
        <v>6418</v>
      </c>
      <c r="H1568" s="22"/>
      <c r="I1568" s="11">
        <f>Table1[[#This Row],[Qty]]*Table1[[#This Row],[Price]]</f>
        <v>0</v>
      </c>
    </row>
    <row r="1569" spans="1:9" ht="13.5" customHeight="1" x14ac:dyDescent="0.25">
      <c r="A1569" s="28">
        <v>8411114087535</v>
      </c>
      <c r="B1569" s="29" t="s">
        <v>2340</v>
      </c>
      <c r="C1569" s="30" t="s">
        <v>161</v>
      </c>
      <c r="D1569" s="31" t="s">
        <v>2341</v>
      </c>
      <c r="E1569" s="51">
        <v>12.25</v>
      </c>
      <c r="F1569" s="32" t="s">
        <v>15</v>
      </c>
      <c r="G1569" s="32">
        <v>0</v>
      </c>
      <c r="H1569" s="12"/>
      <c r="I1569" s="11">
        <f>Table1[[#This Row],[Qty]]*Table1[[#This Row],[Price]]</f>
        <v>0</v>
      </c>
    </row>
    <row r="1570" spans="1:9" ht="13.5" customHeight="1" x14ac:dyDescent="0.25">
      <c r="A1570" s="28">
        <v>8411114090092</v>
      </c>
      <c r="B1570" s="29" t="s">
        <v>4007</v>
      </c>
      <c r="C1570" s="30" t="s">
        <v>161</v>
      </c>
      <c r="D1570" s="31" t="s">
        <v>4008</v>
      </c>
      <c r="E1570" s="51">
        <v>13.5</v>
      </c>
      <c r="F1570" s="32" t="s">
        <v>15</v>
      </c>
      <c r="G1570" s="32" t="s">
        <v>7162</v>
      </c>
      <c r="H1570" s="12"/>
      <c r="I1570" s="11">
        <f>Table1[[#This Row],[Qty]]*Table1[[#This Row],[Price]]</f>
        <v>0</v>
      </c>
    </row>
    <row r="1571" spans="1:9" ht="13.5" customHeight="1" x14ac:dyDescent="0.25">
      <c r="A1571" s="28">
        <v>8411114082585</v>
      </c>
      <c r="B1571" s="29" t="s">
        <v>4954</v>
      </c>
      <c r="C1571" s="30" t="s">
        <v>161</v>
      </c>
      <c r="D1571" s="31" t="s">
        <v>4955</v>
      </c>
      <c r="E1571" s="51">
        <v>8</v>
      </c>
      <c r="F1571" s="32" t="s">
        <v>15</v>
      </c>
      <c r="G1571" s="32">
        <v>0</v>
      </c>
      <c r="H1571" s="22"/>
      <c r="I1571" s="11">
        <f>Table1[[#This Row],[Qty]]*Table1[[#This Row],[Price]]</f>
        <v>0</v>
      </c>
    </row>
    <row r="1572" spans="1:9" ht="13.5" customHeight="1" x14ac:dyDescent="0.25">
      <c r="A1572" s="28">
        <v>8411114082608</v>
      </c>
      <c r="B1572" s="29" t="s">
        <v>4960</v>
      </c>
      <c r="C1572" s="30" t="s">
        <v>161</v>
      </c>
      <c r="D1572" s="31" t="s">
        <v>4961</v>
      </c>
      <c r="E1572" s="51">
        <v>8</v>
      </c>
      <c r="F1572" s="32" t="s">
        <v>15</v>
      </c>
      <c r="G1572" s="32">
        <v>0</v>
      </c>
      <c r="H1572" s="22"/>
      <c r="I1572" s="11">
        <f>Table1[[#This Row],[Qty]]*Table1[[#This Row],[Price]]</f>
        <v>0</v>
      </c>
    </row>
    <row r="1573" spans="1:9" ht="13.5" customHeight="1" x14ac:dyDescent="0.25">
      <c r="A1573" s="28">
        <v>663350092738</v>
      </c>
      <c r="B1573" s="29" t="s">
        <v>4962</v>
      </c>
      <c r="C1573" s="30" t="s">
        <v>161</v>
      </c>
      <c r="D1573" s="31" t="s">
        <v>4963</v>
      </c>
      <c r="E1573" s="51">
        <v>8</v>
      </c>
      <c r="F1573" s="32" t="s">
        <v>15</v>
      </c>
      <c r="G1573" s="32">
        <v>0</v>
      </c>
      <c r="H1573" s="22"/>
      <c r="I1573" s="11">
        <f>Table1[[#This Row],[Qty]]*Table1[[#This Row],[Price]]</f>
        <v>0</v>
      </c>
    </row>
    <row r="1574" spans="1:9" ht="13.5" customHeight="1" x14ac:dyDescent="0.25">
      <c r="A1574" s="28">
        <v>663350094312</v>
      </c>
      <c r="B1574" s="29" t="s">
        <v>4952</v>
      </c>
      <c r="C1574" s="30" t="s">
        <v>161</v>
      </c>
      <c r="D1574" s="31" t="s">
        <v>4953</v>
      </c>
      <c r="E1574" s="51">
        <v>7.95</v>
      </c>
      <c r="F1574" s="32" t="s">
        <v>15</v>
      </c>
      <c r="G1574" s="32">
        <v>0</v>
      </c>
      <c r="H1574" s="22"/>
      <c r="I1574" s="11">
        <f>Table1[[#This Row],[Qty]]*Table1[[#This Row],[Price]]</f>
        <v>0</v>
      </c>
    </row>
    <row r="1575" spans="1:9" ht="13.5" customHeight="1" x14ac:dyDescent="0.25">
      <c r="A1575" s="28">
        <v>8054754403442</v>
      </c>
      <c r="B1575" s="29" t="s">
        <v>134</v>
      </c>
      <c r="C1575" s="30" t="s">
        <v>135</v>
      </c>
      <c r="D1575" s="31" t="s">
        <v>136</v>
      </c>
      <c r="E1575" s="51">
        <v>37</v>
      </c>
      <c r="F1575" s="32" t="s">
        <v>15</v>
      </c>
      <c r="G1575" s="32" t="s">
        <v>5655</v>
      </c>
      <c r="H1575" s="12"/>
      <c r="I1575" s="11">
        <f>Table1[[#This Row],[Qty]]*Table1[[#This Row],[Price]]</f>
        <v>0</v>
      </c>
    </row>
    <row r="1576" spans="1:9" ht="13.5" customHeight="1" x14ac:dyDescent="0.25">
      <c r="A1576" s="28">
        <v>8057971183029</v>
      </c>
      <c r="B1576" s="29" t="s">
        <v>263</v>
      </c>
      <c r="C1576" s="30" t="s">
        <v>135</v>
      </c>
      <c r="D1576" s="31" t="s">
        <v>264</v>
      </c>
      <c r="E1576" s="51">
        <v>33</v>
      </c>
      <c r="F1576" s="32" t="s">
        <v>15</v>
      </c>
      <c r="G1576" s="32" t="s">
        <v>5710</v>
      </c>
      <c r="H1576" s="12"/>
      <c r="I1576" s="11">
        <f>Table1[[#This Row],[Qty]]*Table1[[#This Row],[Price]]</f>
        <v>0</v>
      </c>
    </row>
    <row r="1577" spans="1:9" ht="13.5" customHeight="1" x14ac:dyDescent="0.25">
      <c r="A1577" s="28">
        <v>8057971183807</v>
      </c>
      <c r="B1577" s="29" t="s">
        <v>265</v>
      </c>
      <c r="C1577" s="30" t="s">
        <v>135</v>
      </c>
      <c r="D1577" s="31" t="s">
        <v>266</v>
      </c>
      <c r="E1577" s="51">
        <v>31.75</v>
      </c>
      <c r="F1577" s="32" t="s">
        <v>15</v>
      </c>
      <c r="G1577" s="32" t="s">
        <v>5711</v>
      </c>
      <c r="H1577" s="22"/>
      <c r="I1577" s="11">
        <f>Table1[[#This Row],[Qty]]*Table1[[#This Row],[Price]]</f>
        <v>0</v>
      </c>
    </row>
    <row r="1578" spans="1:9" ht="13.5" customHeight="1" x14ac:dyDescent="0.25">
      <c r="A1578" s="28">
        <v>8057971183579</v>
      </c>
      <c r="B1578" s="29" t="s">
        <v>471</v>
      </c>
      <c r="C1578" s="30" t="s">
        <v>135</v>
      </c>
      <c r="D1578" s="31" t="s">
        <v>472</v>
      </c>
      <c r="E1578" s="51">
        <v>34.39</v>
      </c>
      <c r="F1578" s="32" t="s">
        <v>15</v>
      </c>
      <c r="G1578" s="32" t="s">
        <v>5846</v>
      </c>
      <c r="H1578" s="22"/>
      <c r="I1578" s="11">
        <f>Table1[[#This Row],[Qty]]*Table1[[#This Row],[Price]]</f>
        <v>0</v>
      </c>
    </row>
    <row r="1579" spans="1:9" ht="13.5" customHeight="1" x14ac:dyDescent="0.25">
      <c r="A1579" s="28">
        <v>3423473020516</v>
      </c>
      <c r="B1579" s="29" t="s">
        <v>646</v>
      </c>
      <c r="C1579" s="30" t="s">
        <v>135</v>
      </c>
      <c r="D1579" s="31" t="s">
        <v>647</v>
      </c>
      <c r="E1579" s="51">
        <v>43.5</v>
      </c>
      <c r="F1579" s="32" t="s">
        <v>15</v>
      </c>
      <c r="G1579" s="32" t="s">
        <v>5924</v>
      </c>
      <c r="H1579" s="12"/>
      <c r="I1579" s="11">
        <f>Table1[[#This Row],[Qty]]*Table1[[#This Row],[Price]]</f>
        <v>0</v>
      </c>
    </row>
    <row r="1580" spans="1:9" ht="13.5" customHeight="1" x14ac:dyDescent="0.25">
      <c r="A1580" s="28">
        <v>3423473032816</v>
      </c>
      <c r="B1580" s="29" t="s">
        <v>1431</v>
      </c>
      <c r="C1580" s="30" t="s">
        <v>135</v>
      </c>
      <c r="D1580" s="31" t="s">
        <v>1432</v>
      </c>
      <c r="E1580" s="51">
        <v>44.52</v>
      </c>
      <c r="F1580" s="32" t="s">
        <v>15</v>
      </c>
      <c r="G1580" s="32">
        <v>0</v>
      </c>
      <c r="H1580" s="12"/>
      <c r="I1580" s="11">
        <f>Table1[[#This Row],[Qty]]*Table1[[#This Row],[Price]]</f>
        <v>0</v>
      </c>
    </row>
    <row r="1581" spans="1:9" ht="13.5" customHeight="1" x14ac:dyDescent="0.25">
      <c r="A1581" s="28">
        <v>8057971183661</v>
      </c>
      <c r="B1581" s="29" t="s">
        <v>1471</v>
      </c>
      <c r="C1581" s="30" t="s">
        <v>135</v>
      </c>
      <c r="D1581" s="31" t="s">
        <v>1472</v>
      </c>
      <c r="E1581" s="51">
        <v>39.75</v>
      </c>
      <c r="F1581" s="32" t="s">
        <v>15</v>
      </c>
      <c r="G1581" s="32" t="s">
        <v>6221</v>
      </c>
      <c r="H1581" s="22"/>
      <c r="I1581" s="11">
        <f>Table1[[#This Row],[Qty]]*Table1[[#This Row],[Price]]</f>
        <v>0</v>
      </c>
    </row>
    <row r="1582" spans="1:9" ht="13.5" customHeight="1" x14ac:dyDescent="0.25">
      <c r="A1582" s="28">
        <v>3423473020783</v>
      </c>
      <c r="B1582" s="29" t="s">
        <v>1579</v>
      </c>
      <c r="C1582" s="30" t="s">
        <v>135</v>
      </c>
      <c r="D1582" s="31" t="s">
        <v>1580</v>
      </c>
      <c r="E1582" s="51">
        <v>29</v>
      </c>
      <c r="F1582" s="32" t="s">
        <v>15</v>
      </c>
      <c r="G1582" s="32">
        <v>0</v>
      </c>
      <c r="H1582" s="12"/>
      <c r="I1582" s="11">
        <f>Table1[[#This Row],[Qty]]*Table1[[#This Row],[Price]]</f>
        <v>0</v>
      </c>
    </row>
    <row r="1583" spans="1:9" ht="13.5" customHeight="1" x14ac:dyDescent="0.25">
      <c r="A1583" s="28">
        <v>3423473026747</v>
      </c>
      <c r="B1583" s="29" t="s">
        <v>1642</v>
      </c>
      <c r="C1583" s="30" t="s">
        <v>135</v>
      </c>
      <c r="D1583" s="31" t="s">
        <v>1643</v>
      </c>
      <c r="E1583" s="51">
        <v>26.5</v>
      </c>
      <c r="F1583" s="32" t="s">
        <v>15</v>
      </c>
      <c r="G1583" s="32">
        <v>0</v>
      </c>
      <c r="H1583" s="12"/>
      <c r="I1583" s="11">
        <f>Table1[[#This Row],[Qty]]*Table1[[#This Row],[Price]]</f>
        <v>0</v>
      </c>
    </row>
    <row r="1584" spans="1:9" ht="13.5" customHeight="1" x14ac:dyDescent="0.25">
      <c r="A1584" s="28">
        <v>3423473020509</v>
      </c>
      <c r="B1584" s="29" t="s">
        <v>1656</v>
      </c>
      <c r="C1584" s="30" t="s">
        <v>135</v>
      </c>
      <c r="D1584" s="31" t="s">
        <v>1657</v>
      </c>
      <c r="E1584" s="51">
        <v>26.49</v>
      </c>
      <c r="F1584" s="32" t="s">
        <v>15</v>
      </c>
      <c r="G1584" s="32" t="s">
        <v>6265</v>
      </c>
      <c r="H1584" s="22"/>
      <c r="I1584" s="11">
        <f>Table1[[#This Row],[Qty]]*Table1[[#This Row],[Price]]</f>
        <v>0</v>
      </c>
    </row>
    <row r="1585" spans="1:9" ht="13.5" customHeight="1" x14ac:dyDescent="0.25">
      <c r="A1585" s="28">
        <v>8057971182046</v>
      </c>
      <c r="B1585" s="29" t="s">
        <v>2410</v>
      </c>
      <c r="C1585" s="30" t="s">
        <v>135</v>
      </c>
      <c r="D1585" s="31" t="s">
        <v>2411</v>
      </c>
      <c r="E1585" s="51">
        <v>25.5</v>
      </c>
      <c r="F1585" s="32" t="s">
        <v>15</v>
      </c>
      <c r="G1585" s="32">
        <v>0</v>
      </c>
      <c r="H1585" s="22"/>
      <c r="I1585" s="11">
        <f>Table1[[#This Row],[Qty]]*Table1[[#This Row],[Price]]</f>
        <v>0</v>
      </c>
    </row>
    <row r="1586" spans="1:9" ht="13.5" customHeight="1" x14ac:dyDescent="0.25">
      <c r="A1586" s="28">
        <v>3423473110651</v>
      </c>
      <c r="B1586" s="29" t="s">
        <v>2990</v>
      </c>
      <c r="C1586" s="30" t="s">
        <v>135</v>
      </c>
      <c r="D1586" s="31" t="s">
        <v>2991</v>
      </c>
      <c r="E1586" s="51">
        <v>11.5</v>
      </c>
      <c r="F1586" s="32" t="s">
        <v>15</v>
      </c>
      <c r="G1586" s="32">
        <v>0</v>
      </c>
      <c r="H1586" s="12"/>
      <c r="I1586" s="11">
        <f>Table1[[#This Row],[Qty]]*Table1[[#This Row],[Price]]</f>
        <v>0</v>
      </c>
    </row>
    <row r="1587" spans="1:9" ht="13.5" customHeight="1" x14ac:dyDescent="0.25">
      <c r="A1587" s="28">
        <v>8057971183913</v>
      </c>
      <c r="B1587" s="29" t="s">
        <v>2992</v>
      </c>
      <c r="C1587" s="30" t="s">
        <v>135</v>
      </c>
      <c r="D1587" s="31" t="s">
        <v>2993</v>
      </c>
      <c r="E1587" s="51">
        <v>49.82</v>
      </c>
      <c r="F1587" s="32" t="s">
        <v>15</v>
      </c>
      <c r="G1587" s="32">
        <v>0</v>
      </c>
      <c r="H1587" s="12"/>
      <c r="I1587" s="11">
        <f>Table1[[#This Row],[Qty]]*Table1[[#This Row],[Price]]</f>
        <v>0</v>
      </c>
    </row>
    <row r="1588" spans="1:9" ht="13.5" customHeight="1" x14ac:dyDescent="0.25">
      <c r="A1588" s="28">
        <v>8054754403282</v>
      </c>
      <c r="B1588" s="29" t="s">
        <v>3570</v>
      </c>
      <c r="C1588" s="30" t="s">
        <v>135</v>
      </c>
      <c r="D1588" s="31" t="s">
        <v>3571</v>
      </c>
      <c r="E1588" s="51">
        <v>46.64</v>
      </c>
      <c r="F1588" s="32" t="s">
        <v>15</v>
      </c>
      <c r="G1588" s="32" t="s">
        <v>6912</v>
      </c>
      <c r="H1588" s="13"/>
      <c r="I1588" s="11">
        <f>Table1[[#This Row],[Qty]]*Table1[[#This Row],[Price]]</f>
        <v>0</v>
      </c>
    </row>
    <row r="1589" spans="1:9" ht="13.5" customHeight="1" x14ac:dyDescent="0.25">
      <c r="A1589" s="28">
        <v>8057971180042</v>
      </c>
      <c r="B1589" s="29" t="s">
        <v>3778</v>
      </c>
      <c r="C1589" s="30" t="s">
        <v>135</v>
      </c>
      <c r="D1589" s="31" t="s">
        <v>3779</v>
      </c>
      <c r="E1589" s="51">
        <v>35.119999999999997</v>
      </c>
      <c r="F1589" s="32" t="s">
        <v>15</v>
      </c>
      <c r="G1589" s="32" t="s">
        <v>7061</v>
      </c>
      <c r="H1589" s="12"/>
      <c r="I1589" s="11">
        <f>Table1[[#This Row],[Qty]]*Table1[[#This Row],[Price]]</f>
        <v>0</v>
      </c>
    </row>
    <row r="1590" spans="1:9" ht="13.5" customHeight="1" x14ac:dyDescent="0.25">
      <c r="A1590" s="28">
        <v>8057971182060</v>
      </c>
      <c r="B1590" s="29" t="s">
        <v>3890</v>
      </c>
      <c r="C1590" s="30" t="s">
        <v>135</v>
      </c>
      <c r="D1590" s="31" t="s">
        <v>3891</v>
      </c>
      <c r="E1590" s="51">
        <v>36.61</v>
      </c>
      <c r="F1590" s="32" t="s">
        <v>15</v>
      </c>
      <c r="G1590" s="32" t="s">
        <v>7114</v>
      </c>
      <c r="H1590" s="22"/>
      <c r="I1590" s="11">
        <f>Table1[[#This Row],[Qty]]*Table1[[#This Row],[Price]]</f>
        <v>0</v>
      </c>
    </row>
    <row r="1591" spans="1:9" ht="13.5" customHeight="1" x14ac:dyDescent="0.25">
      <c r="A1591" s="28">
        <v>3423473049456</v>
      </c>
      <c r="B1591" s="29" t="s">
        <v>4038</v>
      </c>
      <c r="C1591" s="33" t="s">
        <v>135</v>
      </c>
      <c r="D1591" s="31" t="s">
        <v>4039</v>
      </c>
      <c r="E1591" s="51">
        <v>40</v>
      </c>
      <c r="F1591" s="32" t="s">
        <v>15</v>
      </c>
      <c r="G1591" s="32" t="s">
        <v>7178</v>
      </c>
      <c r="H1591" s="22"/>
      <c r="I1591" s="11">
        <f>Table1[[#This Row],[Qty]]*Table1[[#This Row],[Price]]</f>
        <v>0</v>
      </c>
    </row>
    <row r="1592" spans="1:9" ht="13.5" customHeight="1" x14ac:dyDescent="0.25">
      <c r="A1592" s="28">
        <v>3423473020264</v>
      </c>
      <c r="B1592" s="29" t="s">
        <v>5455</v>
      </c>
      <c r="C1592" s="30" t="s">
        <v>135</v>
      </c>
      <c r="D1592" s="31" t="s">
        <v>5456</v>
      </c>
      <c r="E1592" s="51">
        <v>32</v>
      </c>
      <c r="F1592" s="32" t="s">
        <v>15</v>
      </c>
      <c r="G1592" s="32" t="s">
        <v>7397</v>
      </c>
      <c r="H1592" s="12"/>
      <c r="I1592" s="11">
        <f>Table1[[#This Row],[Qty]]*Table1[[#This Row],[Price]]</f>
        <v>0</v>
      </c>
    </row>
    <row r="1593" spans="1:9" ht="13.5" customHeight="1" x14ac:dyDescent="0.25">
      <c r="A1593" s="28">
        <v>8057971183647</v>
      </c>
      <c r="B1593" s="29" t="s">
        <v>5191</v>
      </c>
      <c r="C1593" s="30" t="s">
        <v>5192</v>
      </c>
      <c r="D1593" s="31" t="s">
        <v>5193</v>
      </c>
      <c r="E1593" s="51">
        <v>25.25</v>
      </c>
      <c r="F1593" s="32" t="s">
        <v>15</v>
      </c>
      <c r="G1593" s="32"/>
      <c r="H1593" s="22"/>
      <c r="I1593" s="11">
        <f>Table1[[#This Row],[Qty]]*Table1[[#This Row],[Price]]</f>
        <v>0</v>
      </c>
    </row>
    <row r="1594" spans="1:9" ht="13.5" customHeight="1" x14ac:dyDescent="0.25">
      <c r="A1594" s="28">
        <v>8057971181353</v>
      </c>
      <c r="B1594" s="29" t="s">
        <v>5370</v>
      </c>
      <c r="C1594" s="30" t="s">
        <v>5192</v>
      </c>
      <c r="D1594" s="31" t="s">
        <v>5371</v>
      </c>
      <c r="E1594" s="51">
        <v>12.25</v>
      </c>
      <c r="F1594" s="32" t="s">
        <v>15</v>
      </c>
      <c r="G1594" s="32"/>
      <c r="H1594" s="22"/>
      <c r="I1594" s="11">
        <f>Table1[[#This Row],[Qty]]*Table1[[#This Row],[Price]]</f>
        <v>0</v>
      </c>
    </row>
    <row r="1595" spans="1:9" ht="13.5" customHeight="1" x14ac:dyDescent="0.25">
      <c r="A1595" s="28">
        <v>85715962157</v>
      </c>
      <c r="B1595" s="29" t="s">
        <v>120</v>
      </c>
      <c r="C1595" s="33" t="s">
        <v>88</v>
      </c>
      <c r="D1595" s="31" t="s">
        <v>121</v>
      </c>
      <c r="E1595" s="51">
        <v>36.270000000000003</v>
      </c>
      <c r="F1595" s="32" t="s">
        <v>15</v>
      </c>
      <c r="G1595" s="32" t="s">
        <v>5649</v>
      </c>
      <c r="H1595" s="22"/>
      <c r="I1595" s="11">
        <f>Table1[[#This Row],[Qty]]*Table1[[#This Row],[Price]]</f>
        <v>0</v>
      </c>
    </row>
    <row r="1596" spans="1:9" ht="13.5" customHeight="1" x14ac:dyDescent="0.25">
      <c r="A1596" s="28">
        <v>85715950178</v>
      </c>
      <c r="B1596" s="29" t="s">
        <v>227</v>
      </c>
      <c r="C1596" s="30" t="s">
        <v>88</v>
      </c>
      <c r="D1596" s="31" t="s">
        <v>228</v>
      </c>
      <c r="E1596" s="51">
        <v>17.21</v>
      </c>
      <c r="F1596" s="32" t="s">
        <v>15</v>
      </c>
      <c r="G1596" s="32" t="s">
        <v>5695</v>
      </c>
      <c r="H1596" s="14"/>
      <c r="I1596" s="11">
        <f>Table1[[#This Row],[Qty]]*Table1[[#This Row],[Price]]</f>
        <v>0</v>
      </c>
    </row>
    <row r="1597" spans="1:9" ht="13.5" customHeight="1" x14ac:dyDescent="0.25">
      <c r="A1597" s="28">
        <v>85715952417</v>
      </c>
      <c r="B1597" s="29" t="s">
        <v>2657</v>
      </c>
      <c r="C1597" s="30" t="s">
        <v>88</v>
      </c>
      <c r="D1597" s="31" t="s">
        <v>2658</v>
      </c>
      <c r="E1597" s="51">
        <v>19</v>
      </c>
      <c r="F1597" s="32" t="s">
        <v>15</v>
      </c>
      <c r="G1597" s="32" t="s">
        <v>6558</v>
      </c>
      <c r="H1597" s="22"/>
      <c r="I1597" s="11">
        <f>Table1[[#This Row],[Qty]]*Table1[[#This Row],[Price]]</f>
        <v>0</v>
      </c>
    </row>
    <row r="1598" spans="1:9" ht="13.5" customHeight="1" x14ac:dyDescent="0.25">
      <c r="A1598" s="28">
        <v>85715950222</v>
      </c>
      <c r="B1598" s="29" t="s">
        <v>2752</v>
      </c>
      <c r="C1598" s="30" t="s">
        <v>88</v>
      </c>
      <c r="D1598" s="31" t="s">
        <v>2753</v>
      </c>
      <c r="E1598" s="51">
        <v>19.62</v>
      </c>
      <c r="F1598" s="32" t="s">
        <v>15</v>
      </c>
      <c r="G1598" s="32" t="s">
        <v>6600</v>
      </c>
      <c r="H1598" s="22"/>
      <c r="I1598" s="11">
        <f>Table1[[#This Row],[Qty]]*Table1[[#This Row],[Price]]</f>
        <v>0</v>
      </c>
    </row>
    <row r="1599" spans="1:9" ht="13.5" customHeight="1" x14ac:dyDescent="0.25">
      <c r="A1599" s="28">
        <v>763511100019</v>
      </c>
      <c r="B1599" s="29" t="s">
        <v>3000</v>
      </c>
      <c r="C1599" s="30" t="s">
        <v>88</v>
      </c>
      <c r="D1599" s="31" t="s">
        <v>3001</v>
      </c>
      <c r="E1599" s="51">
        <v>30.25</v>
      </c>
      <c r="F1599" s="32" t="s">
        <v>15</v>
      </c>
      <c r="G1599" s="32">
        <v>0</v>
      </c>
      <c r="H1599" s="12"/>
      <c r="I1599" s="11">
        <f>Table1[[#This Row],[Qty]]*Table1[[#This Row],[Price]]</f>
        <v>0</v>
      </c>
    </row>
    <row r="1600" spans="1:9" ht="13.5" customHeight="1" x14ac:dyDescent="0.25">
      <c r="A1600" s="28">
        <v>85715962096</v>
      </c>
      <c r="B1600" s="29" t="s">
        <v>3832</v>
      </c>
      <c r="C1600" s="30" t="s">
        <v>88</v>
      </c>
      <c r="D1600" s="31" t="s">
        <v>3833</v>
      </c>
      <c r="E1600" s="51">
        <v>7.2</v>
      </c>
      <c r="F1600" s="32" t="s">
        <v>15</v>
      </c>
      <c r="G1600" s="32" t="s">
        <v>7087</v>
      </c>
      <c r="H1600" s="12"/>
      <c r="I1600" s="11">
        <f>Table1[[#This Row],[Qty]]*Table1[[#This Row],[Price]]</f>
        <v>0</v>
      </c>
    </row>
    <row r="1601" spans="1:9" ht="13.5" customHeight="1" x14ac:dyDescent="0.25">
      <c r="A1601" s="28">
        <v>85715950505</v>
      </c>
      <c r="B1601" s="29" t="s">
        <v>3862</v>
      </c>
      <c r="C1601" s="30" t="s">
        <v>88</v>
      </c>
      <c r="D1601" s="31" t="s">
        <v>3863</v>
      </c>
      <c r="E1601" s="51">
        <v>7.2</v>
      </c>
      <c r="F1601" s="32" t="s">
        <v>15</v>
      </c>
      <c r="G1601" s="32" t="s">
        <v>7102</v>
      </c>
      <c r="H1601" s="12"/>
      <c r="I1601" s="11">
        <f>Table1[[#This Row],[Qty]]*Table1[[#This Row],[Price]]</f>
        <v>0</v>
      </c>
    </row>
    <row r="1602" spans="1:9" ht="13.5" customHeight="1" x14ac:dyDescent="0.25">
      <c r="A1602" s="28">
        <v>8011003852673</v>
      </c>
      <c r="B1602" s="29" t="s">
        <v>5108</v>
      </c>
      <c r="C1602" s="30" t="s">
        <v>5109</v>
      </c>
      <c r="D1602" s="31" t="s">
        <v>5110</v>
      </c>
      <c r="E1602" s="51">
        <v>16.5</v>
      </c>
      <c r="F1602" s="32" t="s">
        <v>15</v>
      </c>
      <c r="G1602" s="32">
        <v>0</v>
      </c>
      <c r="H1602" s="22"/>
      <c r="I1602" s="11">
        <f>Table1[[#This Row],[Qty]]*Table1[[#This Row],[Price]]</f>
        <v>0</v>
      </c>
    </row>
    <row r="1603" spans="1:9" ht="13.5" customHeight="1" x14ac:dyDescent="0.25">
      <c r="A1603" s="28">
        <v>3760060761279</v>
      </c>
      <c r="B1603" s="29" t="s">
        <v>713</v>
      </c>
      <c r="C1603" s="33" t="s">
        <v>445</v>
      </c>
      <c r="D1603" s="31" t="s">
        <v>714</v>
      </c>
      <c r="E1603" s="51">
        <v>21.5</v>
      </c>
      <c r="F1603" s="32" t="s">
        <v>15</v>
      </c>
      <c r="G1603" s="32" t="s">
        <v>5955</v>
      </c>
      <c r="H1603" s="22"/>
      <c r="I1603" s="11">
        <f>Table1[[#This Row],[Qty]]*Table1[[#This Row],[Price]]</f>
        <v>0</v>
      </c>
    </row>
    <row r="1604" spans="1:9" ht="13.5" customHeight="1" x14ac:dyDescent="0.25">
      <c r="A1604" s="28">
        <v>3760060762870</v>
      </c>
      <c r="B1604" s="29" t="s">
        <v>1043</v>
      </c>
      <c r="C1604" s="30" t="s">
        <v>445</v>
      </c>
      <c r="D1604" s="31" t="s">
        <v>1044</v>
      </c>
      <c r="E1604" s="51">
        <v>21.51</v>
      </c>
      <c r="F1604" s="32" t="s">
        <v>15</v>
      </c>
      <c r="G1604" s="32" t="s">
        <v>6102</v>
      </c>
      <c r="H1604" s="12"/>
      <c r="I1604" s="11">
        <f>Table1[[#This Row],[Qty]]*Table1[[#This Row],[Price]]</f>
        <v>0</v>
      </c>
    </row>
    <row r="1605" spans="1:9" ht="13.5" customHeight="1" x14ac:dyDescent="0.25">
      <c r="A1605" s="28">
        <v>3760060761897</v>
      </c>
      <c r="B1605" s="29" t="s">
        <v>1739</v>
      </c>
      <c r="C1605" s="30" t="s">
        <v>445</v>
      </c>
      <c r="D1605" s="31" t="s">
        <v>1740</v>
      </c>
      <c r="E1605" s="51">
        <v>21.41</v>
      </c>
      <c r="F1605" s="32" t="s">
        <v>15</v>
      </c>
      <c r="G1605" s="32" t="s">
        <v>6289</v>
      </c>
      <c r="H1605" s="22"/>
      <c r="I1605" s="11">
        <f>Table1[[#This Row],[Qty]]*Table1[[#This Row],[Price]]</f>
        <v>0</v>
      </c>
    </row>
    <row r="1606" spans="1:9" ht="13.5" customHeight="1" x14ac:dyDescent="0.25">
      <c r="A1606" s="28">
        <v>3770004268207</v>
      </c>
      <c r="B1606" s="29" t="s">
        <v>1748</v>
      </c>
      <c r="C1606" s="30" t="s">
        <v>445</v>
      </c>
      <c r="D1606" s="31" t="s">
        <v>1749</v>
      </c>
      <c r="E1606" s="51">
        <v>21.28</v>
      </c>
      <c r="F1606" s="32" t="s">
        <v>15</v>
      </c>
      <c r="G1606" s="32" t="s">
        <v>6293</v>
      </c>
      <c r="H1606" s="12"/>
      <c r="I1606" s="11">
        <f>Table1[[#This Row],[Qty]]*Table1[[#This Row],[Price]]</f>
        <v>0</v>
      </c>
    </row>
    <row r="1607" spans="1:9" ht="13.5" customHeight="1" x14ac:dyDescent="0.25">
      <c r="A1607" s="28">
        <v>3770004268191</v>
      </c>
      <c r="B1607" s="29" t="s">
        <v>2645</v>
      </c>
      <c r="C1607" s="30" t="s">
        <v>445</v>
      </c>
      <c r="D1607" s="31" t="s">
        <v>2646</v>
      </c>
      <c r="E1607" s="51">
        <v>23.5</v>
      </c>
      <c r="F1607" s="32" t="s">
        <v>15</v>
      </c>
      <c r="G1607" s="32" t="s">
        <v>6554</v>
      </c>
      <c r="H1607" s="22"/>
      <c r="I1607" s="11">
        <f>Table1[[#This Row],[Qty]]*Table1[[#This Row],[Price]]</f>
        <v>0</v>
      </c>
    </row>
    <row r="1608" spans="1:9" ht="13.5" customHeight="1" x14ac:dyDescent="0.25">
      <c r="A1608" s="28">
        <v>3760060769541</v>
      </c>
      <c r="B1608" s="29" t="s">
        <v>3204</v>
      </c>
      <c r="C1608" s="30" t="s">
        <v>445</v>
      </c>
      <c r="D1608" s="31" t="s">
        <v>3205</v>
      </c>
      <c r="E1608" s="51">
        <v>32.89</v>
      </c>
      <c r="F1608" s="32" t="s">
        <v>15</v>
      </c>
      <c r="G1608" s="32" t="s">
        <v>6739</v>
      </c>
      <c r="H1608" s="12"/>
      <c r="I1608" s="11">
        <f>Table1[[#This Row],[Qty]]*Table1[[#This Row],[Price]]</f>
        <v>0</v>
      </c>
    </row>
    <row r="1609" spans="1:9" ht="13.5" customHeight="1" x14ac:dyDescent="0.25">
      <c r="A1609" s="28">
        <v>3760060769558</v>
      </c>
      <c r="B1609" s="29" t="s">
        <v>3694</v>
      </c>
      <c r="C1609" s="30" t="s">
        <v>445</v>
      </c>
      <c r="D1609" s="31" t="s">
        <v>3695</v>
      </c>
      <c r="E1609" s="51">
        <v>35.42</v>
      </c>
      <c r="F1609" s="32" t="s">
        <v>15</v>
      </c>
      <c r="G1609" s="32" t="s">
        <v>6965</v>
      </c>
      <c r="H1609" s="22"/>
      <c r="I1609" s="11">
        <f>Table1[[#This Row],[Qty]]*Table1[[#This Row],[Price]]</f>
        <v>0</v>
      </c>
    </row>
    <row r="1610" spans="1:9" ht="13.5" customHeight="1" x14ac:dyDescent="0.25">
      <c r="A1610" s="28">
        <v>94922794550</v>
      </c>
      <c r="B1610" s="29" t="s">
        <v>5415</v>
      </c>
      <c r="C1610" s="30" t="s">
        <v>3973</v>
      </c>
      <c r="D1610" s="31" t="s">
        <v>5416</v>
      </c>
      <c r="E1610" s="51">
        <v>16.25</v>
      </c>
      <c r="F1610" s="32" t="s">
        <v>15</v>
      </c>
      <c r="G1610" s="32">
        <v>0</v>
      </c>
      <c r="H1610" s="12"/>
      <c r="I1610" s="11">
        <f>Table1[[#This Row],[Qty]]*Table1[[#This Row],[Price]]</f>
        <v>0</v>
      </c>
    </row>
    <row r="1611" spans="1:9" ht="13.5" customHeight="1" x14ac:dyDescent="0.25">
      <c r="A1611" s="28">
        <v>7640233340707</v>
      </c>
      <c r="B1611" s="29" t="s">
        <v>5165</v>
      </c>
      <c r="C1611" s="30" t="s">
        <v>3386</v>
      </c>
      <c r="D1611" s="31" t="s">
        <v>5166</v>
      </c>
      <c r="E1611" s="51">
        <v>23.5</v>
      </c>
      <c r="F1611" s="32" t="s">
        <v>15</v>
      </c>
      <c r="G1611" s="32">
        <v>0</v>
      </c>
      <c r="H1611" s="12"/>
      <c r="I1611" s="11">
        <f>Table1[[#This Row],[Qty]]*Table1[[#This Row],[Price]]</f>
        <v>0</v>
      </c>
    </row>
    <row r="1612" spans="1:9" ht="13.5" customHeight="1" x14ac:dyDescent="0.25">
      <c r="A1612" s="28">
        <v>7640233340103</v>
      </c>
      <c r="B1612" s="29" t="s">
        <v>5159</v>
      </c>
      <c r="C1612" s="30" t="s">
        <v>3386</v>
      </c>
      <c r="D1612" s="31" t="s">
        <v>5160</v>
      </c>
      <c r="E1612" s="51">
        <v>22.45</v>
      </c>
      <c r="F1612" s="32" t="s">
        <v>15</v>
      </c>
      <c r="G1612" s="32">
        <v>0</v>
      </c>
      <c r="H1612" s="22"/>
      <c r="I1612" s="11">
        <f>Table1[[#This Row],[Qty]]*Table1[[#This Row],[Price]]</f>
        <v>0</v>
      </c>
    </row>
    <row r="1613" spans="1:9" ht="13.5" customHeight="1" x14ac:dyDescent="0.25">
      <c r="A1613" s="28">
        <v>199874188065</v>
      </c>
      <c r="B1613" s="29" t="s">
        <v>3447</v>
      </c>
      <c r="C1613" s="33" t="s">
        <v>3445</v>
      </c>
      <c r="D1613" s="31" t="s">
        <v>3448</v>
      </c>
      <c r="E1613" s="51">
        <v>102.7</v>
      </c>
      <c r="F1613" s="32" t="s">
        <v>15</v>
      </c>
      <c r="G1613" s="32" t="s">
        <v>6847</v>
      </c>
      <c r="H1613" s="22"/>
      <c r="I1613" s="11">
        <f>Table1[[#This Row],[Qty]]*Table1[[#This Row],[Price]]</f>
        <v>0</v>
      </c>
    </row>
    <row r="1614" spans="1:9" ht="13.5" customHeight="1" x14ac:dyDescent="0.25">
      <c r="A1614" s="28">
        <v>850038346751</v>
      </c>
      <c r="B1614" s="29" t="s">
        <v>7452</v>
      </c>
      <c r="C1614" s="30" t="s">
        <v>3445</v>
      </c>
      <c r="D1614" s="31" t="s">
        <v>7453</v>
      </c>
      <c r="E1614" s="51">
        <v>96</v>
      </c>
      <c r="F1614" s="32" t="s">
        <v>15</v>
      </c>
      <c r="G1614" s="32" t="s">
        <v>7454</v>
      </c>
      <c r="H1614" s="12"/>
      <c r="I1614" s="11">
        <f>Table1[[#This Row],[Qty]]*Table1[[#This Row],[Price]]</f>
        <v>0</v>
      </c>
    </row>
    <row r="1615" spans="1:9" ht="13.5" customHeight="1" x14ac:dyDescent="0.25">
      <c r="A1615" s="28">
        <v>85805255954</v>
      </c>
      <c r="B1615" s="29" t="s">
        <v>1566</v>
      </c>
      <c r="C1615" s="30" t="s">
        <v>1567</v>
      </c>
      <c r="D1615" s="31" t="s">
        <v>1568</v>
      </c>
      <c r="E1615" s="51">
        <v>30</v>
      </c>
      <c r="F1615" s="32" t="s">
        <v>15</v>
      </c>
      <c r="G1615" s="32" t="s">
        <v>7458</v>
      </c>
      <c r="H1615" s="12"/>
      <c r="I1615" s="11">
        <f>Table1[[#This Row],[Qty]]*Table1[[#This Row],[Price]]</f>
        <v>0</v>
      </c>
    </row>
    <row r="1616" spans="1:9" ht="13.5" customHeight="1" x14ac:dyDescent="0.25">
      <c r="A1616" s="28">
        <v>85805558420</v>
      </c>
      <c r="B1616" s="29" t="s">
        <v>1813</v>
      </c>
      <c r="C1616" s="30" t="s">
        <v>1567</v>
      </c>
      <c r="D1616" s="31" t="s">
        <v>1814</v>
      </c>
      <c r="E1616" s="51">
        <v>19.5</v>
      </c>
      <c r="F1616" s="32" t="s">
        <v>15</v>
      </c>
      <c r="G1616" s="32">
        <v>0</v>
      </c>
      <c r="H1616" s="12"/>
      <c r="I1616" s="11">
        <f>Table1[[#This Row],[Qty]]*Table1[[#This Row],[Price]]</f>
        <v>0</v>
      </c>
    </row>
    <row r="1617" spans="1:9" ht="13.5" customHeight="1" x14ac:dyDescent="0.25">
      <c r="A1617" s="28">
        <v>85805390501</v>
      </c>
      <c r="B1617" s="29" t="s">
        <v>2007</v>
      </c>
      <c r="C1617" s="30" t="s">
        <v>1567</v>
      </c>
      <c r="D1617" s="31" t="s">
        <v>2008</v>
      </c>
      <c r="E1617" s="51">
        <v>14</v>
      </c>
      <c r="F1617" s="32" t="s">
        <v>15</v>
      </c>
      <c r="G1617" s="32">
        <v>0</v>
      </c>
      <c r="H1617" s="22"/>
      <c r="I1617" s="11">
        <f>Table1[[#This Row],[Qty]]*Table1[[#This Row],[Price]]</f>
        <v>0</v>
      </c>
    </row>
    <row r="1618" spans="1:9" ht="13.5" customHeight="1" x14ac:dyDescent="0.25">
      <c r="A1618" s="28">
        <v>85805757748</v>
      </c>
      <c r="B1618" s="29" t="s">
        <v>2059</v>
      </c>
      <c r="C1618" s="30" t="s">
        <v>1567</v>
      </c>
      <c r="D1618" s="31" t="s">
        <v>2060</v>
      </c>
      <c r="E1618" s="51">
        <v>12.5</v>
      </c>
      <c r="F1618" s="32" t="s">
        <v>15</v>
      </c>
      <c r="G1618" s="32">
        <v>0</v>
      </c>
      <c r="H1618" s="22"/>
      <c r="I1618" s="11">
        <f>Table1[[#This Row],[Qty]]*Table1[[#This Row],[Price]]</f>
        <v>0</v>
      </c>
    </row>
    <row r="1619" spans="1:9" ht="13.5" customHeight="1" x14ac:dyDescent="0.25">
      <c r="A1619" s="28">
        <v>85805268848</v>
      </c>
      <c r="B1619" s="29" t="s">
        <v>2173</v>
      </c>
      <c r="C1619" s="30" t="s">
        <v>1567</v>
      </c>
      <c r="D1619" s="31" t="s">
        <v>2174</v>
      </c>
      <c r="E1619" s="51">
        <v>10.15</v>
      </c>
      <c r="F1619" s="32" t="s">
        <v>15</v>
      </c>
      <c r="G1619" s="32">
        <v>0</v>
      </c>
      <c r="H1619" s="22"/>
      <c r="I1619" s="11">
        <f>Table1[[#This Row],[Qty]]*Table1[[#This Row],[Price]]</f>
        <v>0</v>
      </c>
    </row>
    <row r="1620" spans="1:9" ht="13.5" customHeight="1" x14ac:dyDescent="0.25">
      <c r="A1620" s="28">
        <v>85805557331</v>
      </c>
      <c r="B1620" s="29" t="s">
        <v>5281</v>
      </c>
      <c r="C1620" s="30" t="s">
        <v>1567</v>
      </c>
      <c r="D1620" s="31" t="s">
        <v>5282</v>
      </c>
      <c r="E1620" s="51">
        <v>25.5</v>
      </c>
      <c r="F1620" s="32" t="s">
        <v>15</v>
      </c>
      <c r="G1620" s="32">
        <v>0</v>
      </c>
      <c r="H1620" s="12"/>
      <c r="I1620" s="11">
        <f>Table1[[#This Row],[Qty]]*Table1[[#This Row],[Price]]</f>
        <v>0</v>
      </c>
    </row>
    <row r="1621" spans="1:9" ht="13.5" customHeight="1" x14ac:dyDescent="0.25">
      <c r="A1621" s="28">
        <v>719346373906</v>
      </c>
      <c r="B1621" s="29" t="s">
        <v>5251</v>
      </c>
      <c r="C1621" s="30" t="s">
        <v>1567</v>
      </c>
      <c r="D1621" s="31" t="s">
        <v>5252</v>
      </c>
      <c r="E1621" s="51">
        <v>14</v>
      </c>
      <c r="F1621" s="32" t="s">
        <v>15</v>
      </c>
      <c r="G1621" s="32">
        <v>0</v>
      </c>
      <c r="H1621" s="12"/>
      <c r="I1621" s="11">
        <f>Table1[[#This Row],[Qty]]*Table1[[#This Row],[Price]]</f>
        <v>0</v>
      </c>
    </row>
    <row r="1622" spans="1:9" ht="13.5" customHeight="1" x14ac:dyDescent="0.25">
      <c r="A1622" s="28">
        <v>85805555313</v>
      </c>
      <c r="B1622" s="29" t="s">
        <v>5253</v>
      </c>
      <c r="C1622" s="30" t="s">
        <v>1567</v>
      </c>
      <c r="D1622" s="31" t="s">
        <v>5254</v>
      </c>
      <c r="E1622" s="51">
        <v>14</v>
      </c>
      <c r="F1622" s="32" t="s">
        <v>15</v>
      </c>
      <c r="G1622" s="32">
        <v>0</v>
      </c>
      <c r="H1622" s="12"/>
      <c r="I1622" s="11">
        <f>Table1[[#This Row],[Qty]]*Table1[[#This Row],[Price]]</f>
        <v>0</v>
      </c>
    </row>
    <row r="1623" spans="1:9" ht="13.5" customHeight="1" x14ac:dyDescent="0.25">
      <c r="A1623" s="28">
        <v>719346022705</v>
      </c>
      <c r="B1623" s="29" t="s">
        <v>1772</v>
      </c>
      <c r="C1623" s="30" t="s">
        <v>94</v>
      </c>
      <c r="D1623" s="31" t="s">
        <v>1773</v>
      </c>
      <c r="E1623" s="51">
        <v>21.5</v>
      </c>
      <c r="F1623" s="32" t="s">
        <v>15</v>
      </c>
      <c r="G1623" s="32" t="s">
        <v>6301</v>
      </c>
      <c r="H1623" s="12"/>
      <c r="I1623" s="11">
        <f>Table1[[#This Row],[Qty]]*Table1[[#This Row],[Price]]</f>
        <v>0</v>
      </c>
    </row>
    <row r="1624" spans="1:9" ht="13.5" customHeight="1" x14ac:dyDescent="0.25">
      <c r="A1624" s="28">
        <v>719346636957</v>
      </c>
      <c r="B1624" s="29" t="s">
        <v>2280</v>
      </c>
      <c r="C1624" s="30" t="s">
        <v>94</v>
      </c>
      <c r="D1624" s="31" t="s">
        <v>2281</v>
      </c>
      <c r="E1624" s="51">
        <v>5.75</v>
      </c>
      <c r="F1624" s="32" t="s">
        <v>15</v>
      </c>
      <c r="G1624" s="32" t="s">
        <v>6403</v>
      </c>
      <c r="H1624" s="22"/>
      <c r="I1624" s="11">
        <f>Table1[[#This Row],[Qty]]*Table1[[#This Row],[Price]]</f>
        <v>0</v>
      </c>
    </row>
    <row r="1625" spans="1:9" ht="13.5" customHeight="1" x14ac:dyDescent="0.25">
      <c r="A1625" s="28">
        <v>719346264716</v>
      </c>
      <c r="B1625" s="29" t="s">
        <v>2365</v>
      </c>
      <c r="C1625" s="30" t="s">
        <v>94</v>
      </c>
      <c r="D1625" s="31" t="s">
        <v>2366</v>
      </c>
      <c r="E1625" s="51">
        <v>27.23</v>
      </c>
      <c r="F1625" s="32" t="s">
        <v>15</v>
      </c>
      <c r="G1625" s="32" t="s">
        <v>6429</v>
      </c>
      <c r="H1625" s="14"/>
      <c r="I1625" s="11">
        <f>Table1[[#This Row],[Qty]]*Table1[[#This Row],[Price]]</f>
        <v>0</v>
      </c>
    </row>
    <row r="1626" spans="1:9" ht="13.5" customHeight="1" x14ac:dyDescent="0.25">
      <c r="A1626" s="28">
        <v>719346635059</v>
      </c>
      <c r="B1626" s="29" t="s">
        <v>3004</v>
      </c>
      <c r="C1626" s="30" t="s">
        <v>94</v>
      </c>
      <c r="D1626" s="31" t="s">
        <v>3005</v>
      </c>
      <c r="E1626" s="51">
        <v>6.75</v>
      </c>
      <c r="F1626" s="32" t="s">
        <v>15</v>
      </c>
      <c r="G1626" s="32">
        <v>0</v>
      </c>
      <c r="H1626" s="22"/>
      <c r="I1626" s="11">
        <f>Table1[[#This Row],[Qty]]*Table1[[#This Row],[Price]]</f>
        <v>0</v>
      </c>
    </row>
    <row r="1627" spans="1:9" ht="13.5" customHeight="1" x14ac:dyDescent="0.25">
      <c r="A1627" s="28">
        <v>719346010115</v>
      </c>
      <c r="B1627" s="29" t="s">
        <v>5279</v>
      </c>
      <c r="C1627" s="30" t="s">
        <v>94</v>
      </c>
      <c r="D1627" s="31" t="s">
        <v>5280</v>
      </c>
      <c r="E1627" s="51">
        <v>14.25</v>
      </c>
      <c r="F1627" s="32" t="s">
        <v>15</v>
      </c>
      <c r="G1627" s="32" t="s">
        <v>7425</v>
      </c>
      <c r="H1627" s="12"/>
      <c r="I1627" s="11">
        <f>Table1[[#This Row],[Qty]]*Table1[[#This Row],[Price]]</f>
        <v>0</v>
      </c>
    </row>
    <row r="1628" spans="1:9" ht="13.5" customHeight="1" x14ac:dyDescent="0.25">
      <c r="A1628" s="28">
        <v>719346450607</v>
      </c>
      <c r="B1628" s="29" t="s">
        <v>5259</v>
      </c>
      <c r="C1628" s="30" t="s">
        <v>94</v>
      </c>
      <c r="D1628" s="31" t="s">
        <v>5260</v>
      </c>
      <c r="E1628" s="51">
        <v>4.75</v>
      </c>
      <c r="F1628" s="32" t="s">
        <v>15</v>
      </c>
      <c r="G1628" s="32" t="s">
        <v>7445</v>
      </c>
      <c r="H1628" s="12"/>
      <c r="I1628" s="11">
        <f>Table1[[#This Row],[Qty]]*Table1[[#This Row],[Price]]</f>
        <v>0</v>
      </c>
    </row>
    <row r="1629" spans="1:9" ht="13.5" customHeight="1" x14ac:dyDescent="0.25">
      <c r="A1629" s="28">
        <v>719346450409</v>
      </c>
      <c r="B1629" s="29" t="s">
        <v>5261</v>
      </c>
      <c r="C1629" s="33" t="s">
        <v>94</v>
      </c>
      <c r="D1629" s="31" t="s">
        <v>5262</v>
      </c>
      <c r="E1629" s="51">
        <v>4.75</v>
      </c>
      <c r="F1629" s="32" t="s">
        <v>15</v>
      </c>
      <c r="G1629" s="32" t="s">
        <v>7446</v>
      </c>
      <c r="H1629" s="22"/>
      <c r="I1629" s="11">
        <f>Table1[[#This Row],[Qty]]*Table1[[#This Row],[Price]]</f>
        <v>0</v>
      </c>
    </row>
    <row r="1630" spans="1:9" ht="13.5" customHeight="1" x14ac:dyDescent="0.25">
      <c r="A1630" s="28">
        <v>5060455080335</v>
      </c>
      <c r="B1630" s="29" t="s">
        <v>5205</v>
      </c>
      <c r="C1630" s="30" t="s">
        <v>5203</v>
      </c>
      <c r="D1630" s="31" t="s">
        <v>5206</v>
      </c>
      <c r="E1630" s="51">
        <v>31.5</v>
      </c>
      <c r="F1630" s="32" t="s">
        <v>15</v>
      </c>
      <c r="G1630" s="32">
        <v>0</v>
      </c>
      <c r="H1630" s="22"/>
      <c r="I1630" s="11">
        <f>Table1[[#This Row],[Qty]]*Table1[[#This Row],[Price]]</f>
        <v>0</v>
      </c>
    </row>
    <row r="1631" spans="1:9" ht="13.5" customHeight="1" x14ac:dyDescent="0.25">
      <c r="A1631" s="28">
        <v>5060455080212</v>
      </c>
      <c r="B1631" s="29" t="s">
        <v>5207</v>
      </c>
      <c r="C1631" s="30" t="s">
        <v>5203</v>
      </c>
      <c r="D1631" s="31" t="s">
        <v>5208</v>
      </c>
      <c r="E1631" s="51">
        <v>31.5</v>
      </c>
      <c r="F1631" s="32" t="s">
        <v>15</v>
      </c>
      <c r="G1631" s="32">
        <v>0</v>
      </c>
      <c r="H1631" s="12"/>
      <c r="I1631" s="11">
        <f>Table1[[#This Row],[Qty]]*Table1[[#This Row],[Price]]</f>
        <v>0</v>
      </c>
    </row>
    <row r="1632" spans="1:9" ht="13.5" customHeight="1" x14ac:dyDescent="0.25">
      <c r="A1632" s="48">
        <v>5060455080441</v>
      </c>
      <c r="B1632" s="41" t="s">
        <v>5202</v>
      </c>
      <c r="C1632" s="6" t="s">
        <v>5203</v>
      </c>
      <c r="D1632" t="s">
        <v>5204</v>
      </c>
      <c r="E1632" s="52">
        <v>30.5</v>
      </c>
      <c r="F1632" s="49" t="s">
        <v>15</v>
      </c>
      <c r="G1632" s="49">
        <v>0</v>
      </c>
      <c r="H1632" s="22"/>
      <c r="I1632" s="11">
        <f>Table1[[#This Row],[Qty]]*Table1[[#This Row],[Price]]</f>
        <v>0</v>
      </c>
    </row>
    <row r="1633" spans="1:9" ht="13.5" customHeight="1" x14ac:dyDescent="0.25">
      <c r="A1633" s="28">
        <v>6291108528518</v>
      </c>
      <c r="B1633" s="29" t="s">
        <v>833</v>
      </c>
      <c r="C1633" s="30" t="s">
        <v>834</v>
      </c>
      <c r="D1633" s="31" t="s">
        <v>835</v>
      </c>
      <c r="E1633" s="51">
        <v>11.75</v>
      </c>
      <c r="F1633" s="32" t="s">
        <v>15</v>
      </c>
      <c r="G1633" s="32" t="s">
        <v>6009</v>
      </c>
      <c r="H1633" s="12"/>
      <c r="I1633" s="11">
        <f>Table1[[#This Row],[Qty]]*Table1[[#This Row],[Price]]</f>
        <v>0</v>
      </c>
    </row>
    <row r="1634" spans="1:9" ht="13.5" customHeight="1" x14ac:dyDescent="0.25">
      <c r="A1634" s="28">
        <v>6294021901437</v>
      </c>
      <c r="B1634" s="29" t="s">
        <v>2032</v>
      </c>
      <c r="C1634" s="30" t="s">
        <v>834</v>
      </c>
      <c r="D1634" s="31" t="s">
        <v>2033</v>
      </c>
      <c r="E1634" s="51">
        <v>13.5</v>
      </c>
      <c r="F1634" s="32" t="s">
        <v>15</v>
      </c>
      <c r="G1634" s="32">
        <v>0</v>
      </c>
      <c r="H1634" s="12"/>
      <c r="I1634" s="11">
        <f>Table1[[#This Row],[Qty]]*Table1[[#This Row],[Price]]</f>
        <v>0</v>
      </c>
    </row>
    <row r="1635" spans="1:9" ht="13.5" customHeight="1" x14ac:dyDescent="0.25">
      <c r="A1635" s="28">
        <v>6294021900195</v>
      </c>
      <c r="B1635" s="29" t="s">
        <v>2387</v>
      </c>
      <c r="C1635" s="30" t="s">
        <v>834</v>
      </c>
      <c r="D1635" s="31" t="s">
        <v>2388</v>
      </c>
      <c r="E1635" s="51">
        <v>12.5</v>
      </c>
      <c r="F1635" s="32" t="s">
        <v>15</v>
      </c>
      <c r="G1635" s="32" t="s">
        <v>6440</v>
      </c>
      <c r="H1635" s="12"/>
      <c r="I1635" s="11">
        <f>Table1[[#This Row],[Qty]]*Table1[[#This Row],[Price]]</f>
        <v>0</v>
      </c>
    </row>
    <row r="1636" spans="1:9" ht="13.5" customHeight="1" x14ac:dyDescent="0.25">
      <c r="A1636" s="28">
        <v>6294021908139</v>
      </c>
      <c r="B1636" s="29" t="s">
        <v>2651</v>
      </c>
      <c r="C1636" s="30" t="s">
        <v>834</v>
      </c>
      <c r="D1636" s="31" t="s">
        <v>2652</v>
      </c>
      <c r="E1636" s="51">
        <v>14</v>
      </c>
      <c r="F1636" s="32" t="s">
        <v>15</v>
      </c>
      <c r="G1636" s="32">
        <v>0</v>
      </c>
      <c r="H1636" s="12"/>
      <c r="I1636" s="11">
        <f>Table1[[#This Row],[Qty]]*Table1[[#This Row],[Price]]</f>
        <v>0</v>
      </c>
    </row>
    <row r="1637" spans="1:9" ht="13.5" customHeight="1" x14ac:dyDescent="0.25">
      <c r="A1637" s="28">
        <v>6294021908146</v>
      </c>
      <c r="B1637" s="29" t="s">
        <v>2653</v>
      </c>
      <c r="C1637" s="30" t="s">
        <v>834</v>
      </c>
      <c r="D1637" s="31" t="s">
        <v>2654</v>
      </c>
      <c r="E1637" s="51">
        <v>14</v>
      </c>
      <c r="F1637" s="32" t="s">
        <v>15</v>
      </c>
      <c r="G1637" s="32">
        <v>0</v>
      </c>
      <c r="H1637" s="22"/>
      <c r="I1637" s="11">
        <f>Table1[[#This Row],[Qty]]*Table1[[#This Row],[Price]]</f>
        <v>0</v>
      </c>
    </row>
    <row r="1638" spans="1:9" ht="13.5" customHeight="1" x14ac:dyDescent="0.25">
      <c r="A1638" s="28">
        <v>6291108525074</v>
      </c>
      <c r="B1638" s="29" t="s">
        <v>3144</v>
      </c>
      <c r="C1638" s="30" t="s">
        <v>834</v>
      </c>
      <c r="D1638" s="31" t="s">
        <v>3145</v>
      </c>
      <c r="E1638" s="51">
        <v>14.5</v>
      </c>
      <c r="F1638" s="32" t="s">
        <v>15</v>
      </c>
      <c r="G1638" s="32">
        <v>0</v>
      </c>
      <c r="H1638" s="12"/>
      <c r="I1638" s="11">
        <f>Table1[[#This Row],[Qty]]*Table1[[#This Row],[Price]]</f>
        <v>0</v>
      </c>
    </row>
    <row r="1639" spans="1:9" ht="13.5" customHeight="1" x14ac:dyDescent="0.25">
      <c r="A1639" s="28">
        <v>6291108529256</v>
      </c>
      <c r="B1639" s="29" t="s">
        <v>3146</v>
      </c>
      <c r="C1639" s="30" t="s">
        <v>834</v>
      </c>
      <c r="D1639" s="31" t="s">
        <v>3147</v>
      </c>
      <c r="E1639" s="51">
        <v>14.5</v>
      </c>
      <c r="F1639" s="32" t="s">
        <v>15</v>
      </c>
      <c r="G1639" s="32">
        <v>0</v>
      </c>
      <c r="H1639" s="22"/>
      <c r="I1639" s="11">
        <f>Table1[[#This Row],[Qty]]*Table1[[#This Row],[Price]]</f>
        <v>0</v>
      </c>
    </row>
    <row r="1640" spans="1:9" ht="13.5" customHeight="1" x14ac:dyDescent="0.25">
      <c r="A1640" s="28">
        <v>6294021905466</v>
      </c>
      <c r="B1640" s="29" t="s">
        <v>3148</v>
      </c>
      <c r="C1640" s="30" t="s">
        <v>834</v>
      </c>
      <c r="D1640" s="31" t="s">
        <v>3149</v>
      </c>
      <c r="E1640" s="51">
        <v>13.5</v>
      </c>
      <c r="F1640" s="32" t="s">
        <v>15</v>
      </c>
      <c r="G1640" s="32">
        <v>0</v>
      </c>
      <c r="H1640" s="22"/>
      <c r="I1640" s="11">
        <f>Table1[[#This Row],[Qty]]*Table1[[#This Row],[Price]]</f>
        <v>0</v>
      </c>
    </row>
    <row r="1641" spans="1:9" ht="13.5" customHeight="1" x14ac:dyDescent="0.25">
      <c r="A1641" s="28">
        <v>6291108525081</v>
      </c>
      <c r="B1641" s="29" t="s">
        <v>3216</v>
      </c>
      <c r="C1641" s="30" t="s">
        <v>834</v>
      </c>
      <c r="D1641" s="31" t="s">
        <v>3217</v>
      </c>
      <c r="E1641" s="51">
        <v>14.5</v>
      </c>
      <c r="F1641" s="32" t="s">
        <v>15</v>
      </c>
      <c r="G1641" s="32" t="s">
        <v>6744</v>
      </c>
      <c r="H1641" s="12"/>
      <c r="I1641" s="11">
        <f>Table1[[#This Row],[Qty]]*Table1[[#This Row],[Price]]</f>
        <v>0</v>
      </c>
    </row>
    <row r="1642" spans="1:9" ht="13.5" customHeight="1" x14ac:dyDescent="0.25">
      <c r="A1642" s="28">
        <v>6294021908122</v>
      </c>
      <c r="B1642" s="29" t="s">
        <v>3218</v>
      </c>
      <c r="C1642" s="30" t="s">
        <v>834</v>
      </c>
      <c r="D1642" s="31" t="s">
        <v>3219</v>
      </c>
      <c r="E1642" s="51">
        <v>16.5</v>
      </c>
      <c r="F1642" s="32" t="s">
        <v>15</v>
      </c>
      <c r="G1642" s="32" t="s">
        <v>6745</v>
      </c>
      <c r="H1642" s="12"/>
      <c r="I1642" s="11">
        <f>Table1[[#This Row],[Qty]]*Table1[[#This Row],[Price]]</f>
        <v>0</v>
      </c>
    </row>
    <row r="1643" spans="1:9" ht="13.5" customHeight="1" x14ac:dyDescent="0.25">
      <c r="A1643" s="28">
        <v>6294021908399</v>
      </c>
      <c r="B1643" s="29" t="s">
        <v>3220</v>
      </c>
      <c r="C1643" s="33" t="s">
        <v>834</v>
      </c>
      <c r="D1643" s="31" t="s">
        <v>3221</v>
      </c>
      <c r="E1643" s="51">
        <v>16.5</v>
      </c>
      <c r="F1643" s="32" t="s">
        <v>15</v>
      </c>
      <c r="G1643" s="32" t="s">
        <v>6746</v>
      </c>
      <c r="H1643" s="22"/>
      <c r="I1643" s="11">
        <f>Table1[[#This Row],[Qty]]*Table1[[#This Row],[Price]]</f>
        <v>0</v>
      </c>
    </row>
    <row r="1644" spans="1:9" ht="13.5" customHeight="1" x14ac:dyDescent="0.25">
      <c r="A1644" s="28">
        <v>6294021904865</v>
      </c>
      <c r="B1644" s="29" t="s">
        <v>3317</v>
      </c>
      <c r="C1644" s="30" t="s">
        <v>834</v>
      </c>
      <c r="D1644" s="31" t="s">
        <v>3318</v>
      </c>
      <c r="E1644" s="51">
        <v>14.25</v>
      </c>
      <c r="F1644" s="32" t="s">
        <v>15</v>
      </c>
      <c r="G1644" s="32" t="s">
        <v>6788</v>
      </c>
      <c r="H1644" s="22"/>
      <c r="I1644" s="11">
        <f>Table1[[#This Row],[Qty]]*Table1[[#This Row],[Price]]</f>
        <v>0</v>
      </c>
    </row>
    <row r="1645" spans="1:9" ht="13.5" customHeight="1" x14ac:dyDescent="0.25">
      <c r="A1645" s="28">
        <v>3614229478693</v>
      </c>
      <c r="B1645" s="29" t="s">
        <v>5442</v>
      </c>
      <c r="C1645" s="30" t="s">
        <v>4520</v>
      </c>
      <c r="D1645" s="31" t="s">
        <v>5443</v>
      </c>
      <c r="E1645" s="51">
        <v>30</v>
      </c>
      <c r="F1645" s="32" t="s">
        <v>15</v>
      </c>
      <c r="G1645" s="32">
        <v>0</v>
      </c>
      <c r="H1645" s="12"/>
      <c r="I1645" s="11">
        <f>Table1[[#This Row],[Qty]]*Table1[[#This Row],[Price]]</f>
        <v>0</v>
      </c>
    </row>
    <row r="1646" spans="1:9" ht="13.5" customHeight="1" x14ac:dyDescent="0.25">
      <c r="A1646" s="28">
        <v>3614227293960</v>
      </c>
      <c r="B1646" s="29" t="s">
        <v>4519</v>
      </c>
      <c r="C1646" s="30" t="s">
        <v>4520</v>
      </c>
      <c r="D1646" s="31" t="s">
        <v>4521</v>
      </c>
      <c r="E1646" s="51">
        <v>18.5</v>
      </c>
      <c r="F1646" s="32" t="s">
        <v>15</v>
      </c>
      <c r="G1646" s="32">
        <v>0</v>
      </c>
      <c r="H1646" s="12"/>
      <c r="I1646" s="11">
        <f>Table1[[#This Row],[Qty]]*Table1[[#This Row],[Price]]</f>
        <v>0</v>
      </c>
    </row>
    <row r="1647" spans="1:9" ht="13.5" customHeight="1" x14ac:dyDescent="0.25">
      <c r="A1647" s="28">
        <v>27131043317</v>
      </c>
      <c r="B1647" s="29" t="s">
        <v>1546</v>
      </c>
      <c r="C1647" s="30" t="s">
        <v>1547</v>
      </c>
      <c r="D1647" s="31" t="s">
        <v>1548</v>
      </c>
      <c r="E1647" s="51">
        <v>31</v>
      </c>
      <c r="F1647" s="32" t="s">
        <v>15</v>
      </c>
      <c r="G1647" s="32" t="s">
        <v>6241</v>
      </c>
      <c r="H1647" s="12"/>
      <c r="I1647" s="11">
        <f>Table1[[#This Row],[Qty]]*Table1[[#This Row],[Price]]</f>
        <v>0</v>
      </c>
    </row>
    <row r="1648" spans="1:9" ht="13.5" customHeight="1" x14ac:dyDescent="0.25">
      <c r="A1648" s="28">
        <v>27131521433</v>
      </c>
      <c r="B1648" s="29" t="s">
        <v>1811</v>
      </c>
      <c r="C1648" s="30" t="s">
        <v>1547</v>
      </c>
      <c r="D1648" s="31" t="s">
        <v>1812</v>
      </c>
      <c r="E1648" s="51">
        <v>19.95</v>
      </c>
      <c r="F1648" s="32" t="s">
        <v>15</v>
      </c>
      <c r="G1648" s="32" t="s">
        <v>6306</v>
      </c>
      <c r="H1648" s="22"/>
      <c r="I1648" s="11">
        <f>Table1[[#This Row],[Qty]]*Table1[[#This Row],[Price]]</f>
        <v>0</v>
      </c>
    </row>
    <row r="1649" spans="1:9" ht="13.5" customHeight="1" x14ac:dyDescent="0.25">
      <c r="A1649" s="28">
        <v>27131086871</v>
      </c>
      <c r="B1649" s="29" t="s">
        <v>5336</v>
      </c>
      <c r="C1649" s="30" t="s">
        <v>1547</v>
      </c>
      <c r="D1649" s="31" t="s">
        <v>5337</v>
      </c>
      <c r="E1649" s="51">
        <v>23.5</v>
      </c>
      <c r="F1649" s="32" t="s">
        <v>15</v>
      </c>
      <c r="G1649" s="32" t="s">
        <v>7405</v>
      </c>
      <c r="H1649" s="12"/>
      <c r="I1649" s="11">
        <f>Table1[[#This Row],[Qty]]*Table1[[#This Row],[Price]]</f>
        <v>0</v>
      </c>
    </row>
    <row r="1650" spans="1:9" ht="13.5" customHeight="1" x14ac:dyDescent="0.25">
      <c r="A1650" s="28">
        <v>27131595045</v>
      </c>
      <c r="B1650" s="29" t="s">
        <v>4853</v>
      </c>
      <c r="C1650" s="30" t="s">
        <v>1547</v>
      </c>
      <c r="D1650" s="31" t="s">
        <v>4854</v>
      </c>
      <c r="E1650" s="51">
        <v>20</v>
      </c>
      <c r="F1650" s="32" t="s">
        <v>15</v>
      </c>
      <c r="G1650" s="32" t="s">
        <v>7412</v>
      </c>
      <c r="H1650" s="12"/>
      <c r="I1650" s="11">
        <f>Table1[[#This Row],[Qty]]*Table1[[#This Row],[Price]]</f>
        <v>0</v>
      </c>
    </row>
    <row r="1651" spans="1:9" ht="13.5" customHeight="1" x14ac:dyDescent="0.25">
      <c r="A1651" s="28">
        <v>887167095885</v>
      </c>
      <c r="B1651" s="29" t="s">
        <v>5338</v>
      </c>
      <c r="C1651" s="30" t="s">
        <v>1547</v>
      </c>
      <c r="D1651" s="31" t="s">
        <v>5339</v>
      </c>
      <c r="E1651" s="51">
        <v>18.5</v>
      </c>
      <c r="F1651" s="32" t="s">
        <v>15</v>
      </c>
      <c r="G1651" s="32">
        <v>0</v>
      </c>
      <c r="H1651" s="22"/>
      <c r="I1651" s="11">
        <f>Table1[[#This Row],[Qty]]*Table1[[#This Row],[Price]]</f>
        <v>0</v>
      </c>
    </row>
    <row r="1652" spans="1:9" ht="13.5" customHeight="1" x14ac:dyDescent="0.25">
      <c r="A1652" s="28">
        <v>27131017752</v>
      </c>
      <c r="B1652" s="29" t="s">
        <v>4579</v>
      </c>
      <c r="C1652" s="30" t="s">
        <v>1547</v>
      </c>
      <c r="D1652" s="31" t="s">
        <v>4580</v>
      </c>
      <c r="E1652" s="51">
        <v>16.5</v>
      </c>
      <c r="F1652" s="32" t="s">
        <v>15</v>
      </c>
      <c r="G1652" s="32">
        <v>0</v>
      </c>
      <c r="H1652" s="14"/>
      <c r="I1652" s="11">
        <f>Table1[[#This Row],[Qty]]*Table1[[#This Row],[Price]]</f>
        <v>0</v>
      </c>
    </row>
    <row r="1653" spans="1:9" ht="13.5" customHeight="1" x14ac:dyDescent="0.25">
      <c r="A1653" s="28">
        <v>3760048796347</v>
      </c>
      <c r="B1653" s="29" t="s">
        <v>3072</v>
      </c>
      <c r="C1653" s="30" t="s">
        <v>3073</v>
      </c>
      <c r="D1653" s="31" t="s">
        <v>3074</v>
      </c>
      <c r="E1653" s="51">
        <v>14</v>
      </c>
      <c r="F1653" s="32" t="s">
        <v>15</v>
      </c>
      <c r="G1653" s="32">
        <v>0</v>
      </c>
      <c r="H1653" s="12"/>
      <c r="I1653" s="11">
        <f>Table1[[#This Row],[Qty]]*Table1[[#This Row],[Price]]</f>
        <v>0</v>
      </c>
    </row>
    <row r="1654" spans="1:9" ht="13.5" customHeight="1" x14ac:dyDescent="0.25">
      <c r="A1654" s="28">
        <v>8002135139053</v>
      </c>
      <c r="B1654" s="29" t="s">
        <v>5062</v>
      </c>
      <c r="C1654" s="30" t="s">
        <v>5063</v>
      </c>
      <c r="D1654" s="31" t="s">
        <v>5064</v>
      </c>
      <c r="E1654" s="51">
        <v>15</v>
      </c>
      <c r="F1654" s="32" t="s">
        <v>15</v>
      </c>
      <c r="G1654" s="32">
        <v>0</v>
      </c>
      <c r="H1654" s="12"/>
      <c r="I1654" s="11">
        <f>Table1[[#This Row],[Qty]]*Table1[[#This Row],[Price]]</f>
        <v>0</v>
      </c>
    </row>
    <row r="1655" spans="1:9" ht="13.5" customHeight="1" x14ac:dyDescent="0.25">
      <c r="A1655" s="28">
        <v>843711294555</v>
      </c>
      <c r="B1655" s="29" t="s">
        <v>3916</v>
      </c>
      <c r="C1655" s="30" t="s">
        <v>3917</v>
      </c>
      <c r="D1655" s="31" t="s">
        <v>3918</v>
      </c>
      <c r="E1655" s="51">
        <v>10.199999999999999</v>
      </c>
      <c r="F1655" s="32" t="s">
        <v>15</v>
      </c>
      <c r="G1655" s="32" t="s">
        <v>7126</v>
      </c>
      <c r="H1655" s="12"/>
      <c r="I1655" s="11">
        <f>Table1[[#This Row],[Qty]]*Table1[[#This Row],[Price]]</f>
        <v>0</v>
      </c>
    </row>
    <row r="1656" spans="1:9" ht="13.5" customHeight="1" x14ac:dyDescent="0.25">
      <c r="A1656" s="28">
        <v>6294015103533</v>
      </c>
      <c r="B1656" s="29" t="s">
        <v>2864</v>
      </c>
      <c r="C1656" s="30" t="s">
        <v>2865</v>
      </c>
      <c r="D1656" s="31" t="s">
        <v>2866</v>
      </c>
      <c r="E1656" s="51">
        <v>12.75</v>
      </c>
      <c r="F1656" s="32" t="s">
        <v>15</v>
      </c>
      <c r="G1656" s="32" t="s">
        <v>6634</v>
      </c>
      <c r="H1656" s="12"/>
      <c r="I1656" s="11">
        <f>Table1[[#This Row],[Qty]]*Table1[[#This Row],[Price]]</f>
        <v>0</v>
      </c>
    </row>
    <row r="1657" spans="1:9" ht="13.5" customHeight="1" x14ac:dyDescent="0.25">
      <c r="A1657" s="28">
        <v>6294015106169</v>
      </c>
      <c r="B1657" s="29" t="s">
        <v>2867</v>
      </c>
      <c r="C1657" s="30" t="s">
        <v>2865</v>
      </c>
      <c r="D1657" s="31" t="s">
        <v>2868</v>
      </c>
      <c r="E1657" s="51">
        <v>13.75</v>
      </c>
      <c r="F1657" s="32" t="s">
        <v>15</v>
      </c>
      <c r="G1657" s="32" t="s">
        <v>6635</v>
      </c>
      <c r="H1657" s="12"/>
      <c r="I1657" s="11">
        <f>Table1[[#This Row],[Qty]]*Table1[[#This Row],[Price]]</f>
        <v>0</v>
      </c>
    </row>
    <row r="1658" spans="1:9" ht="13.5" customHeight="1" x14ac:dyDescent="0.25">
      <c r="A1658" s="28">
        <v>6294015106176</v>
      </c>
      <c r="B1658" s="29" t="s">
        <v>2869</v>
      </c>
      <c r="C1658" s="33" t="s">
        <v>2865</v>
      </c>
      <c r="D1658" s="31" t="s">
        <v>2870</v>
      </c>
      <c r="E1658" s="51">
        <v>14.25</v>
      </c>
      <c r="F1658" s="32" t="s">
        <v>15</v>
      </c>
      <c r="G1658" s="32" t="s">
        <v>6636</v>
      </c>
      <c r="H1658" s="22"/>
      <c r="I1658" s="11">
        <f>Table1[[#This Row],[Qty]]*Table1[[#This Row],[Price]]</f>
        <v>0</v>
      </c>
    </row>
    <row r="1659" spans="1:9" ht="13.5" customHeight="1" x14ac:dyDescent="0.25">
      <c r="A1659" s="28">
        <v>6294015160628</v>
      </c>
      <c r="B1659" s="29" t="s">
        <v>4516</v>
      </c>
      <c r="C1659" s="30" t="s">
        <v>4517</v>
      </c>
      <c r="D1659" s="31" t="s">
        <v>4518</v>
      </c>
      <c r="E1659" s="51">
        <v>17</v>
      </c>
      <c r="F1659" s="32" t="s">
        <v>15</v>
      </c>
      <c r="G1659" s="32"/>
      <c r="H1659" s="22"/>
      <c r="I1659" s="11">
        <f>Table1[[#This Row],[Qty]]*Table1[[#This Row],[Price]]</f>
        <v>0</v>
      </c>
    </row>
    <row r="1660" spans="1:9" ht="13.5" customHeight="1" x14ac:dyDescent="0.25">
      <c r="A1660" s="28">
        <v>6290360372730</v>
      </c>
      <c r="B1660" s="29" t="s">
        <v>741</v>
      </c>
      <c r="C1660" s="30" t="s">
        <v>544</v>
      </c>
      <c r="D1660" s="31" t="s">
        <v>742</v>
      </c>
      <c r="E1660" s="51">
        <v>17.25</v>
      </c>
      <c r="F1660" s="32" t="s">
        <v>15</v>
      </c>
      <c r="G1660" s="32" t="s">
        <v>5968</v>
      </c>
      <c r="H1660" s="22"/>
      <c r="I1660" s="11">
        <f>Table1[[#This Row],[Qty]]*Table1[[#This Row],[Price]]</f>
        <v>0</v>
      </c>
    </row>
    <row r="1661" spans="1:9" ht="13.5" customHeight="1" x14ac:dyDescent="0.25">
      <c r="A1661" s="28">
        <v>6290360375823</v>
      </c>
      <c r="B1661" s="29" t="s">
        <v>854</v>
      </c>
      <c r="C1661" s="30" t="s">
        <v>544</v>
      </c>
      <c r="D1661" s="31" t="s">
        <v>855</v>
      </c>
      <c r="E1661" s="51">
        <v>20.25</v>
      </c>
      <c r="F1661" s="32" t="s">
        <v>15</v>
      </c>
      <c r="G1661" s="32" t="s">
        <v>6017</v>
      </c>
      <c r="H1661" s="22"/>
      <c r="I1661" s="11">
        <f>Table1[[#This Row],[Qty]]*Table1[[#This Row],[Price]]</f>
        <v>0</v>
      </c>
    </row>
    <row r="1662" spans="1:9" ht="13.5" customHeight="1" x14ac:dyDescent="0.25">
      <c r="A1662" s="28">
        <v>6290360372723</v>
      </c>
      <c r="B1662" s="29" t="s">
        <v>1096</v>
      </c>
      <c r="C1662" s="30" t="s">
        <v>544</v>
      </c>
      <c r="D1662" s="31" t="s">
        <v>1097</v>
      </c>
      <c r="E1662" s="51">
        <v>24.5</v>
      </c>
      <c r="F1662" s="32" t="s">
        <v>15</v>
      </c>
      <c r="G1662" s="32" t="s">
        <v>6127</v>
      </c>
      <c r="H1662" s="22"/>
      <c r="I1662" s="11">
        <f>Table1[[#This Row],[Qty]]*Table1[[#This Row],[Price]]</f>
        <v>0</v>
      </c>
    </row>
    <row r="1663" spans="1:9" ht="13.5" customHeight="1" x14ac:dyDescent="0.25">
      <c r="A1663" s="28">
        <v>6290360373393</v>
      </c>
      <c r="B1663" s="29" t="s">
        <v>2023</v>
      </c>
      <c r="C1663" s="30" t="s">
        <v>544</v>
      </c>
      <c r="D1663" s="31" t="s">
        <v>2024</v>
      </c>
      <c r="E1663" s="51">
        <v>13.5</v>
      </c>
      <c r="F1663" s="32" t="s">
        <v>15</v>
      </c>
      <c r="G1663" s="32">
        <v>0</v>
      </c>
      <c r="H1663" s="22"/>
      <c r="I1663" s="11">
        <f>Table1[[#This Row],[Qty]]*Table1[[#This Row],[Price]]</f>
        <v>0</v>
      </c>
    </row>
    <row r="1664" spans="1:9" ht="13.5" customHeight="1" x14ac:dyDescent="0.25">
      <c r="A1664" s="28">
        <v>6290360375755</v>
      </c>
      <c r="B1664" s="29" t="s">
        <v>2025</v>
      </c>
      <c r="C1664" s="30" t="s">
        <v>544</v>
      </c>
      <c r="D1664" s="31" t="s">
        <v>2026</v>
      </c>
      <c r="E1664" s="51">
        <v>13.5</v>
      </c>
      <c r="F1664" s="32" t="s">
        <v>15</v>
      </c>
      <c r="G1664" s="32">
        <v>0</v>
      </c>
      <c r="H1664" s="22"/>
      <c r="I1664" s="11">
        <f>Table1[[#This Row],[Qty]]*Table1[[#This Row],[Price]]</f>
        <v>0</v>
      </c>
    </row>
    <row r="1665" spans="1:9" ht="13.5" customHeight="1" x14ac:dyDescent="0.25">
      <c r="A1665" s="28">
        <v>6291108326763</v>
      </c>
      <c r="B1665" s="29" t="s">
        <v>2051</v>
      </c>
      <c r="C1665" s="30" t="s">
        <v>544</v>
      </c>
      <c r="D1665" s="31" t="s">
        <v>2052</v>
      </c>
      <c r="E1665" s="51">
        <v>13</v>
      </c>
      <c r="F1665" s="32" t="s">
        <v>15</v>
      </c>
      <c r="G1665" s="32">
        <v>0</v>
      </c>
      <c r="H1665" s="22"/>
      <c r="I1665" s="11">
        <f>Table1[[#This Row],[Qty]]*Table1[[#This Row],[Price]]</f>
        <v>0</v>
      </c>
    </row>
    <row r="1666" spans="1:9" ht="13.5" customHeight="1" x14ac:dyDescent="0.25">
      <c r="A1666" s="28">
        <v>6290360371214</v>
      </c>
      <c r="B1666" s="29" t="s">
        <v>2100</v>
      </c>
      <c r="C1666" s="30" t="s">
        <v>544</v>
      </c>
      <c r="D1666" s="31" t="s">
        <v>2101</v>
      </c>
      <c r="E1666" s="51">
        <v>12</v>
      </c>
      <c r="F1666" s="32" t="s">
        <v>15</v>
      </c>
      <c r="G1666" s="32">
        <v>0</v>
      </c>
      <c r="H1666" s="22"/>
      <c r="I1666" s="11">
        <f>Table1[[#This Row],[Qty]]*Table1[[#This Row],[Price]]</f>
        <v>0</v>
      </c>
    </row>
    <row r="1667" spans="1:9" ht="13.5" customHeight="1" x14ac:dyDescent="0.25">
      <c r="A1667" s="28">
        <v>6291108321508</v>
      </c>
      <c r="B1667" s="29" t="s">
        <v>2310</v>
      </c>
      <c r="C1667" s="30" t="s">
        <v>544</v>
      </c>
      <c r="D1667" s="31" t="s">
        <v>2311</v>
      </c>
      <c r="E1667" s="51">
        <v>13.5</v>
      </c>
      <c r="F1667" s="32" t="s">
        <v>15</v>
      </c>
      <c r="G1667" s="32">
        <v>0</v>
      </c>
      <c r="H1667" s="22"/>
      <c r="I1667" s="11">
        <f>Table1[[#This Row],[Qty]]*Table1[[#This Row],[Price]]</f>
        <v>0</v>
      </c>
    </row>
    <row r="1668" spans="1:9" ht="13.5" customHeight="1" x14ac:dyDescent="0.25">
      <c r="A1668" s="48">
        <v>6291108326428</v>
      </c>
      <c r="B1668" s="41" t="s">
        <v>2442</v>
      </c>
      <c r="C1668" s="6" t="s">
        <v>544</v>
      </c>
      <c r="D1668" t="s">
        <v>2443</v>
      </c>
      <c r="E1668" s="52">
        <v>14.5</v>
      </c>
      <c r="F1668" s="49" t="s">
        <v>15</v>
      </c>
      <c r="G1668" s="49" t="s">
        <v>6463</v>
      </c>
      <c r="H1668" s="22"/>
      <c r="I1668" s="11">
        <f>Table1[[#This Row],[Qty]]*Table1[[#This Row],[Price]]</f>
        <v>0</v>
      </c>
    </row>
    <row r="1669" spans="1:9" ht="13.5" customHeight="1" x14ac:dyDescent="0.25">
      <c r="A1669" s="28">
        <v>6291108329160</v>
      </c>
      <c r="B1669" s="29" t="s">
        <v>3750</v>
      </c>
      <c r="C1669" s="30" t="s">
        <v>544</v>
      </c>
      <c r="D1669" s="31" t="s">
        <v>3751</v>
      </c>
      <c r="E1669" s="51">
        <v>9.3699999999999992</v>
      </c>
      <c r="F1669" s="32" t="s">
        <v>15</v>
      </c>
      <c r="G1669" s="32" t="s">
        <v>7047</v>
      </c>
      <c r="H1669" s="12"/>
      <c r="I1669" s="11">
        <f>Table1[[#This Row],[Qty]]*Table1[[#This Row],[Price]]</f>
        <v>0</v>
      </c>
    </row>
    <row r="1670" spans="1:9" ht="13.5" customHeight="1" x14ac:dyDescent="0.25">
      <c r="A1670" s="28">
        <v>6291108326176</v>
      </c>
      <c r="B1670" s="29" t="s">
        <v>3752</v>
      </c>
      <c r="C1670" s="30" t="s">
        <v>544</v>
      </c>
      <c r="D1670" s="31" t="s">
        <v>3753</v>
      </c>
      <c r="E1670" s="51">
        <v>9.3699999999999992</v>
      </c>
      <c r="F1670" s="32" t="s">
        <v>15</v>
      </c>
      <c r="G1670" s="32" t="s">
        <v>7048</v>
      </c>
      <c r="H1670" s="22"/>
      <c r="I1670" s="11">
        <f>Table1[[#This Row],[Qty]]*Table1[[#This Row],[Price]]</f>
        <v>0</v>
      </c>
    </row>
    <row r="1671" spans="1:9" ht="13.5" customHeight="1" x14ac:dyDescent="0.25">
      <c r="A1671" s="28">
        <v>837015000455</v>
      </c>
      <c r="B1671" s="29" t="s">
        <v>3075</v>
      </c>
      <c r="C1671" s="30" t="s">
        <v>3076</v>
      </c>
      <c r="D1671" s="31" t="s">
        <v>3077</v>
      </c>
      <c r="E1671" s="51">
        <v>11.5</v>
      </c>
      <c r="F1671" s="32" t="s">
        <v>15</v>
      </c>
      <c r="G1671" s="32" t="s">
        <v>6683</v>
      </c>
      <c r="H1671" s="12"/>
      <c r="I1671" s="11">
        <f>Table1[[#This Row],[Qty]]*Table1[[#This Row],[Price]]</f>
        <v>0</v>
      </c>
    </row>
    <row r="1672" spans="1:9" ht="13.5" customHeight="1" x14ac:dyDescent="0.25">
      <c r="A1672" s="28">
        <v>837015005559</v>
      </c>
      <c r="B1672" s="29" t="s">
        <v>4467</v>
      </c>
      <c r="C1672" s="30" t="s">
        <v>3076</v>
      </c>
      <c r="D1672" s="31" t="s">
        <v>4468</v>
      </c>
      <c r="E1672" s="51">
        <v>15</v>
      </c>
      <c r="F1672" s="32" t="s">
        <v>15</v>
      </c>
      <c r="G1672" s="32">
        <v>0</v>
      </c>
      <c r="H1672" s="12"/>
      <c r="I1672" s="11">
        <f>Table1[[#This Row],[Qty]]*Table1[[#This Row],[Price]]</f>
        <v>0</v>
      </c>
    </row>
    <row r="1673" spans="1:9" ht="13.5" customHeight="1" x14ac:dyDescent="0.25">
      <c r="A1673" s="28">
        <v>837015004859</v>
      </c>
      <c r="B1673" s="29" t="s">
        <v>5269</v>
      </c>
      <c r="C1673" s="30" t="s">
        <v>3076</v>
      </c>
      <c r="D1673" s="31" t="s">
        <v>5270</v>
      </c>
      <c r="E1673" s="51">
        <v>10.5</v>
      </c>
      <c r="F1673" s="32" t="s">
        <v>15</v>
      </c>
      <c r="G1673" s="32">
        <v>0</v>
      </c>
      <c r="H1673" s="22"/>
      <c r="I1673" s="11">
        <f>Table1[[#This Row],[Qty]]*Table1[[#This Row],[Price]]</f>
        <v>0</v>
      </c>
    </row>
    <row r="1674" spans="1:9" ht="13.5" customHeight="1" x14ac:dyDescent="0.25">
      <c r="A1674" s="28">
        <v>6298042001206</v>
      </c>
      <c r="B1674" s="29" t="s">
        <v>3349</v>
      </c>
      <c r="C1674" s="30" t="s">
        <v>3320</v>
      </c>
      <c r="D1674" s="31" t="s">
        <v>3350</v>
      </c>
      <c r="E1674" s="51">
        <v>29</v>
      </c>
      <c r="F1674" s="32" t="s">
        <v>15</v>
      </c>
      <c r="G1674" s="32" t="s">
        <v>6804</v>
      </c>
      <c r="H1674" s="12"/>
      <c r="I1674" s="11">
        <f>Table1[[#This Row],[Qty]]*Table1[[#This Row],[Price]]</f>
        <v>0</v>
      </c>
    </row>
    <row r="1675" spans="1:9" ht="13.5" customHeight="1" x14ac:dyDescent="0.25">
      <c r="A1675" s="48">
        <v>3360372054559</v>
      </c>
      <c r="B1675" s="41" t="s">
        <v>198</v>
      </c>
      <c r="C1675" s="6" t="s">
        <v>199</v>
      </c>
      <c r="D1675" t="s">
        <v>200</v>
      </c>
      <c r="E1675" s="52">
        <v>58</v>
      </c>
      <c r="F1675" s="49" t="s">
        <v>15</v>
      </c>
      <c r="G1675" s="49" t="s">
        <v>5682</v>
      </c>
      <c r="H1675" s="22"/>
      <c r="I1675" s="11">
        <f>Table1[[#This Row],[Qty]]*Table1[[#This Row],[Price]]</f>
        <v>0</v>
      </c>
    </row>
    <row r="1676" spans="1:9" ht="13.5" customHeight="1" x14ac:dyDescent="0.25">
      <c r="A1676" s="28">
        <v>3614272907690</v>
      </c>
      <c r="B1676" s="29" t="s">
        <v>559</v>
      </c>
      <c r="C1676" s="30" t="s">
        <v>199</v>
      </c>
      <c r="D1676" s="31" t="s">
        <v>560</v>
      </c>
      <c r="E1676" s="51">
        <v>85.35</v>
      </c>
      <c r="F1676" s="32" t="s">
        <v>15</v>
      </c>
      <c r="G1676" s="32" t="s">
        <v>5885</v>
      </c>
      <c r="H1676" s="14"/>
      <c r="I1676" s="11">
        <f>Table1[[#This Row],[Qty]]*Table1[[#This Row],[Price]]</f>
        <v>0</v>
      </c>
    </row>
    <row r="1677" spans="1:9" ht="13.5" customHeight="1" x14ac:dyDescent="0.25">
      <c r="A1677" s="28">
        <v>3614273347839</v>
      </c>
      <c r="B1677" s="29" t="s">
        <v>761</v>
      </c>
      <c r="C1677" s="33" t="s">
        <v>199</v>
      </c>
      <c r="D1677" s="31" t="s">
        <v>762</v>
      </c>
      <c r="E1677" s="51">
        <v>71.150000000000006</v>
      </c>
      <c r="F1677" s="32" t="s">
        <v>15</v>
      </c>
      <c r="G1677" s="32" t="s">
        <v>5977</v>
      </c>
      <c r="H1677" s="22"/>
      <c r="I1677" s="11">
        <f>Table1[[#This Row],[Qty]]*Table1[[#This Row],[Price]]</f>
        <v>0</v>
      </c>
    </row>
    <row r="1678" spans="1:9" ht="13.5" customHeight="1" x14ac:dyDescent="0.25">
      <c r="A1678" s="28">
        <v>3605520381096</v>
      </c>
      <c r="B1678" s="29" t="s">
        <v>791</v>
      </c>
      <c r="C1678" s="30" t="s">
        <v>199</v>
      </c>
      <c r="D1678" s="31" t="s">
        <v>792</v>
      </c>
      <c r="E1678" s="51">
        <v>29.02</v>
      </c>
      <c r="F1678" s="32" t="s">
        <v>15</v>
      </c>
      <c r="G1678" s="32" t="s">
        <v>5991</v>
      </c>
      <c r="H1678" s="12"/>
      <c r="I1678" s="11">
        <f>Table1[[#This Row],[Qty]]*Table1[[#This Row],[Price]]</f>
        <v>0</v>
      </c>
    </row>
    <row r="1679" spans="1:9" ht="13.5" customHeight="1" x14ac:dyDescent="0.25">
      <c r="A1679" s="28">
        <v>3614273953696</v>
      </c>
      <c r="B1679" s="29" t="s">
        <v>1128</v>
      </c>
      <c r="C1679" s="30" t="s">
        <v>199</v>
      </c>
      <c r="D1679" s="31" t="s">
        <v>1129</v>
      </c>
      <c r="E1679" s="51">
        <v>80.62</v>
      </c>
      <c r="F1679" s="32" t="s">
        <v>15</v>
      </c>
      <c r="G1679" s="32" t="s">
        <v>6138</v>
      </c>
      <c r="H1679" s="22"/>
      <c r="I1679" s="11">
        <f>Table1[[#This Row],[Qty]]*Table1[[#This Row],[Price]]</f>
        <v>0</v>
      </c>
    </row>
    <row r="1680" spans="1:9" ht="13.5" customHeight="1" x14ac:dyDescent="0.25">
      <c r="A1680" s="28">
        <v>3614273907521</v>
      </c>
      <c r="B1680" s="29" t="s">
        <v>1197</v>
      </c>
      <c r="C1680" s="30" t="s">
        <v>199</v>
      </c>
      <c r="D1680" s="31" t="s">
        <v>1198</v>
      </c>
      <c r="E1680" s="51">
        <v>103.5</v>
      </c>
      <c r="F1680" s="32" t="s">
        <v>15</v>
      </c>
      <c r="G1680" s="32" t="s">
        <v>6164</v>
      </c>
      <c r="H1680" s="12"/>
      <c r="I1680" s="11">
        <f>Table1[[#This Row],[Qty]]*Table1[[#This Row],[Price]]</f>
        <v>0</v>
      </c>
    </row>
    <row r="1681" spans="1:9" ht="13.5" customHeight="1" x14ac:dyDescent="0.25">
      <c r="A1681" s="28">
        <v>3614273195089</v>
      </c>
      <c r="B1681" s="29" t="s">
        <v>1208</v>
      </c>
      <c r="C1681" s="30" t="s">
        <v>199</v>
      </c>
      <c r="D1681" s="31" t="s">
        <v>1209</v>
      </c>
      <c r="E1681" s="51">
        <v>88.5</v>
      </c>
      <c r="F1681" s="32" t="s">
        <v>15</v>
      </c>
      <c r="G1681" s="32">
        <v>0</v>
      </c>
      <c r="H1681" s="22"/>
      <c r="I1681" s="11">
        <f>Table1[[#This Row],[Qty]]*Table1[[#This Row],[Price]]</f>
        <v>0</v>
      </c>
    </row>
    <row r="1682" spans="1:9" ht="13.5" customHeight="1" x14ac:dyDescent="0.25">
      <c r="A1682" s="28">
        <v>3614272865235</v>
      </c>
      <c r="B1682" s="29" t="s">
        <v>1212</v>
      </c>
      <c r="C1682" s="30" t="s">
        <v>199</v>
      </c>
      <c r="D1682" s="31" t="s">
        <v>1213</v>
      </c>
      <c r="E1682" s="51">
        <v>73.319999999999993</v>
      </c>
      <c r="F1682" s="32" t="s">
        <v>15</v>
      </c>
      <c r="G1682" s="32" t="s">
        <v>6169</v>
      </c>
      <c r="H1682" s="22"/>
      <c r="I1682" s="11">
        <f>Table1[[#This Row],[Qty]]*Table1[[#This Row],[Price]]</f>
        <v>0</v>
      </c>
    </row>
    <row r="1683" spans="1:9" ht="13.5" customHeight="1" x14ac:dyDescent="0.25">
      <c r="A1683" s="28">
        <v>3614273662420</v>
      </c>
      <c r="B1683" s="29" t="s">
        <v>1291</v>
      </c>
      <c r="C1683" s="30" t="s">
        <v>199</v>
      </c>
      <c r="D1683" s="31" t="s">
        <v>1292</v>
      </c>
      <c r="E1683" s="51">
        <v>65.19</v>
      </c>
      <c r="F1683" s="32" t="s">
        <v>15</v>
      </c>
      <c r="G1683" s="32">
        <v>0</v>
      </c>
      <c r="H1683" s="22"/>
      <c r="I1683" s="11">
        <f>Table1[[#This Row],[Qty]]*Table1[[#This Row],[Price]]</f>
        <v>0</v>
      </c>
    </row>
    <row r="1684" spans="1:9" ht="13.5" customHeight="1" x14ac:dyDescent="0.25">
      <c r="A1684" s="28">
        <v>3614273604833</v>
      </c>
      <c r="B1684" s="29" t="s">
        <v>1305</v>
      </c>
      <c r="C1684" s="30" t="s">
        <v>199</v>
      </c>
      <c r="D1684" s="31" t="s">
        <v>1306</v>
      </c>
      <c r="E1684" s="51">
        <v>62.01</v>
      </c>
      <c r="F1684" s="32" t="s">
        <v>15</v>
      </c>
      <c r="G1684" s="32">
        <v>0</v>
      </c>
      <c r="H1684" s="12"/>
      <c r="I1684" s="11">
        <f>Table1[[#This Row],[Qty]]*Table1[[#This Row],[Price]]</f>
        <v>0</v>
      </c>
    </row>
    <row r="1685" spans="1:9" ht="13.5" customHeight="1" x14ac:dyDescent="0.25">
      <c r="A1685" s="28">
        <v>3614273636568</v>
      </c>
      <c r="B1685" s="29" t="s">
        <v>1333</v>
      </c>
      <c r="C1685" s="30" t="s">
        <v>199</v>
      </c>
      <c r="D1685" s="31" t="s">
        <v>1334</v>
      </c>
      <c r="E1685" s="51">
        <v>57.77</v>
      </c>
      <c r="F1685" s="32" t="s">
        <v>15</v>
      </c>
      <c r="G1685" s="32">
        <v>0</v>
      </c>
      <c r="H1685" s="22"/>
      <c r="I1685" s="11">
        <f>Table1[[#This Row],[Qty]]*Table1[[#This Row],[Price]]</f>
        <v>0</v>
      </c>
    </row>
    <row r="1686" spans="1:9" ht="13.5" customHeight="1" x14ac:dyDescent="0.25">
      <c r="A1686" s="28">
        <v>3360372058878</v>
      </c>
      <c r="B1686" s="29" t="s">
        <v>1345</v>
      </c>
      <c r="C1686" s="30" t="s">
        <v>199</v>
      </c>
      <c r="D1686" s="31" t="s">
        <v>1346</v>
      </c>
      <c r="E1686" s="51">
        <v>55.77</v>
      </c>
      <c r="F1686" s="32" t="s">
        <v>15</v>
      </c>
      <c r="G1686" s="32" t="s">
        <v>6195</v>
      </c>
      <c r="H1686" s="12"/>
      <c r="I1686" s="11">
        <f>Table1[[#This Row],[Qty]]*Table1[[#This Row],[Price]]</f>
        <v>0</v>
      </c>
    </row>
    <row r="1687" spans="1:9" ht="13.5" customHeight="1" x14ac:dyDescent="0.25">
      <c r="A1687" s="28">
        <v>3614272225671</v>
      </c>
      <c r="B1687" s="29" t="s">
        <v>1381</v>
      </c>
      <c r="C1687" s="30" t="s">
        <v>199</v>
      </c>
      <c r="D1687" s="31" t="s">
        <v>1382</v>
      </c>
      <c r="E1687" s="51">
        <v>50.62</v>
      </c>
      <c r="F1687" s="32" t="s">
        <v>15</v>
      </c>
      <c r="G1687" s="32">
        <v>0</v>
      </c>
      <c r="H1687" s="12"/>
      <c r="I1687" s="11">
        <f>Table1[[#This Row],[Qty]]*Table1[[#This Row],[Price]]</f>
        <v>0</v>
      </c>
    </row>
    <row r="1688" spans="1:9" ht="13.5" customHeight="1" x14ac:dyDescent="0.25">
      <c r="A1688" s="28">
        <v>3360372058939</v>
      </c>
      <c r="B1688" s="29" t="s">
        <v>1623</v>
      </c>
      <c r="C1688" s="30" t="s">
        <v>199</v>
      </c>
      <c r="D1688" s="31" t="s">
        <v>1624</v>
      </c>
      <c r="E1688" s="51">
        <v>27.49</v>
      </c>
      <c r="F1688" s="32" t="s">
        <v>15</v>
      </c>
      <c r="G1688" s="32" t="s">
        <v>6259</v>
      </c>
      <c r="H1688" s="12"/>
      <c r="I1688" s="11">
        <f>Table1[[#This Row],[Qty]]*Table1[[#This Row],[Price]]</f>
        <v>0</v>
      </c>
    </row>
    <row r="1689" spans="1:9" ht="13.5" customHeight="1" x14ac:dyDescent="0.25">
      <c r="A1689" s="28">
        <v>3614273347877</v>
      </c>
      <c r="B1689" s="29" t="s">
        <v>2922</v>
      </c>
      <c r="C1689" s="30" t="s">
        <v>199</v>
      </c>
      <c r="D1689" s="31" t="s">
        <v>2923</v>
      </c>
      <c r="E1689" s="51">
        <v>47.17</v>
      </c>
      <c r="F1689" s="32" t="s">
        <v>15</v>
      </c>
      <c r="G1689" s="32">
        <v>0</v>
      </c>
      <c r="H1689" s="12"/>
      <c r="I1689" s="11">
        <f>Table1[[#This Row],[Qty]]*Table1[[#This Row],[Price]]</f>
        <v>0</v>
      </c>
    </row>
    <row r="1690" spans="1:9" ht="13.5" customHeight="1" x14ac:dyDescent="0.25">
      <c r="A1690" s="28">
        <v>3360372078500</v>
      </c>
      <c r="B1690" s="29" t="s">
        <v>3006</v>
      </c>
      <c r="C1690" s="30" t="s">
        <v>199</v>
      </c>
      <c r="D1690" s="31" t="s">
        <v>3007</v>
      </c>
      <c r="E1690" s="51">
        <v>64.66</v>
      </c>
      <c r="F1690" s="32" t="s">
        <v>15</v>
      </c>
      <c r="G1690" s="32" t="s">
        <v>6667</v>
      </c>
      <c r="H1690" s="22"/>
      <c r="I1690" s="11">
        <f>Table1[[#This Row],[Qty]]*Table1[[#This Row],[Price]]</f>
        <v>0</v>
      </c>
    </row>
    <row r="1691" spans="1:9" ht="13.5" customHeight="1" x14ac:dyDescent="0.25">
      <c r="A1691" s="28">
        <v>3605520381034</v>
      </c>
      <c r="B1691" s="29" t="s">
        <v>3008</v>
      </c>
      <c r="C1691" s="30" t="s">
        <v>199</v>
      </c>
      <c r="D1691" s="31" t="s">
        <v>3009</v>
      </c>
      <c r="E1691" s="51">
        <v>33</v>
      </c>
      <c r="F1691" s="32" t="s">
        <v>15</v>
      </c>
      <c r="G1691" s="32">
        <v>0</v>
      </c>
      <c r="H1691" s="12"/>
      <c r="I1691" s="11">
        <f>Table1[[#This Row],[Qty]]*Table1[[#This Row],[Price]]</f>
        <v>0</v>
      </c>
    </row>
    <row r="1692" spans="1:9" ht="13.5" customHeight="1" x14ac:dyDescent="0.25">
      <c r="A1692" s="28">
        <v>3614273604932</v>
      </c>
      <c r="B1692" s="29" t="s">
        <v>3010</v>
      </c>
      <c r="C1692" s="30" t="s">
        <v>199</v>
      </c>
      <c r="D1692" s="31" t="s">
        <v>3011</v>
      </c>
      <c r="E1692" s="51">
        <v>79.45</v>
      </c>
      <c r="F1692" s="32" t="s">
        <v>15</v>
      </c>
      <c r="G1692" s="32">
        <v>0</v>
      </c>
      <c r="H1692" s="12"/>
      <c r="I1692" s="11">
        <f>Table1[[#This Row],[Qty]]*Table1[[#This Row],[Price]]</f>
        <v>0</v>
      </c>
    </row>
    <row r="1693" spans="1:9" ht="13.5" customHeight="1" x14ac:dyDescent="0.25">
      <c r="A1693" s="28">
        <v>3614273256650</v>
      </c>
      <c r="B1693" s="29" t="s">
        <v>3078</v>
      </c>
      <c r="C1693" s="30" t="s">
        <v>199</v>
      </c>
      <c r="D1693" s="31" t="s">
        <v>3079</v>
      </c>
      <c r="E1693" s="51">
        <v>104</v>
      </c>
      <c r="F1693" s="32" t="s">
        <v>15</v>
      </c>
      <c r="G1693" s="32" t="s">
        <v>7460</v>
      </c>
      <c r="H1693" s="22"/>
      <c r="I1693" s="11">
        <f>Table1[[#This Row],[Qty]]*Table1[[#This Row],[Price]]</f>
        <v>0</v>
      </c>
    </row>
    <row r="1694" spans="1:9" ht="13.5" customHeight="1" x14ac:dyDescent="0.25">
      <c r="A1694" s="28">
        <v>3614273220965</v>
      </c>
      <c r="B1694" s="29" t="s">
        <v>3080</v>
      </c>
      <c r="C1694" s="30" t="s">
        <v>199</v>
      </c>
      <c r="D1694" s="31" t="s">
        <v>3081</v>
      </c>
      <c r="E1694" s="51">
        <v>58.3</v>
      </c>
      <c r="F1694" s="32" t="s">
        <v>15</v>
      </c>
      <c r="G1694" s="32" t="s">
        <v>6684</v>
      </c>
      <c r="H1694" s="22"/>
      <c r="I1694" s="11">
        <f>Table1[[#This Row],[Qty]]*Table1[[#This Row],[Price]]</f>
        <v>0</v>
      </c>
    </row>
    <row r="1695" spans="1:9" ht="13.5" customHeight="1" x14ac:dyDescent="0.25">
      <c r="A1695" s="28">
        <v>3614271994806</v>
      </c>
      <c r="B1695" s="29" t="s">
        <v>3082</v>
      </c>
      <c r="C1695" s="30" t="s">
        <v>199</v>
      </c>
      <c r="D1695" s="31" t="s">
        <v>3083</v>
      </c>
      <c r="E1695" s="51">
        <v>63.07</v>
      </c>
      <c r="F1695" s="32" t="s">
        <v>15</v>
      </c>
      <c r="G1695" s="32" t="s">
        <v>6685</v>
      </c>
      <c r="H1695" s="12"/>
      <c r="I1695" s="11">
        <f>Table1[[#This Row],[Qty]]*Table1[[#This Row],[Price]]</f>
        <v>0</v>
      </c>
    </row>
    <row r="1696" spans="1:9" ht="13.5" customHeight="1" x14ac:dyDescent="0.25">
      <c r="A1696" s="28">
        <v>3360372061809</v>
      </c>
      <c r="B1696" s="29" t="s">
        <v>3651</v>
      </c>
      <c r="C1696" s="30" t="s">
        <v>199</v>
      </c>
      <c r="D1696" s="31" t="s">
        <v>3652</v>
      </c>
      <c r="E1696" s="51">
        <v>43.5</v>
      </c>
      <c r="F1696" s="32" t="s">
        <v>15</v>
      </c>
      <c r="G1696" s="32">
        <v>0</v>
      </c>
      <c r="H1696" s="22"/>
      <c r="I1696" s="11">
        <f>Table1[[#This Row],[Qty]]*Table1[[#This Row],[Price]]</f>
        <v>0</v>
      </c>
    </row>
    <row r="1697" spans="1:9" ht="13.5" customHeight="1" x14ac:dyDescent="0.25">
      <c r="A1697" s="28">
        <v>3614273070249</v>
      </c>
      <c r="B1697" s="29" t="s">
        <v>3953</v>
      </c>
      <c r="C1697" s="30" t="s">
        <v>199</v>
      </c>
      <c r="D1697" s="31" t="s">
        <v>3954</v>
      </c>
      <c r="E1697" s="51">
        <v>39</v>
      </c>
      <c r="F1697" s="32" t="s">
        <v>15</v>
      </c>
      <c r="G1697" s="32" t="s">
        <v>7142</v>
      </c>
      <c r="H1697" s="12"/>
      <c r="I1697" s="11">
        <f>Table1[[#This Row],[Qty]]*Table1[[#This Row],[Price]]</f>
        <v>0</v>
      </c>
    </row>
    <row r="1698" spans="1:9" ht="13.5" customHeight="1" x14ac:dyDescent="0.25">
      <c r="A1698" s="28">
        <v>3605521172525</v>
      </c>
      <c r="B1698" s="29" t="s">
        <v>3968</v>
      </c>
      <c r="C1698" s="33" t="s">
        <v>199</v>
      </c>
      <c r="D1698" s="31" t="s">
        <v>3969</v>
      </c>
      <c r="E1698" s="51">
        <v>71</v>
      </c>
      <c r="F1698" s="32" t="s">
        <v>15</v>
      </c>
      <c r="G1698" s="32" t="s">
        <v>7149</v>
      </c>
      <c r="H1698" s="22"/>
      <c r="I1698" s="11">
        <f>Table1[[#This Row],[Qty]]*Table1[[#This Row],[Price]]</f>
        <v>0</v>
      </c>
    </row>
    <row r="1699" spans="1:9" ht="13.5" customHeight="1" x14ac:dyDescent="0.25">
      <c r="A1699" s="28">
        <v>3605520380259</v>
      </c>
      <c r="B1699" s="29" t="s">
        <v>4877</v>
      </c>
      <c r="C1699" s="30" t="s">
        <v>199</v>
      </c>
      <c r="D1699" s="31" t="s">
        <v>4878</v>
      </c>
      <c r="E1699" s="51">
        <v>41</v>
      </c>
      <c r="F1699" s="32" t="s">
        <v>15</v>
      </c>
      <c r="G1699" s="32">
        <v>0</v>
      </c>
      <c r="H1699" s="14"/>
      <c r="I1699" s="11">
        <f>Table1[[#This Row],[Qty]]*Table1[[#This Row],[Price]]</f>
        <v>0</v>
      </c>
    </row>
    <row r="1700" spans="1:9" ht="13.5" customHeight="1" x14ac:dyDescent="0.25">
      <c r="A1700" s="28">
        <v>3360372058885</v>
      </c>
      <c r="B1700" s="29" t="s">
        <v>5453</v>
      </c>
      <c r="C1700" s="30" t="s">
        <v>199</v>
      </c>
      <c r="D1700" s="31" t="s">
        <v>5454</v>
      </c>
      <c r="E1700" s="51">
        <v>37</v>
      </c>
      <c r="F1700" s="32" t="s">
        <v>15</v>
      </c>
      <c r="G1700" s="32">
        <v>0</v>
      </c>
      <c r="H1700" s="12"/>
      <c r="I1700" s="11">
        <f>Table1[[#This Row],[Qty]]*Table1[[#This Row],[Price]]</f>
        <v>0</v>
      </c>
    </row>
    <row r="1701" spans="1:9" ht="13.5" customHeight="1" x14ac:dyDescent="0.25">
      <c r="A1701" s="28">
        <v>3614273070232</v>
      </c>
      <c r="B1701" s="29" t="s">
        <v>5451</v>
      </c>
      <c r="C1701" s="30" t="s">
        <v>199</v>
      </c>
      <c r="D1701" s="31" t="s">
        <v>5452</v>
      </c>
      <c r="E1701" s="51">
        <v>36</v>
      </c>
      <c r="F1701" s="32" t="s">
        <v>15</v>
      </c>
      <c r="G1701" s="32">
        <v>0</v>
      </c>
      <c r="H1701" s="12"/>
      <c r="I1701" s="11">
        <f>Table1[[#This Row],[Qty]]*Table1[[#This Row],[Price]]</f>
        <v>0</v>
      </c>
    </row>
    <row r="1702" spans="1:9" ht="13.5" customHeight="1" x14ac:dyDescent="0.25">
      <c r="A1702" s="28">
        <v>3605521816658</v>
      </c>
      <c r="B1702" s="29" t="s">
        <v>5392</v>
      </c>
      <c r="C1702" s="33" t="s">
        <v>199</v>
      </c>
      <c r="D1702" s="31" t="s">
        <v>5393</v>
      </c>
      <c r="E1702" s="51">
        <v>11.25</v>
      </c>
      <c r="F1702" s="32" t="s">
        <v>15</v>
      </c>
      <c r="G1702" s="32" t="s">
        <v>7430</v>
      </c>
      <c r="H1702" s="22"/>
      <c r="I1702" s="11">
        <f>Table1[[#This Row],[Qty]]*Table1[[#This Row],[Price]]</f>
        <v>0</v>
      </c>
    </row>
    <row r="1703" spans="1:9" ht="13.5" customHeight="1" x14ac:dyDescent="0.25">
      <c r="A1703" s="28">
        <v>719346215183</v>
      </c>
      <c r="B1703" s="29" t="s">
        <v>2180</v>
      </c>
      <c r="C1703" s="30" t="s">
        <v>2181</v>
      </c>
      <c r="D1703" s="31" t="s">
        <v>2182</v>
      </c>
      <c r="E1703" s="51">
        <v>9.75</v>
      </c>
      <c r="F1703" s="32" t="s">
        <v>15</v>
      </c>
      <c r="G1703" s="32" t="s">
        <v>6392</v>
      </c>
      <c r="H1703" s="12"/>
      <c r="I1703" s="11">
        <f>Table1[[#This Row],[Qty]]*Table1[[#This Row],[Price]]</f>
        <v>0</v>
      </c>
    </row>
    <row r="1704" spans="1:9" ht="13.5" customHeight="1" x14ac:dyDescent="0.25">
      <c r="A1704" s="28">
        <v>3274872487383</v>
      </c>
      <c r="B1704" s="29" t="s">
        <v>211</v>
      </c>
      <c r="C1704" s="30" t="s">
        <v>141</v>
      </c>
      <c r="D1704" s="31" t="s">
        <v>212</v>
      </c>
      <c r="E1704" s="51">
        <v>33.5</v>
      </c>
      <c r="F1704" s="32" t="s">
        <v>15</v>
      </c>
      <c r="G1704" s="32" t="s">
        <v>5687</v>
      </c>
      <c r="H1704" s="22"/>
      <c r="I1704" s="11">
        <f>Table1[[#This Row],[Qty]]*Table1[[#This Row],[Price]]</f>
        <v>0</v>
      </c>
    </row>
    <row r="1705" spans="1:9" ht="13.5" customHeight="1" x14ac:dyDescent="0.25">
      <c r="A1705" s="28">
        <v>3274872448780</v>
      </c>
      <c r="B1705" s="29" t="s">
        <v>282</v>
      </c>
      <c r="C1705" s="30" t="s">
        <v>141</v>
      </c>
      <c r="D1705" s="31" t="s">
        <v>283</v>
      </c>
      <c r="E1705" s="51">
        <v>56</v>
      </c>
      <c r="F1705" s="32" t="s">
        <v>15</v>
      </c>
      <c r="G1705" s="32" t="s">
        <v>5718</v>
      </c>
      <c r="H1705" s="22"/>
      <c r="I1705" s="11">
        <f>Table1[[#This Row],[Qty]]*Table1[[#This Row],[Price]]</f>
        <v>0</v>
      </c>
    </row>
    <row r="1706" spans="1:9" ht="13.5" customHeight="1" x14ac:dyDescent="0.25">
      <c r="A1706" s="28">
        <v>3274872439078</v>
      </c>
      <c r="B1706" s="29" t="s">
        <v>946</v>
      </c>
      <c r="C1706" s="33" t="s">
        <v>141</v>
      </c>
      <c r="D1706" s="31" t="s">
        <v>947</v>
      </c>
      <c r="E1706" s="51">
        <v>60.58</v>
      </c>
      <c r="F1706" s="32" t="s">
        <v>15</v>
      </c>
      <c r="G1706" s="32" t="s">
        <v>6059</v>
      </c>
      <c r="H1706" s="22"/>
      <c r="I1706" s="11">
        <f>Table1[[#This Row],[Qty]]*Table1[[#This Row],[Price]]</f>
        <v>0</v>
      </c>
    </row>
    <row r="1707" spans="1:9" ht="13.5" customHeight="1" x14ac:dyDescent="0.25">
      <c r="A1707" s="28">
        <v>3274872411685</v>
      </c>
      <c r="B1707" s="29" t="s">
        <v>1373</v>
      </c>
      <c r="C1707" s="30" t="s">
        <v>141</v>
      </c>
      <c r="D1707" s="31" t="s">
        <v>1374</v>
      </c>
      <c r="E1707" s="51">
        <v>51.41</v>
      </c>
      <c r="F1707" s="32" t="s">
        <v>15</v>
      </c>
      <c r="G1707" s="32">
        <v>0</v>
      </c>
      <c r="H1707" s="22"/>
      <c r="I1707" s="11">
        <f>Table1[[#This Row],[Qty]]*Table1[[#This Row],[Price]]</f>
        <v>0</v>
      </c>
    </row>
    <row r="1708" spans="1:9" ht="13.5" customHeight="1" x14ac:dyDescent="0.25">
      <c r="A1708" s="28">
        <v>3274872432918</v>
      </c>
      <c r="B1708" s="29" t="s">
        <v>1391</v>
      </c>
      <c r="C1708" s="30" t="s">
        <v>141</v>
      </c>
      <c r="D1708" s="31" t="s">
        <v>1392</v>
      </c>
      <c r="E1708" s="51">
        <v>49.29</v>
      </c>
      <c r="F1708" s="32" t="s">
        <v>15</v>
      </c>
      <c r="G1708" s="32">
        <v>0</v>
      </c>
      <c r="H1708" s="22"/>
      <c r="I1708" s="11">
        <f>Table1[[#This Row],[Qty]]*Table1[[#This Row],[Price]]</f>
        <v>0</v>
      </c>
    </row>
    <row r="1709" spans="1:9" ht="13.5" customHeight="1" x14ac:dyDescent="0.25">
      <c r="A1709" s="28">
        <v>3274872394643</v>
      </c>
      <c r="B1709" s="29" t="s">
        <v>1399</v>
      </c>
      <c r="C1709" s="30" t="s">
        <v>141</v>
      </c>
      <c r="D1709" s="31" t="s">
        <v>1400</v>
      </c>
      <c r="E1709" s="51">
        <v>47.7</v>
      </c>
      <c r="F1709" s="32" t="s">
        <v>15</v>
      </c>
      <c r="G1709" s="32">
        <v>0</v>
      </c>
      <c r="H1709" s="22"/>
      <c r="I1709" s="11">
        <f>Table1[[#This Row],[Qty]]*Table1[[#This Row],[Price]]</f>
        <v>0</v>
      </c>
    </row>
    <row r="1710" spans="1:9" ht="13.5" customHeight="1" x14ac:dyDescent="0.25">
      <c r="A1710" s="28">
        <v>3274872428041</v>
      </c>
      <c r="B1710" s="29" t="s">
        <v>1403</v>
      </c>
      <c r="C1710" s="30" t="s">
        <v>141</v>
      </c>
      <c r="D1710" s="31" t="s">
        <v>1404</v>
      </c>
      <c r="E1710" s="51">
        <v>47.7</v>
      </c>
      <c r="F1710" s="32" t="s">
        <v>15</v>
      </c>
      <c r="G1710" s="32">
        <v>0</v>
      </c>
      <c r="H1710" s="12"/>
      <c r="I1710" s="11">
        <f>Table1[[#This Row],[Qty]]*Table1[[#This Row],[Price]]</f>
        <v>0</v>
      </c>
    </row>
    <row r="1711" spans="1:9" ht="13.5" customHeight="1" x14ac:dyDescent="0.25">
      <c r="A1711" s="28">
        <v>3274872425002</v>
      </c>
      <c r="B1711" s="29" t="s">
        <v>1411</v>
      </c>
      <c r="C1711" s="30" t="s">
        <v>141</v>
      </c>
      <c r="D1711" s="31" t="s">
        <v>1412</v>
      </c>
      <c r="E1711" s="51">
        <v>46.64</v>
      </c>
      <c r="F1711" s="32" t="s">
        <v>15</v>
      </c>
      <c r="G1711" s="32">
        <v>0</v>
      </c>
      <c r="H1711" s="12"/>
      <c r="I1711" s="11">
        <f>Table1[[#This Row],[Qty]]*Table1[[#This Row],[Price]]</f>
        <v>0</v>
      </c>
    </row>
    <row r="1712" spans="1:9" ht="13.5" customHeight="1" x14ac:dyDescent="0.25">
      <c r="A1712" s="28">
        <v>3274872396180</v>
      </c>
      <c r="B1712" s="29" t="s">
        <v>1441</v>
      </c>
      <c r="C1712" s="30" t="s">
        <v>141</v>
      </c>
      <c r="D1712" s="31" t="s">
        <v>1442</v>
      </c>
      <c r="E1712" s="51">
        <v>43.5</v>
      </c>
      <c r="F1712" s="32" t="s">
        <v>15</v>
      </c>
      <c r="G1712" s="32">
        <v>0</v>
      </c>
      <c r="H1712" s="22"/>
      <c r="I1712" s="11">
        <f>Table1[[#This Row],[Qty]]*Table1[[#This Row],[Price]]</f>
        <v>0</v>
      </c>
    </row>
    <row r="1713" spans="1:9" ht="13.5" customHeight="1" x14ac:dyDescent="0.25">
      <c r="A1713" s="28">
        <v>3274870012136</v>
      </c>
      <c r="B1713" s="29" t="s">
        <v>1447</v>
      </c>
      <c r="C1713" s="30" t="s">
        <v>141</v>
      </c>
      <c r="D1713" s="31" t="s">
        <v>1448</v>
      </c>
      <c r="E1713" s="51">
        <v>41.75</v>
      </c>
      <c r="F1713" s="32" t="s">
        <v>15</v>
      </c>
      <c r="G1713" s="32">
        <v>0</v>
      </c>
      <c r="H1713" s="22"/>
      <c r="I1713" s="11">
        <f>Table1[[#This Row],[Qty]]*Table1[[#This Row],[Price]]</f>
        <v>0</v>
      </c>
    </row>
    <row r="1714" spans="1:9" ht="13.5" customHeight="1" x14ac:dyDescent="0.25">
      <c r="A1714" s="28">
        <v>3274872424999</v>
      </c>
      <c r="B1714" s="29" t="s">
        <v>1488</v>
      </c>
      <c r="C1714" s="30" t="s">
        <v>141</v>
      </c>
      <c r="D1714" s="31" t="s">
        <v>1489</v>
      </c>
      <c r="E1714" s="51">
        <v>37</v>
      </c>
      <c r="F1714" s="32" t="s">
        <v>15</v>
      </c>
      <c r="G1714" s="32">
        <v>0</v>
      </c>
      <c r="H1714" s="14"/>
      <c r="I1714" s="11">
        <f>Table1[[#This Row],[Qty]]*Table1[[#This Row],[Price]]</f>
        <v>0</v>
      </c>
    </row>
    <row r="1715" spans="1:9" ht="13.5" customHeight="1" x14ac:dyDescent="0.25">
      <c r="A1715" s="28">
        <v>3274870152566</v>
      </c>
      <c r="B1715" s="29" t="s">
        <v>1729</v>
      </c>
      <c r="C1715" s="30" t="s">
        <v>141</v>
      </c>
      <c r="D1715" s="31" t="s">
        <v>1730</v>
      </c>
      <c r="E1715" s="51">
        <v>22.7</v>
      </c>
      <c r="F1715" s="32" t="s">
        <v>15</v>
      </c>
      <c r="G1715" s="32">
        <v>0</v>
      </c>
      <c r="H1715" s="22"/>
      <c r="I1715" s="11">
        <f>Table1[[#This Row],[Qty]]*Table1[[#This Row],[Price]]</f>
        <v>0</v>
      </c>
    </row>
    <row r="1716" spans="1:9" ht="13.5" customHeight="1" x14ac:dyDescent="0.25">
      <c r="A1716" s="28">
        <v>3274872350823</v>
      </c>
      <c r="B1716" s="29" t="s">
        <v>3012</v>
      </c>
      <c r="C1716" s="30" t="s">
        <v>141</v>
      </c>
      <c r="D1716" s="31" t="s">
        <v>3013</v>
      </c>
      <c r="E1716" s="51">
        <v>29</v>
      </c>
      <c r="F1716" s="32" t="s">
        <v>15</v>
      </c>
      <c r="G1716" s="32">
        <v>0</v>
      </c>
      <c r="H1716" s="22"/>
      <c r="I1716" s="11">
        <f>Table1[[#This Row],[Qty]]*Table1[[#This Row],[Price]]</f>
        <v>0</v>
      </c>
    </row>
    <row r="1717" spans="1:9" ht="13.5" customHeight="1" x14ac:dyDescent="0.25">
      <c r="A1717" s="28">
        <v>3274872389977</v>
      </c>
      <c r="B1717" s="29" t="s">
        <v>3014</v>
      </c>
      <c r="C1717" s="33" t="s">
        <v>141</v>
      </c>
      <c r="D1717" s="31" t="s">
        <v>3015</v>
      </c>
      <c r="E1717" s="51">
        <v>41.75</v>
      </c>
      <c r="F1717" s="32" t="s">
        <v>15</v>
      </c>
      <c r="G1717" s="32" t="s">
        <v>6668</v>
      </c>
      <c r="H1717" s="22"/>
      <c r="I1717" s="11">
        <f>Table1[[#This Row],[Qty]]*Table1[[#This Row],[Price]]</f>
        <v>0</v>
      </c>
    </row>
    <row r="1718" spans="1:9" ht="13.5" customHeight="1" x14ac:dyDescent="0.25">
      <c r="A1718" s="28">
        <v>3274872367807</v>
      </c>
      <c r="B1718" s="29" t="s">
        <v>3084</v>
      </c>
      <c r="C1718" s="30" t="s">
        <v>141</v>
      </c>
      <c r="D1718" s="31" t="s">
        <v>3085</v>
      </c>
      <c r="E1718" s="51">
        <v>39.5</v>
      </c>
      <c r="F1718" s="32" t="s">
        <v>15</v>
      </c>
      <c r="G1718" s="32" t="s">
        <v>6686</v>
      </c>
      <c r="H1718" s="12"/>
      <c r="I1718" s="11">
        <f>Table1[[#This Row],[Qty]]*Table1[[#This Row],[Price]]</f>
        <v>0</v>
      </c>
    </row>
    <row r="1719" spans="1:9" ht="13.5" customHeight="1" x14ac:dyDescent="0.25">
      <c r="A1719" s="28">
        <v>3274870002717</v>
      </c>
      <c r="B1719" s="29" t="s">
        <v>4566</v>
      </c>
      <c r="C1719" s="30" t="s">
        <v>4567</v>
      </c>
      <c r="D1719" s="31" t="s">
        <v>4568</v>
      </c>
      <c r="E1719" s="51">
        <v>55.12</v>
      </c>
      <c r="F1719" s="32" t="s">
        <v>15</v>
      </c>
      <c r="G1719" s="32"/>
      <c r="H1719" s="12"/>
      <c r="I1719" s="11">
        <f>Table1[[#This Row],[Qty]]*Table1[[#This Row],[Price]]</f>
        <v>0</v>
      </c>
    </row>
    <row r="1720" spans="1:9" ht="13.5" customHeight="1" x14ac:dyDescent="0.25">
      <c r="A1720" s="28">
        <v>3274872369412</v>
      </c>
      <c r="B1720" s="29" t="s">
        <v>5221</v>
      </c>
      <c r="C1720" s="30" t="s">
        <v>4567</v>
      </c>
      <c r="D1720" s="31" t="s">
        <v>5222</v>
      </c>
      <c r="E1720" s="51">
        <v>50.35</v>
      </c>
      <c r="F1720" s="32" t="s">
        <v>15</v>
      </c>
      <c r="G1720" s="32"/>
      <c r="H1720" s="22"/>
      <c r="I1720" s="11">
        <f>Table1[[#This Row],[Qty]]*Table1[[#This Row],[Price]]</f>
        <v>0</v>
      </c>
    </row>
    <row r="1721" spans="1:9" ht="13.5" customHeight="1" x14ac:dyDescent="0.25">
      <c r="A1721" s="28">
        <v>3274878122554</v>
      </c>
      <c r="B1721" s="29" t="s">
        <v>4533</v>
      </c>
      <c r="C1721" s="30" t="s">
        <v>141</v>
      </c>
      <c r="D1721" s="31" t="s">
        <v>4534</v>
      </c>
      <c r="E1721" s="51">
        <v>31</v>
      </c>
      <c r="F1721" s="32" t="s">
        <v>15</v>
      </c>
      <c r="G1721" s="32">
        <v>0</v>
      </c>
      <c r="H1721" s="22"/>
      <c r="I1721" s="11">
        <f>Table1[[#This Row],[Qty]]*Table1[[#This Row],[Price]]</f>
        <v>0</v>
      </c>
    </row>
    <row r="1722" spans="1:9" ht="13.5" customHeight="1" x14ac:dyDescent="0.25">
      <c r="A1722" s="28">
        <v>5055810039189</v>
      </c>
      <c r="B1722" s="29" t="s">
        <v>2558</v>
      </c>
      <c r="C1722" s="30" t="s">
        <v>2559</v>
      </c>
      <c r="D1722" s="31" t="s">
        <v>2560</v>
      </c>
      <c r="E1722" s="51">
        <v>7.5</v>
      </c>
      <c r="F1722" s="32" t="s">
        <v>15</v>
      </c>
      <c r="G1722" s="32">
        <v>0</v>
      </c>
      <c r="H1722" s="12"/>
      <c r="I1722" s="11">
        <f>Table1[[#This Row],[Qty]]*Table1[[#This Row],[Price]]</f>
        <v>0</v>
      </c>
    </row>
    <row r="1723" spans="1:9" ht="13.5" customHeight="1" x14ac:dyDescent="0.25">
      <c r="A1723" s="28">
        <v>5055810039196</v>
      </c>
      <c r="B1723" s="29" t="s">
        <v>2561</v>
      </c>
      <c r="C1723" s="33" t="s">
        <v>2559</v>
      </c>
      <c r="D1723" s="31" t="s">
        <v>2562</v>
      </c>
      <c r="E1723" s="51">
        <v>7.5</v>
      </c>
      <c r="F1723" s="32" t="s">
        <v>15</v>
      </c>
      <c r="G1723" s="32" t="s">
        <v>6518</v>
      </c>
      <c r="H1723" s="22"/>
      <c r="I1723" s="11">
        <f>Table1[[#This Row],[Qty]]*Table1[[#This Row],[Price]]</f>
        <v>0</v>
      </c>
    </row>
    <row r="1724" spans="1:9" ht="13.5" customHeight="1" x14ac:dyDescent="0.25">
      <c r="A1724" s="28">
        <v>5055810099466</v>
      </c>
      <c r="B1724" s="29" t="s">
        <v>2563</v>
      </c>
      <c r="C1724" s="30" t="s">
        <v>2559</v>
      </c>
      <c r="D1724" s="31" t="s">
        <v>2564</v>
      </c>
      <c r="E1724" s="51">
        <v>7.5</v>
      </c>
      <c r="F1724" s="32" t="s">
        <v>15</v>
      </c>
      <c r="G1724" s="32" t="s">
        <v>6519</v>
      </c>
      <c r="H1724" s="12"/>
      <c r="I1724" s="11">
        <f>Table1[[#This Row],[Qty]]*Table1[[#This Row],[Price]]</f>
        <v>0</v>
      </c>
    </row>
    <row r="1725" spans="1:9" ht="13.5" customHeight="1" x14ac:dyDescent="0.25">
      <c r="A1725" s="28">
        <v>5055810039141</v>
      </c>
      <c r="B1725" s="29" t="s">
        <v>2565</v>
      </c>
      <c r="C1725" s="30" t="s">
        <v>2559</v>
      </c>
      <c r="D1725" s="31" t="s">
        <v>2566</v>
      </c>
      <c r="E1725" s="51">
        <v>7.5</v>
      </c>
      <c r="F1725" s="32" t="s">
        <v>15</v>
      </c>
      <c r="G1725" s="32">
        <v>0</v>
      </c>
      <c r="H1725" s="22"/>
      <c r="I1725" s="11">
        <f>Table1[[#This Row],[Qty]]*Table1[[#This Row],[Price]]</f>
        <v>0</v>
      </c>
    </row>
    <row r="1726" spans="1:9" ht="13.5" customHeight="1" x14ac:dyDescent="0.25">
      <c r="A1726" s="28">
        <v>5055810039172</v>
      </c>
      <c r="B1726" s="29" t="s">
        <v>2567</v>
      </c>
      <c r="C1726" s="30" t="s">
        <v>2559</v>
      </c>
      <c r="D1726" s="31" t="s">
        <v>2568</v>
      </c>
      <c r="E1726" s="51">
        <v>7.5</v>
      </c>
      <c r="F1726" s="32" t="s">
        <v>15</v>
      </c>
      <c r="G1726" s="32" t="s">
        <v>6520</v>
      </c>
      <c r="H1726" s="22"/>
      <c r="I1726" s="11">
        <f>Table1[[#This Row],[Qty]]*Table1[[#This Row],[Price]]</f>
        <v>0</v>
      </c>
    </row>
    <row r="1727" spans="1:9" ht="13.5" customHeight="1" x14ac:dyDescent="0.25">
      <c r="A1727" s="28">
        <v>5055810099404</v>
      </c>
      <c r="B1727" s="29" t="s">
        <v>2569</v>
      </c>
      <c r="C1727" s="33" t="s">
        <v>2559</v>
      </c>
      <c r="D1727" s="31" t="s">
        <v>2570</v>
      </c>
      <c r="E1727" s="51">
        <v>7.5</v>
      </c>
      <c r="F1727" s="32" t="s">
        <v>15</v>
      </c>
      <c r="G1727" s="32" t="s">
        <v>6521</v>
      </c>
      <c r="H1727" s="22"/>
      <c r="I1727" s="11">
        <f>Table1[[#This Row],[Qty]]*Table1[[#This Row],[Price]]</f>
        <v>0</v>
      </c>
    </row>
    <row r="1728" spans="1:9" ht="13.5" customHeight="1" x14ac:dyDescent="0.25">
      <c r="A1728" s="28">
        <v>5055810099411</v>
      </c>
      <c r="B1728" s="29" t="s">
        <v>2571</v>
      </c>
      <c r="C1728" s="30" t="s">
        <v>2559</v>
      </c>
      <c r="D1728" s="31" t="s">
        <v>2572</v>
      </c>
      <c r="E1728" s="51">
        <v>7.5</v>
      </c>
      <c r="F1728" s="32" t="s">
        <v>15</v>
      </c>
      <c r="G1728" s="32" t="s">
        <v>6522</v>
      </c>
      <c r="H1728" s="12"/>
      <c r="I1728" s="11">
        <f>Table1[[#This Row],[Qty]]*Table1[[#This Row],[Price]]</f>
        <v>0</v>
      </c>
    </row>
    <row r="1729" spans="1:9" ht="13.5" customHeight="1" x14ac:dyDescent="0.25">
      <c r="A1729" s="28">
        <v>5055810099428</v>
      </c>
      <c r="B1729" s="29" t="s">
        <v>2573</v>
      </c>
      <c r="C1729" s="30" t="s">
        <v>2559</v>
      </c>
      <c r="D1729" s="31" t="s">
        <v>2574</v>
      </c>
      <c r="E1729" s="51">
        <v>7.5</v>
      </c>
      <c r="F1729" s="32" t="s">
        <v>15</v>
      </c>
      <c r="G1729" s="32">
        <v>0</v>
      </c>
      <c r="H1729" s="22"/>
      <c r="I1729" s="11">
        <f>Table1[[#This Row],[Qty]]*Table1[[#This Row],[Price]]</f>
        <v>0</v>
      </c>
    </row>
    <row r="1730" spans="1:9" ht="13.5" customHeight="1" x14ac:dyDescent="0.25">
      <c r="A1730" s="28">
        <v>5055810099435</v>
      </c>
      <c r="B1730" s="29" t="s">
        <v>2575</v>
      </c>
      <c r="C1730" s="30" t="s">
        <v>2559</v>
      </c>
      <c r="D1730" s="31" t="s">
        <v>2576</v>
      </c>
      <c r="E1730" s="51">
        <v>7.5</v>
      </c>
      <c r="F1730" s="32" t="s">
        <v>15</v>
      </c>
      <c r="G1730" s="32" t="s">
        <v>6523</v>
      </c>
      <c r="H1730" s="22"/>
      <c r="I1730" s="11">
        <f>Table1[[#This Row],[Qty]]*Table1[[#This Row],[Price]]</f>
        <v>0</v>
      </c>
    </row>
    <row r="1731" spans="1:9" ht="13.5" customHeight="1" x14ac:dyDescent="0.25">
      <c r="A1731" s="28">
        <v>5055810099503</v>
      </c>
      <c r="B1731" s="29" t="s">
        <v>2577</v>
      </c>
      <c r="C1731" s="30" t="s">
        <v>2559</v>
      </c>
      <c r="D1731" s="31" t="s">
        <v>2578</v>
      </c>
      <c r="E1731" s="51">
        <v>7.5</v>
      </c>
      <c r="F1731" s="32" t="s">
        <v>15</v>
      </c>
      <c r="G1731" s="32" t="s">
        <v>6524</v>
      </c>
      <c r="H1731" s="14"/>
      <c r="I1731" s="11">
        <f>Table1[[#This Row],[Qty]]*Table1[[#This Row],[Price]]</f>
        <v>0</v>
      </c>
    </row>
    <row r="1732" spans="1:9" ht="13.5" customHeight="1" x14ac:dyDescent="0.25">
      <c r="A1732" s="28">
        <v>7640111492108</v>
      </c>
      <c r="B1732" s="29" t="s">
        <v>4798</v>
      </c>
      <c r="C1732" s="30" t="s">
        <v>4799</v>
      </c>
      <c r="D1732" s="31" t="s">
        <v>4800</v>
      </c>
      <c r="E1732" s="51">
        <v>13</v>
      </c>
      <c r="F1732" s="32" t="s">
        <v>15</v>
      </c>
      <c r="G1732" s="32" t="s">
        <v>7427</v>
      </c>
      <c r="H1732" s="14"/>
      <c r="I1732" s="11">
        <f>Table1[[#This Row],[Qty]]*Table1[[#This Row],[Price]]</f>
        <v>0</v>
      </c>
    </row>
    <row r="1733" spans="1:9" ht="13.5" customHeight="1" x14ac:dyDescent="0.25">
      <c r="A1733" s="28">
        <v>7640171192390</v>
      </c>
      <c r="B1733" s="29" t="s">
        <v>4973</v>
      </c>
      <c r="C1733" s="30" t="s">
        <v>4799</v>
      </c>
      <c r="D1733" s="31" t="s">
        <v>4974</v>
      </c>
      <c r="E1733" s="51">
        <v>9.5</v>
      </c>
      <c r="F1733" s="32" t="s">
        <v>15</v>
      </c>
      <c r="G1733" s="32">
        <v>0</v>
      </c>
      <c r="H1733" s="12"/>
      <c r="I1733" s="11">
        <f>Table1[[#This Row],[Qty]]*Table1[[#This Row],[Price]]</f>
        <v>0</v>
      </c>
    </row>
    <row r="1734" spans="1:9" ht="13.5" customHeight="1" x14ac:dyDescent="0.25">
      <c r="A1734" s="28">
        <v>7640111492559</v>
      </c>
      <c r="B1734" s="29" t="s">
        <v>5249</v>
      </c>
      <c r="C1734" s="33" t="s">
        <v>4799</v>
      </c>
      <c r="D1734" s="31" t="s">
        <v>5250</v>
      </c>
      <c r="E1734" s="51">
        <v>7</v>
      </c>
      <c r="F1734" s="32" t="s">
        <v>15</v>
      </c>
      <c r="G1734" s="32">
        <v>0</v>
      </c>
      <c r="H1734" s="22"/>
      <c r="I1734" s="11">
        <f>Table1[[#This Row],[Qty]]*Table1[[#This Row],[Price]]</f>
        <v>0</v>
      </c>
    </row>
    <row r="1735" spans="1:9" ht="13.5" customHeight="1" x14ac:dyDescent="0.25">
      <c r="A1735" s="28">
        <v>8005610328799</v>
      </c>
      <c r="B1735" s="29" t="s">
        <v>257</v>
      </c>
      <c r="C1735" s="30" t="s">
        <v>258</v>
      </c>
      <c r="D1735" s="31" t="s">
        <v>259</v>
      </c>
      <c r="E1735" s="51">
        <v>27.9</v>
      </c>
      <c r="F1735" s="32" t="s">
        <v>15</v>
      </c>
      <c r="G1735" s="32" t="s">
        <v>5708</v>
      </c>
      <c r="H1735" s="12"/>
      <c r="I1735" s="11">
        <f>Table1[[#This Row],[Qty]]*Table1[[#This Row],[Price]]</f>
        <v>0</v>
      </c>
    </row>
    <row r="1736" spans="1:9" ht="13.5" customHeight="1" x14ac:dyDescent="0.25">
      <c r="A1736" s="28">
        <v>737052626383</v>
      </c>
      <c r="B1736" s="29" t="s">
        <v>1224</v>
      </c>
      <c r="C1736" s="30" t="s">
        <v>258</v>
      </c>
      <c r="D1736" s="31" t="s">
        <v>1225</v>
      </c>
      <c r="E1736" s="51">
        <v>77.38</v>
      </c>
      <c r="F1736" s="32" t="s">
        <v>15</v>
      </c>
      <c r="G1736" s="32">
        <v>0</v>
      </c>
      <c r="H1736" s="12"/>
      <c r="I1736" s="11">
        <f>Table1[[#This Row],[Qty]]*Table1[[#This Row],[Price]]</f>
        <v>0</v>
      </c>
    </row>
    <row r="1737" spans="1:9" ht="13.5" customHeight="1" x14ac:dyDescent="0.25">
      <c r="A1737" s="28">
        <v>8005610481005</v>
      </c>
      <c r="B1737" s="29" t="s">
        <v>1252</v>
      </c>
      <c r="C1737" s="30" t="s">
        <v>258</v>
      </c>
      <c r="D1737" s="31" t="s">
        <v>1253</v>
      </c>
      <c r="E1737" s="51">
        <v>68.11</v>
      </c>
      <c r="F1737" s="32" t="s">
        <v>15</v>
      </c>
      <c r="G1737" s="32">
        <v>0</v>
      </c>
      <c r="H1737" s="12"/>
      <c r="I1737" s="11">
        <f>Table1[[#This Row],[Qty]]*Table1[[#This Row],[Price]]</f>
        <v>0</v>
      </c>
    </row>
    <row r="1738" spans="1:9" ht="13.5" customHeight="1" x14ac:dyDescent="0.25">
      <c r="A1738" s="28">
        <v>3616301395089</v>
      </c>
      <c r="B1738" s="29" t="s">
        <v>1272</v>
      </c>
      <c r="C1738" s="30" t="s">
        <v>258</v>
      </c>
      <c r="D1738" s="31" t="s">
        <v>1273</v>
      </c>
      <c r="E1738" s="51">
        <v>66.25</v>
      </c>
      <c r="F1738" s="32" t="s">
        <v>15</v>
      </c>
      <c r="G1738" s="32">
        <v>0</v>
      </c>
      <c r="H1738" s="12"/>
      <c r="I1738" s="11">
        <f>Table1[[#This Row],[Qty]]*Table1[[#This Row],[Price]]</f>
        <v>0</v>
      </c>
    </row>
    <row r="1739" spans="1:9" ht="13.5" customHeight="1" x14ac:dyDescent="0.25">
      <c r="A1739" s="28">
        <v>737052339047</v>
      </c>
      <c r="B1739" s="29" t="s">
        <v>1324</v>
      </c>
      <c r="C1739" s="30" t="s">
        <v>258</v>
      </c>
      <c r="D1739" s="31" t="s">
        <v>1325</v>
      </c>
      <c r="E1739" s="51">
        <v>59.36</v>
      </c>
      <c r="F1739" s="32" t="s">
        <v>15</v>
      </c>
      <c r="G1739" s="32">
        <v>0</v>
      </c>
      <c r="H1739" s="22"/>
      <c r="I1739" s="11">
        <f>Table1[[#This Row],[Qty]]*Table1[[#This Row],[Price]]</f>
        <v>0</v>
      </c>
    </row>
    <row r="1740" spans="1:9" ht="13.5" customHeight="1" x14ac:dyDescent="0.25">
      <c r="A1740" s="28">
        <v>8005610524177</v>
      </c>
      <c r="B1740" s="29" t="s">
        <v>1329</v>
      </c>
      <c r="C1740" s="30" t="s">
        <v>258</v>
      </c>
      <c r="D1740" s="31" t="s">
        <v>1330</v>
      </c>
      <c r="E1740" s="51">
        <v>58.3</v>
      </c>
      <c r="F1740" s="32" t="s">
        <v>15</v>
      </c>
      <c r="G1740" s="32">
        <v>0</v>
      </c>
      <c r="H1740" s="12"/>
      <c r="I1740" s="11">
        <f>Table1[[#This Row],[Qty]]*Table1[[#This Row],[Price]]</f>
        <v>0</v>
      </c>
    </row>
    <row r="1741" spans="1:9" ht="13.5" customHeight="1" x14ac:dyDescent="0.25">
      <c r="A1741" s="28">
        <v>3614227912076</v>
      </c>
      <c r="B1741" s="29" t="s">
        <v>1354</v>
      </c>
      <c r="C1741" s="30" t="s">
        <v>258</v>
      </c>
      <c r="D1741" s="31" t="s">
        <v>1355</v>
      </c>
      <c r="E1741" s="51">
        <v>54.59</v>
      </c>
      <c r="F1741" s="32" t="s">
        <v>15</v>
      </c>
      <c r="G1741" s="32">
        <v>0</v>
      </c>
      <c r="H1741" s="12"/>
      <c r="I1741" s="11">
        <f>Table1[[#This Row],[Qty]]*Table1[[#This Row],[Price]]</f>
        <v>0</v>
      </c>
    </row>
    <row r="1742" spans="1:9" ht="13.5" customHeight="1" x14ac:dyDescent="0.25">
      <c r="A1742" s="28">
        <v>3616304175916</v>
      </c>
      <c r="B1742" s="29" t="s">
        <v>2412</v>
      </c>
      <c r="C1742" s="30" t="s">
        <v>258</v>
      </c>
      <c r="D1742" s="31" t="s">
        <v>2413</v>
      </c>
      <c r="E1742" s="51">
        <v>71.02</v>
      </c>
      <c r="F1742" s="32" t="s">
        <v>15</v>
      </c>
      <c r="G1742" s="32">
        <v>0</v>
      </c>
      <c r="H1742" s="12"/>
      <c r="I1742" s="11">
        <f>Table1[[#This Row],[Qty]]*Table1[[#This Row],[Price]]</f>
        <v>0</v>
      </c>
    </row>
    <row r="1743" spans="1:9" ht="13.5" customHeight="1" x14ac:dyDescent="0.25">
      <c r="A1743" s="28">
        <v>3616304249716</v>
      </c>
      <c r="B1743" s="29" t="s">
        <v>2414</v>
      </c>
      <c r="C1743" s="30" t="s">
        <v>258</v>
      </c>
      <c r="D1743" s="31" t="s">
        <v>2415</v>
      </c>
      <c r="E1743" s="51">
        <v>71.16</v>
      </c>
      <c r="F1743" s="32" t="s">
        <v>15</v>
      </c>
      <c r="G1743" s="32">
        <v>0</v>
      </c>
      <c r="H1743" s="12"/>
      <c r="I1743" s="11">
        <f>Table1[[#This Row],[Qty]]*Table1[[#This Row],[Price]]</f>
        <v>0</v>
      </c>
    </row>
    <row r="1744" spans="1:9" ht="13.5" customHeight="1" x14ac:dyDescent="0.25">
      <c r="A1744" s="28">
        <v>3614229382129</v>
      </c>
      <c r="B1744" s="29" t="s">
        <v>3020</v>
      </c>
      <c r="C1744" s="30" t="s">
        <v>258</v>
      </c>
      <c r="D1744" s="31" t="s">
        <v>3021</v>
      </c>
      <c r="E1744" s="51">
        <v>62.28</v>
      </c>
      <c r="F1744" s="32" t="s">
        <v>15</v>
      </c>
      <c r="G1744" s="32">
        <v>0</v>
      </c>
      <c r="H1744" s="12"/>
      <c r="I1744" s="11">
        <f>Table1[[#This Row],[Qty]]*Table1[[#This Row],[Price]]</f>
        <v>0</v>
      </c>
    </row>
    <row r="1745" spans="1:9" ht="13.5" customHeight="1" x14ac:dyDescent="0.25">
      <c r="A1745" s="28">
        <v>3616302514298</v>
      </c>
      <c r="B1745" s="29" t="s">
        <v>3024</v>
      </c>
      <c r="C1745" s="30" t="s">
        <v>258</v>
      </c>
      <c r="D1745" s="31" t="s">
        <v>3025</v>
      </c>
      <c r="E1745" s="51">
        <v>57.24</v>
      </c>
      <c r="F1745" s="32" t="s">
        <v>15</v>
      </c>
      <c r="G1745" s="32">
        <v>0</v>
      </c>
      <c r="H1745" s="12"/>
      <c r="I1745" s="11">
        <f>Table1[[#This Row],[Qty]]*Table1[[#This Row],[Price]]</f>
        <v>0</v>
      </c>
    </row>
    <row r="1746" spans="1:9" ht="13.5" customHeight="1" x14ac:dyDescent="0.25">
      <c r="A1746" s="48">
        <v>3616301976141</v>
      </c>
      <c r="B1746" s="41" t="s">
        <v>3026</v>
      </c>
      <c r="C1746" s="6" t="s">
        <v>258</v>
      </c>
      <c r="D1746" t="s">
        <v>3027</v>
      </c>
      <c r="E1746" s="52">
        <v>61.48</v>
      </c>
      <c r="F1746" s="49" t="s">
        <v>15</v>
      </c>
      <c r="G1746" s="49" t="s">
        <v>6672</v>
      </c>
      <c r="H1746" s="22"/>
      <c r="I1746" s="11">
        <f>Table1[[#This Row],[Qty]]*Table1[[#This Row],[Price]]</f>
        <v>0</v>
      </c>
    </row>
    <row r="1747" spans="1:9" ht="13.5" customHeight="1" x14ac:dyDescent="0.25">
      <c r="A1747" s="28">
        <v>3614227912175</v>
      </c>
      <c r="B1747" s="29" t="s">
        <v>3086</v>
      </c>
      <c r="C1747" s="30" t="s">
        <v>258</v>
      </c>
      <c r="D1747" s="31" t="s">
        <v>3087</v>
      </c>
      <c r="E1747" s="51">
        <v>71.02</v>
      </c>
      <c r="F1747" s="32" t="s">
        <v>15</v>
      </c>
      <c r="G1747" s="32" t="s">
        <v>6687</v>
      </c>
      <c r="H1747" s="14"/>
      <c r="I1747" s="11">
        <f>Table1[[#This Row],[Qty]]*Table1[[#This Row],[Price]]</f>
        <v>0</v>
      </c>
    </row>
    <row r="1748" spans="1:9" ht="13.5" customHeight="1" x14ac:dyDescent="0.25">
      <c r="A1748" s="28">
        <v>3614228958578</v>
      </c>
      <c r="B1748" s="29" t="s">
        <v>3088</v>
      </c>
      <c r="C1748" s="30" t="s">
        <v>258</v>
      </c>
      <c r="D1748" s="31" t="s">
        <v>3089</v>
      </c>
      <c r="E1748" s="51">
        <v>47.17</v>
      </c>
      <c r="F1748" s="32" t="s">
        <v>15</v>
      </c>
      <c r="G1748" s="32" t="s">
        <v>6688</v>
      </c>
      <c r="H1748" s="22"/>
      <c r="I1748" s="11">
        <f>Table1[[#This Row],[Qty]]*Table1[[#This Row],[Price]]</f>
        <v>0</v>
      </c>
    </row>
    <row r="1749" spans="1:9" ht="13.5" customHeight="1" x14ac:dyDescent="0.25">
      <c r="A1749" s="28">
        <v>8005610344157</v>
      </c>
      <c r="B1749" s="29" t="s">
        <v>3866</v>
      </c>
      <c r="C1749" s="30" t="s">
        <v>258</v>
      </c>
      <c r="D1749" s="31" t="s">
        <v>3867</v>
      </c>
      <c r="E1749" s="51">
        <v>56.57</v>
      </c>
      <c r="F1749" s="32" t="s">
        <v>15</v>
      </c>
      <c r="G1749" s="32" t="s">
        <v>7104</v>
      </c>
      <c r="H1749" s="22"/>
      <c r="I1749" s="11">
        <f>Table1[[#This Row],[Qty]]*Table1[[#This Row],[Price]]</f>
        <v>0</v>
      </c>
    </row>
    <row r="1750" spans="1:9" ht="13.5" customHeight="1" x14ac:dyDescent="0.25">
      <c r="A1750" s="28">
        <v>3614228958691</v>
      </c>
      <c r="B1750" s="29" t="s">
        <v>4571</v>
      </c>
      <c r="C1750" s="30" t="s">
        <v>258</v>
      </c>
      <c r="D1750" s="31" t="s">
        <v>4572</v>
      </c>
      <c r="E1750" s="51">
        <v>87.45</v>
      </c>
      <c r="F1750" s="32" t="s">
        <v>15</v>
      </c>
      <c r="G1750" s="32">
        <v>0</v>
      </c>
      <c r="H1750" s="22"/>
      <c r="I1750" s="11">
        <f>Table1[[#This Row],[Qty]]*Table1[[#This Row],[Price]]</f>
        <v>0</v>
      </c>
    </row>
    <row r="1751" spans="1:9" ht="13.5" customHeight="1" x14ac:dyDescent="0.25">
      <c r="A1751" s="28">
        <v>3616303048181</v>
      </c>
      <c r="B1751" s="29" t="s">
        <v>5235</v>
      </c>
      <c r="C1751" s="30" t="s">
        <v>258</v>
      </c>
      <c r="D1751" s="31" t="s">
        <v>5236</v>
      </c>
      <c r="E1751" s="51">
        <v>72.88</v>
      </c>
      <c r="F1751" s="32" t="s">
        <v>15</v>
      </c>
      <c r="G1751" s="32">
        <v>0</v>
      </c>
      <c r="H1751" s="22"/>
      <c r="I1751" s="11">
        <f>Table1[[#This Row],[Qty]]*Table1[[#This Row],[Price]]</f>
        <v>0</v>
      </c>
    </row>
    <row r="1752" spans="1:9" ht="13.5" customHeight="1" x14ac:dyDescent="0.25">
      <c r="A1752" s="28">
        <v>8005610524146</v>
      </c>
      <c r="B1752" s="29" t="s">
        <v>4781</v>
      </c>
      <c r="C1752" s="30" t="s">
        <v>258</v>
      </c>
      <c r="D1752" s="31" t="s">
        <v>4782</v>
      </c>
      <c r="E1752" s="51">
        <v>53</v>
      </c>
      <c r="F1752" s="32" t="s">
        <v>15</v>
      </c>
      <c r="G1752" s="32">
        <v>0</v>
      </c>
      <c r="H1752" s="12"/>
      <c r="I1752" s="11">
        <f>Table1[[#This Row],[Qty]]*Table1[[#This Row],[Price]]</f>
        <v>0</v>
      </c>
    </row>
    <row r="1753" spans="1:9" ht="13.5" customHeight="1" x14ac:dyDescent="0.25">
      <c r="A1753" s="28">
        <v>3616301976097</v>
      </c>
      <c r="B1753" s="29" t="s">
        <v>4581</v>
      </c>
      <c r="C1753" s="30" t="s">
        <v>258</v>
      </c>
      <c r="D1753" s="31" t="s">
        <v>4582</v>
      </c>
      <c r="E1753" s="51">
        <v>51.94</v>
      </c>
      <c r="F1753" s="32" t="s">
        <v>15</v>
      </c>
      <c r="G1753" s="32">
        <v>0</v>
      </c>
      <c r="H1753" s="22"/>
      <c r="I1753" s="11">
        <f>Table1[[#This Row],[Qty]]*Table1[[#This Row],[Price]]</f>
        <v>0</v>
      </c>
    </row>
    <row r="1754" spans="1:9" ht="13.5" customHeight="1" x14ac:dyDescent="0.25">
      <c r="A1754" s="28">
        <v>737052339207</v>
      </c>
      <c r="B1754" s="29" t="s">
        <v>4896</v>
      </c>
      <c r="C1754" s="30" t="s">
        <v>258</v>
      </c>
      <c r="D1754" s="31" t="s">
        <v>4897</v>
      </c>
      <c r="E1754" s="51">
        <v>41</v>
      </c>
      <c r="F1754" s="32" t="s">
        <v>15</v>
      </c>
      <c r="G1754" s="32" t="s">
        <v>7389</v>
      </c>
      <c r="H1754" s="22"/>
      <c r="I1754" s="11">
        <f>Table1[[#This Row],[Qty]]*Table1[[#This Row],[Price]]</f>
        <v>0</v>
      </c>
    </row>
    <row r="1755" spans="1:9" ht="13.5" customHeight="1" x14ac:dyDescent="0.25">
      <c r="A1755" s="28">
        <v>8005610481081</v>
      </c>
      <c r="B1755" s="29" t="s">
        <v>5353</v>
      </c>
      <c r="C1755" s="30" t="s">
        <v>258</v>
      </c>
      <c r="D1755" s="31" t="s">
        <v>5354</v>
      </c>
      <c r="E1755" s="51">
        <v>10.5</v>
      </c>
      <c r="F1755" s="32" t="s">
        <v>15</v>
      </c>
      <c r="G1755" s="32">
        <v>0</v>
      </c>
      <c r="H1755" s="22"/>
      <c r="I1755" s="11">
        <f>Table1[[#This Row],[Qty]]*Table1[[#This Row],[Price]]</f>
        <v>0</v>
      </c>
    </row>
    <row r="1756" spans="1:9" ht="13.5" customHeight="1" x14ac:dyDescent="0.25">
      <c r="A1756" s="28">
        <v>737052925127</v>
      </c>
      <c r="B1756" s="29" t="s">
        <v>5380</v>
      </c>
      <c r="C1756" s="30" t="s">
        <v>258</v>
      </c>
      <c r="D1756" s="31" t="s">
        <v>5381</v>
      </c>
      <c r="E1756" s="51">
        <v>10</v>
      </c>
      <c r="F1756" s="32" t="s">
        <v>15</v>
      </c>
      <c r="G1756" s="32" t="s">
        <v>7431</v>
      </c>
      <c r="H1756" s="12"/>
      <c r="I1756" s="11">
        <f>Table1[[#This Row],[Qty]]*Table1[[#This Row],[Price]]</f>
        <v>0</v>
      </c>
    </row>
    <row r="1757" spans="1:9" ht="13.5" customHeight="1" x14ac:dyDescent="0.25">
      <c r="A1757" s="28">
        <v>3346470131408</v>
      </c>
      <c r="B1757" s="29" t="s">
        <v>1240</v>
      </c>
      <c r="C1757" s="30" t="s">
        <v>1241</v>
      </c>
      <c r="D1757" s="31" t="s">
        <v>1242</v>
      </c>
      <c r="E1757" s="51">
        <v>73.14</v>
      </c>
      <c r="F1757" s="32" t="s">
        <v>15</v>
      </c>
      <c r="G1757" s="32">
        <v>0</v>
      </c>
      <c r="H1757" s="22"/>
      <c r="I1757" s="11">
        <f>Table1[[#This Row],[Qty]]*Table1[[#This Row],[Price]]</f>
        <v>0</v>
      </c>
    </row>
    <row r="1758" spans="1:9" ht="13.5" customHeight="1" x14ac:dyDescent="0.25">
      <c r="A1758" s="28">
        <v>3346470301863</v>
      </c>
      <c r="B1758" s="29" t="s">
        <v>3022</v>
      </c>
      <c r="C1758" s="30" t="s">
        <v>1241</v>
      </c>
      <c r="D1758" s="31" t="s">
        <v>3023</v>
      </c>
      <c r="E1758" s="51">
        <v>44</v>
      </c>
      <c r="F1758" s="32" t="s">
        <v>15</v>
      </c>
      <c r="G1758" s="32" t="s">
        <v>6671</v>
      </c>
      <c r="H1758" s="22"/>
      <c r="I1758" s="11">
        <f>Table1[[#This Row],[Qty]]*Table1[[#This Row],[Price]]</f>
        <v>0</v>
      </c>
    </row>
    <row r="1759" spans="1:9" ht="13.5" customHeight="1" x14ac:dyDescent="0.25">
      <c r="A1759" s="28">
        <v>3346470114746</v>
      </c>
      <c r="B1759" s="29" t="s">
        <v>5211</v>
      </c>
      <c r="C1759" s="30" t="s">
        <v>1241</v>
      </c>
      <c r="D1759" s="31" t="s">
        <v>5212</v>
      </c>
      <c r="E1759" s="51">
        <v>46.11</v>
      </c>
      <c r="F1759" s="32" t="s">
        <v>15</v>
      </c>
      <c r="G1759" s="32">
        <v>0</v>
      </c>
      <c r="H1759" s="22"/>
      <c r="I1759" s="11">
        <f>Table1[[#This Row],[Qty]]*Table1[[#This Row],[Price]]</f>
        <v>0</v>
      </c>
    </row>
    <row r="1760" spans="1:9" ht="13.5" customHeight="1" x14ac:dyDescent="0.25">
      <c r="A1760" s="28">
        <v>3346470117662</v>
      </c>
      <c r="B1760" s="29" t="s">
        <v>5135</v>
      </c>
      <c r="C1760" s="30" t="s">
        <v>1241</v>
      </c>
      <c r="D1760" s="31" t="s">
        <v>5136</v>
      </c>
      <c r="E1760" s="51">
        <v>19.5</v>
      </c>
      <c r="F1760" s="32" t="s">
        <v>15</v>
      </c>
      <c r="G1760" s="32">
        <v>0</v>
      </c>
      <c r="H1760" s="13"/>
      <c r="I1760" s="11">
        <f>Table1[[#This Row],[Qty]]*Table1[[#This Row],[Price]]</f>
        <v>0</v>
      </c>
    </row>
    <row r="1761" spans="1:9" ht="13.5" customHeight="1" x14ac:dyDescent="0.25">
      <c r="A1761" s="28">
        <v>85715327901</v>
      </c>
      <c r="B1761" s="29" t="s">
        <v>69</v>
      </c>
      <c r="C1761" s="30" t="s">
        <v>70</v>
      </c>
      <c r="D1761" s="31" t="s">
        <v>71</v>
      </c>
      <c r="E1761" s="51">
        <v>15</v>
      </c>
      <c r="F1761" s="32" t="s">
        <v>15</v>
      </c>
      <c r="G1761" s="32" t="s">
        <v>5628</v>
      </c>
      <c r="H1761" s="12"/>
      <c r="I1761" s="11">
        <f>Table1[[#This Row],[Qty]]*Table1[[#This Row],[Price]]</f>
        <v>0</v>
      </c>
    </row>
    <row r="1762" spans="1:9" ht="13.5" customHeight="1" x14ac:dyDescent="0.25">
      <c r="A1762" s="28">
        <v>85715322111</v>
      </c>
      <c r="B1762" s="29" t="s">
        <v>153</v>
      </c>
      <c r="C1762" s="30" t="s">
        <v>70</v>
      </c>
      <c r="D1762" s="31" t="s">
        <v>154</v>
      </c>
      <c r="E1762" s="51">
        <v>15</v>
      </c>
      <c r="F1762" s="32" t="s">
        <v>15</v>
      </c>
      <c r="G1762" s="32" t="s">
        <v>5662</v>
      </c>
      <c r="H1762" s="22"/>
      <c r="I1762" s="11">
        <f>Table1[[#This Row],[Qty]]*Table1[[#This Row],[Price]]</f>
        <v>0</v>
      </c>
    </row>
    <row r="1763" spans="1:9" ht="13.5" customHeight="1" x14ac:dyDescent="0.25">
      <c r="A1763" s="28">
        <v>85715329844</v>
      </c>
      <c r="B1763" s="29" t="s">
        <v>608</v>
      </c>
      <c r="C1763" s="30" t="s">
        <v>70</v>
      </c>
      <c r="D1763" s="31" t="s">
        <v>609</v>
      </c>
      <c r="E1763" s="51">
        <v>23.25</v>
      </c>
      <c r="F1763" s="32" t="s">
        <v>15</v>
      </c>
      <c r="G1763" s="32">
        <v>0</v>
      </c>
      <c r="H1763" s="12"/>
      <c r="I1763" s="11">
        <f>Table1[[#This Row],[Qty]]*Table1[[#This Row],[Price]]</f>
        <v>0</v>
      </c>
    </row>
    <row r="1764" spans="1:9" ht="13.5" customHeight="1" x14ac:dyDescent="0.25">
      <c r="A1764" s="28">
        <v>85715321695</v>
      </c>
      <c r="B1764" s="29" t="s">
        <v>795</v>
      </c>
      <c r="C1764" s="30" t="s">
        <v>70</v>
      </c>
      <c r="D1764" s="31" t="s">
        <v>796</v>
      </c>
      <c r="E1764" s="51">
        <v>17.11</v>
      </c>
      <c r="F1764" s="32" t="s">
        <v>15</v>
      </c>
      <c r="G1764" s="32" t="s">
        <v>5993</v>
      </c>
      <c r="H1764" s="12"/>
      <c r="I1764" s="11">
        <f>Table1[[#This Row],[Qty]]*Table1[[#This Row],[Price]]</f>
        <v>0</v>
      </c>
    </row>
    <row r="1765" spans="1:9" ht="13.5" customHeight="1" x14ac:dyDescent="0.25">
      <c r="A1765" s="28">
        <v>85715320216</v>
      </c>
      <c r="B1765" s="29" t="s">
        <v>1002</v>
      </c>
      <c r="C1765" s="30" t="s">
        <v>70</v>
      </c>
      <c r="D1765" s="31" t="s">
        <v>1003</v>
      </c>
      <c r="E1765" s="51">
        <v>16.670000000000002</v>
      </c>
      <c r="F1765" s="32" t="s">
        <v>15</v>
      </c>
      <c r="G1765" s="32" t="s">
        <v>6085</v>
      </c>
      <c r="H1765" s="22"/>
      <c r="I1765" s="11">
        <f>Table1[[#This Row],[Qty]]*Table1[[#This Row],[Price]]</f>
        <v>0</v>
      </c>
    </row>
    <row r="1766" spans="1:9" ht="13.5" customHeight="1" x14ac:dyDescent="0.25">
      <c r="A1766" s="28">
        <v>85715329882</v>
      </c>
      <c r="B1766" s="29" t="s">
        <v>1725</v>
      </c>
      <c r="C1766" s="30" t="s">
        <v>70</v>
      </c>
      <c r="D1766" s="31" t="s">
        <v>1726</v>
      </c>
      <c r="E1766" s="51">
        <v>23</v>
      </c>
      <c r="F1766" s="32" t="s">
        <v>15</v>
      </c>
      <c r="G1766" s="32" t="s">
        <v>7501</v>
      </c>
      <c r="H1766" s="22"/>
      <c r="I1766" s="11">
        <f>Table1[[#This Row],[Qty]]*Table1[[#This Row],[Price]]</f>
        <v>0</v>
      </c>
    </row>
    <row r="1767" spans="1:9" ht="13.5" customHeight="1" x14ac:dyDescent="0.25">
      <c r="A1767" s="28">
        <v>85715327802</v>
      </c>
      <c r="B1767" s="29" t="s">
        <v>1835</v>
      </c>
      <c r="C1767" s="33" t="s">
        <v>70</v>
      </c>
      <c r="D1767" s="31" t="s">
        <v>1836</v>
      </c>
      <c r="E1767" s="51">
        <v>18.5</v>
      </c>
      <c r="F1767" s="32" t="s">
        <v>15</v>
      </c>
      <c r="G1767" s="32">
        <v>0</v>
      </c>
      <c r="H1767" s="22"/>
      <c r="I1767" s="11">
        <f>Table1[[#This Row],[Qty]]*Table1[[#This Row],[Price]]</f>
        <v>0</v>
      </c>
    </row>
    <row r="1768" spans="1:9" ht="13.5" customHeight="1" x14ac:dyDescent="0.25">
      <c r="A1768" s="28">
        <v>85715321312</v>
      </c>
      <c r="B1768" s="29" t="s">
        <v>1943</v>
      </c>
      <c r="C1768" s="30" t="s">
        <v>70</v>
      </c>
      <c r="D1768" s="31" t="s">
        <v>1944</v>
      </c>
      <c r="E1768" s="51">
        <v>15.5</v>
      </c>
      <c r="F1768" s="32" t="s">
        <v>15</v>
      </c>
      <c r="G1768" s="32" t="s">
        <v>6342</v>
      </c>
      <c r="H1768" s="12"/>
      <c r="I1768" s="11">
        <f>Table1[[#This Row],[Qty]]*Table1[[#This Row],[Price]]</f>
        <v>0</v>
      </c>
    </row>
    <row r="1769" spans="1:9" ht="13.5" customHeight="1" x14ac:dyDescent="0.25">
      <c r="A1769" s="28">
        <v>85715321916</v>
      </c>
      <c r="B1769" s="29" t="s">
        <v>1961</v>
      </c>
      <c r="C1769" s="30" t="s">
        <v>70</v>
      </c>
      <c r="D1769" s="31" t="s">
        <v>1962</v>
      </c>
      <c r="E1769" s="51">
        <v>15.25</v>
      </c>
      <c r="F1769" s="32" t="s">
        <v>15</v>
      </c>
      <c r="G1769" s="32">
        <v>0</v>
      </c>
      <c r="H1769" s="12"/>
      <c r="I1769" s="11">
        <f>Table1[[#This Row],[Qty]]*Table1[[#This Row],[Price]]</f>
        <v>0</v>
      </c>
    </row>
    <row r="1770" spans="1:9" ht="13.5" customHeight="1" x14ac:dyDescent="0.25">
      <c r="A1770" s="28">
        <v>85715331519</v>
      </c>
      <c r="B1770" s="29" t="s">
        <v>5572</v>
      </c>
      <c r="C1770" s="33" t="s">
        <v>70</v>
      </c>
      <c r="D1770" s="31" t="s">
        <v>5573</v>
      </c>
      <c r="E1770" s="51">
        <v>16.41</v>
      </c>
      <c r="F1770" s="32" t="s">
        <v>15</v>
      </c>
      <c r="G1770" s="32" t="s">
        <v>7476</v>
      </c>
      <c r="H1770" s="22"/>
      <c r="I1770" s="11">
        <f>Table1[[#This Row],[Qty]]*Table1[[#This Row],[Price]]</f>
        <v>0</v>
      </c>
    </row>
    <row r="1771" spans="1:9" ht="13.5" customHeight="1" x14ac:dyDescent="0.25">
      <c r="A1771" s="28">
        <v>85715333001</v>
      </c>
      <c r="B1771" s="29" t="s">
        <v>5574</v>
      </c>
      <c r="C1771" s="30" t="s">
        <v>70</v>
      </c>
      <c r="D1771" s="31" t="s">
        <v>5575</v>
      </c>
      <c r="E1771" s="51">
        <v>21.16</v>
      </c>
      <c r="F1771" s="32" t="s">
        <v>15</v>
      </c>
      <c r="G1771" s="32" t="s">
        <v>7477</v>
      </c>
      <c r="H1771" s="12"/>
      <c r="I1771" s="11">
        <f>Table1[[#This Row],[Qty]]*Table1[[#This Row],[Price]]</f>
        <v>0</v>
      </c>
    </row>
    <row r="1772" spans="1:9" ht="13.5" customHeight="1" x14ac:dyDescent="0.25">
      <c r="A1772" s="28">
        <v>85715333049</v>
      </c>
      <c r="B1772" s="29" t="s">
        <v>5576</v>
      </c>
      <c r="C1772" s="30" t="s">
        <v>70</v>
      </c>
      <c r="D1772" s="31" t="s">
        <v>5577</v>
      </c>
      <c r="E1772" s="51">
        <v>21.66</v>
      </c>
      <c r="F1772" s="32" t="s">
        <v>15</v>
      </c>
      <c r="G1772" s="32" t="s">
        <v>7478</v>
      </c>
      <c r="H1772" s="12"/>
      <c r="I1772" s="11">
        <f>Table1[[#This Row],[Qty]]*Table1[[#This Row],[Price]]</f>
        <v>0</v>
      </c>
    </row>
    <row r="1773" spans="1:9" ht="13.5" customHeight="1" x14ac:dyDescent="0.25">
      <c r="A1773" s="28">
        <v>85715333100</v>
      </c>
      <c r="B1773" s="29" t="s">
        <v>5578</v>
      </c>
      <c r="C1773" s="30" t="s">
        <v>70</v>
      </c>
      <c r="D1773" s="31" t="s">
        <v>5579</v>
      </c>
      <c r="E1773" s="51">
        <v>21.66</v>
      </c>
      <c r="F1773" s="32" t="s">
        <v>15</v>
      </c>
      <c r="G1773" s="32" t="s">
        <v>7479</v>
      </c>
      <c r="H1773" s="12"/>
      <c r="I1773" s="11">
        <f>Table1[[#This Row],[Qty]]*Table1[[#This Row],[Price]]</f>
        <v>0</v>
      </c>
    </row>
    <row r="1774" spans="1:9" ht="13.5" customHeight="1" x14ac:dyDescent="0.25">
      <c r="A1774" s="28">
        <v>85715320711</v>
      </c>
      <c r="B1774" s="29" t="s">
        <v>3768</v>
      </c>
      <c r="C1774" s="30" t="s">
        <v>70</v>
      </c>
      <c r="D1774" s="31" t="s">
        <v>3769</v>
      </c>
      <c r="E1774" s="51">
        <v>13.33</v>
      </c>
      <c r="F1774" s="32" t="s">
        <v>15</v>
      </c>
      <c r="G1774" s="32" t="s">
        <v>7056</v>
      </c>
      <c r="H1774" s="22"/>
      <c r="I1774" s="11">
        <f>Table1[[#This Row],[Qty]]*Table1[[#This Row],[Price]]</f>
        <v>0</v>
      </c>
    </row>
    <row r="1775" spans="1:9" ht="13.5" customHeight="1" x14ac:dyDescent="0.25">
      <c r="A1775" s="28">
        <v>85715327208</v>
      </c>
      <c r="B1775" s="29" t="s">
        <v>3776</v>
      </c>
      <c r="C1775" s="30" t="s">
        <v>70</v>
      </c>
      <c r="D1775" s="31" t="s">
        <v>3777</v>
      </c>
      <c r="E1775" s="51">
        <v>11.87</v>
      </c>
      <c r="F1775" s="32" t="s">
        <v>15</v>
      </c>
      <c r="G1775" s="32" t="s">
        <v>7060</v>
      </c>
      <c r="H1775" s="22"/>
      <c r="I1775" s="11">
        <f>Table1[[#This Row],[Qty]]*Table1[[#This Row],[Price]]</f>
        <v>0</v>
      </c>
    </row>
    <row r="1776" spans="1:9" ht="13.5" customHeight="1" x14ac:dyDescent="0.25">
      <c r="A1776" s="28">
        <v>85715326706</v>
      </c>
      <c r="B1776" s="29" t="s">
        <v>3808</v>
      </c>
      <c r="C1776" s="30" t="s">
        <v>70</v>
      </c>
      <c r="D1776" s="31" t="s">
        <v>3809</v>
      </c>
      <c r="E1776" s="51">
        <v>20.52</v>
      </c>
      <c r="F1776" s="32" t="s">
        <v>15</v>
      </c>
      <c r="G1776" s="32" t="s">
        <v>7075</v>
      </c>
      <c r="H1776" s="22"/>
      <c r="I1776" s="11">
        <f>Table1[[#This Row],[Qty]]*Table1[[#This Row],[Price]]</f>
        <v>0</v>
      </c>
    </row>
    <row r="1777" spans="1:9" ht="13.5" customHeight="1" x14ac:dyDescent="0.25">
      <c r="A1777" s="28">
        <v>85715323576</v>
      </c>
      <c r="B1777" s="29" t="s">
        <v>3816</v>
      </c>
      <c r="C1777" s="30" t="s">
        <v>70</v>
      </c>
      <c r="D1777" s="31" t="s">
        <v>3817</v>
      </c>
      <c r="E1777" s="51">
        <v>14.74</v>
      </c>
      <c r="F1777" s="32" t="s">
        <v>15</v>
      </c>
      <c r="G1777" s="32" t="s">
        <v>7079</v>
      </c>
      <c r="H1777" s="12"/>
      <c r="I1777" s="11">
        <f>Table1[[#This Row],[Qty]]*Table1[[#This Row],[Price]]</f>
        <v>0</v>
      </c>
    </row>
    <row r="1778" spans="1:9" ht="13.5" customHeight="1" x14ac:dyDescent="0.25">
      <c r="A1778" s="28">
        <v>85715320315</v>
      </c>
      <c r="B1778" s="29" t="s">
        <v>3820</v>
      </c>
      <c r="C1778" s="30" t="s">
        <v>70</v>
      </c>
      <c r="D1778" s="31" t="s">
        <v>3821</v>
      </c>
      <c r="E1778" s="51">
        <v>14.14</v>
      </c>
      <c r="F1778" s="32" t="s">
        <v>15</v>
      </c>
      <c r="G1778" s="32" t="s">
        <v>7081</v>
      </c>
      <c r="H1778" s="22"/>
      <c r="I1778" s="11">
        <f>Table1[[#This Row],[Qty]]*Table1[[#This Row],[Price]]</f>
        <v>0</v>
      </c>
    </row>
    <row r="1779" spans="1:9" ht="13.5" customHeight="1" x14ac:dyDescent="0.25">
      <c r="A1779" s="28">
        <v>85715320766</v>
      </c>
      <c r="B1779" s="29" t="s">
        <v>3860</v>
      </c>
      <c r="C1779" s="30" t="s">
        <v>70</v>
      </c>
      <c r="D1779" s="31" t="s">
        <v>3861</v>
      </c>
      <c r="E1779" s="51">
        <v>15.36</v>
      </c>
      <c r="F1779" s="32" t="s">
        <v>15</v>
      </c>
      <c r="G1779" s="32" t="s">
        <v>7101</v>
      </c>
      <c r="H1779" s="12"/>
      <c r="I1779" s="11">
        <f>Table1[[#This Row],[Qty]]*Table1[[#This Row],[Price]]</f>
        <v>0</v>
      </c>
    </row>
    <row r="1780" spans="1:9" ht="13.5" customHeight="1" x14ac:dyDescent="0.25">
      <c r="A1780" s="28">
        <v>85715326607</v>
      </c>
      <c r="B1780" s="29" t="s">
        <v>3963</v>
      </c>
      <c r="C1780" s="30" t="s">
        <v>70</v>
      </c>
      <c r="D1780" s="31" t="s">
        <v>630</v>
      </c>
      <c r="E1780" s="51">
        <v>17.66</v>
      </c>
      <c r="F1780" s="32" t="s">
        <v>15</v>
      </c>
      <c r="G1780" s="32" t="s">
        <v>7146</v>
      </c>
      <c r="H1780" s="22"/>
      <c r="I1780" s="11">
        <f>Table1[[#This Row],[Qty]]*Table1[[#This Row],[Price]]</f>
        <v>0</v>
      </c>
    </row>
    <row r="1781" spans="1:9" ht="13.5" customHeight="1" x14ac:dyDescent="0.25">
      <c r="A1781" s="28">
        <v>85715321985</v>
      </c>
      <c r="B1781" s="29" t="s">
        <v>3970</v>
      </c>
      <c r="C1781" s="30" t="s">
        <v>70</v>
      </c>
      <c r="D1781" s="31" t="s">
        <v>3971</v>
      </c>
      <c r="E1781" s="51">
        <v>16.32</v>
      </c>
      <c r="F1781" s="32" t="s">
        <v>15</v>
      </c>
      <c r="G1781" s="32" t="s">
        <v>7150</v>
      </c>
      <c r="H1781" s="12"/>
      <c r="I1781" s="11">
        <f>Table1[[#This Row],[Qty]]*Table1[[#This Row],[Price]]</f>
        <v>0</v>
      </c>
    </row>
    <row r="1782" spans="1:9" ht="13.5" customHeight="1" x14ac:dyDescent="0.25">
      <c r="A1782" s="28">
        <v>85715321305</v>
      </c>
      <c r="B1782" s="29" t="s">
        <v>4020</v>
      </c>
      <c r="C1782" s="30" t="s">
        <v>70</v>
      </c>
      <c r="D1782" s="31" t="s">
        <v>4021</v>
      </c>
      <c r="E1782" s="51">
        <v>12.71</v>
      </c>
      <c r="F1782" s="32" t="s">
        <v>15</v>
      </c>
      <c r="G1782" s="32" t="s">
        <v>7169</v>
      </c>
      <c r="H1782" s="12"/>
      <c r="I1782" s="11">
        <f>Table1[[#This Row],[Qty]]*Table1[[#This Row],[Price]]</f>
        <v>0</v>
      </c>
    </row>
    <row r="1783" spans="1:9" ht="13.5" customHeight="1" x14ac:dyDescent="0.25">
      <c r="A1783" s="28">
        <v>85715320377</v>
      </c>
      <c r="B1783" s="29" t="s">
        <v>4071</v>
      </c>
      <c r="C1783" s="30" t="s">
        <v>70</v>
      </c>
      <c r="D1783" s="31" t="s">
        <v>4072</v>
      </c>
      <c r="E1783" s="51">
        <v>14.33</v>
      </c>
      <c r="F1783" s="32" t="s">
        <v>15</v>
      </c>
      <c r="G1783" s="32" t="s">
        <v>7193</v>
      </c>
      <c r="H1783" s="14"/>
      <c r="I1783" s="11">
        <f>Table1[[#This Row],[Qty]]*Table1[[#This Row],[Price]]</f>
        <v>0</v>
      </c>
    </row>
    <row r="1784" spans="1:9" ht="13.5" customHeight="1" x14ac:dyDescent="0.25">
      <c r="A1784" s="28">
        <v>85715001634</v>
      </c>
      <c r="B1784" s="29" t="s">
        <v>4171</v>
      </c>
      <c r="C1784" s="30" t="s">
        <v>70</v>
      </c>
      <c r="D1784" s="31" t="s">
        <v>4172</v>
      </c>
      <c r="E1784" s="51">
        <v>14.32</v>
      </c>
      <c r="F1784" s="32" t="s">
        <v>15</v>
      </c>
      <c r="G1784" s="32" t="s">
        <v>7229</v>
      </c>
      <c r="H1784" s="12"/>
      <c r="I1784" s="11">
        <f>Table1[[#This Row],[Qty]]*Table1[[#This Row],[Price]]</f>
        <v>0</v>
      </c>
    </row>
    <row r="1785" spans="1:9" ht="13.5" customHeight="1" x14ac:dyDescent="0.25">
      <c r="A1785" s="28">
        <v>3614273474641</v>
      </c>
      <c r="B1785" s="29" t="s">
        <v>1910</v>
      </c>
      <c r="C1785" s="30" t="s">
        <v>1911</v>
      </c>
      <c r="D1785" s="31" t="s">
        <v>1912</v>
      </c>
      <c r="E1785" s="51">
        <v>16.5</v>
      </c>
      <c r="F1785" s="32" t="s">
        <v>15</v>
      </c>
      <c r="G1785" s="32">
        <v>0</v>
      </c>
      <c r="H1785" s="22"/>
      <c r="I1785" s="11">
        <f>Table1[[#This Row],[Qty]]*Table1[[#This Row],[Price]]</f>
        <v>0</v>
      </c>
    </row>
    <row r="1786" spans="1:9" ht="13.5" customHeight="1" x14ac:dyDescent="0.25">
      <c r="A1786" s="28">
        <v>3360372009436</v>
      </c>
      <c r="B1786" s="29" t="s">
        <v>3016</v>
      </c>
      <c r="C1786" s="30" t="s">
        <v>1911</v>
      </c>
      <c r="D1786" s="31" t="s">
        <v>3017</v>
      </c>
      <c r="E1786" s="51">
        <v>13</v>
      </c>
      <c r="F1786" s="32" t="s">
        <v>15</v>
      </c>
      <c r="G1786" s="32" t="s">
        <v>6669</v>
      </c>
      <c r="H1786" s="22"/>
      <c r="I1786" s="11">
        <f>Table1[[#This Row],[Qty]]*Table1[[#This Row],[Price]]</f>
        <v>0</v>
      </c>
    </row>
    <row r="1787" spans="1:9" ht="13.5" customHeight="1" x14ac:dyDescent="0.25">
      <c r="A1787" s="28">
        <v>3360372017332</v>
      </c>
      <c r="B1787" s="29" t="s">
        <v>3018</v>
      </c>
      <c r="C1787" s="33" t="s">
        <v>1911</v>
      </c>
      <c r="D1787" s="31" t="s">
        <v>3019</v>
      </c>
      <c r="E1787" s="51">
        <v>19.920000000000002</v>
      </c>
      <c r="F1787" s="32" t="s">
        <v>15</v>
      </c>
      <c r="G1787" s="32" t="s">
        <v>6670</v>
      </c>
      <c r="H1787" s="22"/>
      <c r="I1787" s="11">
        <f>Table1[[#This Row],[Qty]]*Table1[[#This Row],[Price]]</f>
        <v>0</v>
      </c>
    </row>
    <row r="1788" spans="1:9" ht="13.5" customHeight="1" x14ac:dyDescent="0.25">
      <c r="A1788" s="28">
        <v>3346130009603</v>
      </c>
      <c r="B1788" s="29" t="s">
        <v>1326</v>
      </c>
      <c r="C1788" s="30" t="s">
        <v>1327</v>
      </c>
      <c r="D1788" s="31" t="s">
        <v>1328</v>
      </c>
      <c r="E1788" s="51">
        <v>55.65</v>
      </c>
      <c r="F1788" s="32" t="s">
        <v>15</v>
      </c>
      <c r="G1788" s="32">
        <v>0</v>
      </c>
      <c r="H1788" s="22"/>
      <c r="I1788" s="11">
        <f>Table1[[#This Row],[Qty]]*Table1[[#This Row],[Price]]</f>
        <v>0</v>
      </c>
    </row>
    <row r="1789" spans="1:9" ht="13.5" customHeight="1" x14ac:dyDescent="0.25">
      <c r="A1789" s="28">
        <v>3346130009610</v>
      </c>
      <c r="B1789" s="29" t="s">
        <v>3034</v>
      </c>
      <c r="C1789" s="30" t="s">
        <v>1327</v>
      </c>
      <c r="D1789" s="31" t="s">
        <v>3035</v>
      </c>
      <c r="E1789" s="51">
        <v>41.5</v>
      </c>
      <c r="F1789" s="32" t="s">
        <v>15</v>
      </c>
      <c r="G1789" s="32" t="s">
        <v>6674</v>
      </c>
      <c r="H1789" s="12"/>
      <c r="I1789" s="11">
        <f>Table1[[#This Row],[Qty]]*Table1[[#This Row],[Price]]</f>
        <v>0</v>
      </c>
    </row>
    <row r="1790" spans="1:9" ht="13.5" customHeight="1" x14ac:dyDescent="0.25">
      <c r="A1790" s="28">
        <v>3346131400072</v>
      </c>
      <c r="B1790" s="29" t="s">
        <v>3036</v>
      </c>
      <c r="C1790" s="30" t="s">
        <v>1327</v>
      </c>
      <c r="D1790" s="31" t="s">
        <v>3037</v>
      </c>
      <c r="E1790" s="51">
        <v>18.5</v>
      </c>
      <c r="F1790" s="32" t="s">
        <v>15</v>
      </c>
      <c r="G1790" s="32" t="s">
        <v>6675</v>
      </c>
      <c r="H1790" s="12"/>
      <c r="I1790" s="11">
        <f>Table1[[#This Row],[Qty]]*Table1[[#This Row],[Price]]</f>
        <v>0</v>
      </c>
    </row>
    <row r="1791" spans="1:9" ht="13.5" customHeight="1" x14ac:dyDescent="0.25">
      <c r="A1791" s="28">
        <v>3346131610051</v>
      </c>
      <c r="B1791" s="29" t="s">
        <v>3090</v>
      </c>
      <c r="C1791" s="30" t="s">
        <v>1327</v>
      </c>
      <c r="D1791" s="31" t="s">
        <v>3091</v>
      </c>
      <c r="E1791" s="51">
        <v>50.35</v>
      </c>
      <c r="F1791" s="32" t="s">
        <v>15</v>
      </c>
      <c r="G1791" s="32" t="s">
        <v>6689</v>
      </c>
      <c r="H1791" s="12"/>
      <c r="I1791" s="11">
        <f>Table1[[#This Row],[Qty]]*Table1[[#This Row],[Price]]</f>
        <v>0</v>
      </c>
    </row>
    <row r="1792" spans="1:9" ht="13.5" customHeight="1" x14ac:dyDescent="0.25">
      <c r="A1792" s="28">
        <v>3346130001348</v>
      </c>
      <c r="B1792" s="29" t="s">
        <v>4208</v>
      </c>
      <c r="C1792" s="30" t="s">
        <v>1327</v>
      </c>
      <c r="D1792" s="31" t="s">
        <v>4209</v>
      </c>
      <c r="E1792" s="51">
        <v>36</v>
      </c>
      <c r="F1792" s="32" t="s">
        <v>15</v>
      </c>
      <c r="G1792" s="32" t="s">
        <v>7242</v>
      </c>
      <c r="H1792" s="12"/>
      <c r="I1792" s="11">
        <f>Table1[[#This Row],[Qty]]*Table1[[#This Row],[Price]]</f>
        <v>0</v>
      </c>
    </row>
    <row r="1793" spans="1:9" ht="13.5" customHeight="1" x14ac:dyDescent="0.25">
      <c r="A1793" s="28">
        <v>3346130013457</v>
      </c>
      <c r="B1793" s="29" t="s">
        <v>5241</v>
      </c>
      <c r="C1793" s="30" t="s">
        <v>1327</v>
      </c>
      <c r="D1793" s="31" t="s">
        <v>5242</v>
      </c>
      <c r="E1793" s="51">
        <v>80.56</v>
      </c>
      <c r="F1793" s="32" t="s">
        <v>15</v>
      </c>
      <c r="G1793" s="32">
        <v>0</v>
      </c>
      <c r="H1793" s="12"/>
      <c r="I1793" s="11">
        <f>Table1[[#This Row],[Qty]]*Table1[[#This Row],[Price]]</f>
        <v>0</v>
      </c>
    </row>
    <row r="1794" spans="1:9" ht="13.5" customHeight="1" x14ac:dyDescent="0.25">
      <c r="A1794" s="28">
        <v>3346133500022</v>
      </c>
      <c r="B1794" s="29" t="s">
        <v>4783</v>
      </c>
      <c r="C1794" s="30" t="s">
        <v>1327</v>
      </c>
      <c r="D1794" s="31" t="s">
        <v>4784</v>
      </c>
      <c r="E1794" s="51">
        <v>68.37</v>
      </c>
      <c r="F1794" s="32" t="s">
        <v>15</v>
      </c>
      <c r="G1794" s="32">
        <v>0</v>
      </c>
      <c r="H1794" s="22"/>
      <c r="I1794" s="11">
        <f>Table1[[#This Row],[Qty]]*Table1[[#This Row],[Price]]</f>
        <v>0</v>
      </c>
    </row>
    <row r="1795" spans="1:9" ht="13.5" customHeight="1" x14ac:dyDescent="0.25">
      <c r="A1795" s="28">
        <v>3346130012375</v>
      </c>
      <c r="B1795" s="29" t="s">
        <v>4543</v>
      </c>
      <c r="C1795" s="30" t="s">
        <v>1327</v>
      </c>
      <c r="D1795" s="31" t="s">
        <v>4544</v>
      </c>
      <c r="E1795" s="51">
        <v>60.95</v>
      </c>
      <c r="F1795" s="32" t="s">
        <v>15</v>
      </c>
      <c r="G1795" s="32">
        <v>0</v>
      </c>
      <c r="H1795" s="12"/>
      <c r="I1795" s="11">
        <f>Table1[[#This Row],[Qty]]*Table1[[#This Row],[Price]]</f>
        <v>0</v>
      </c>
    </row>
    <row r="1796" spans="1:9" ht="13.5" customHeight="1" x14ac:dyDescent="0.25">
      <c r="A1796" s="28">
        <v>3346131797080</v>
      </c>
      <c r="B1796" s="29" t="s">
        <v>4910</v>
      </c>
      <c r="C1796" s="30" t="s">
        <v>1327</v>
      </c>
      <c r="D1796" s="31" t="s">
        <v>4911</v>
      </c>
      <c r="E1796" s="51">
        <v>57.24</v>
      </c>
      <c r="F1796" s="32" t="s">
        <v>15</v>
      </c>
      <c r="G1796" s="32">
        <v>0</v>
      </c>
      <c r="H1796" s="22"/>
      <c r="I1796" s="11">
        <f>Table1[[#This Row],[Qty]]*Table1[[#This Row],[Price]]</f>
        <v>0</v>
      </c>
    </row>
    <row r="1797" spans="1:9" ht="13.5" customHeight="1" x14ac:dyDescent="0.25">
      <c r="A1797" s="28">
        <v>3346131797097</v>
      </c>
      <c r="B1797" s="29" t="s">
        <v>4754</v>
      </c>
      <c r="C1797" s="30" t="s">
        <v>1327</v>
      </c>
      <c r="D1797" s="31" t="s">
        <v>4755</v>
      </c>
      <c r="E1797" s="51">
        <v>42</v>
      </c>
      <c r="F1797" s="32" t="s">
        <v>15</v>
      </c>
      <c r="G1797" s="32">
        <v>0</v>
      </c>
      <c r="H1797" s="12"/>
      <c r="I1797" s="11">
        <f>Table1[[#This Row],[Qty]]*Table1[[#This Row],[Price]]</f>
        <v>0</v>
      </c>
    </row>
    <row r="1798" spans="1:9" ht="13.5" customHeight="1" x14ac:dyDescent="0.25">
      <c r="A1798" s="28">
        <v>3346130491736</v>
      </c>
      <c r="B1798" s="29" t="s">
        <v>5384</v>
      </c>
      <c r="C1798" s="33" t="s">
        <v>1327</v>
      </c>
      <c r="D1798" s="31" t="s">
        <v>5385</v>
      </c>
      <c r="E1798" s="51">
        <v>16.75</v>
      </c>
      <c r="F1798" s="32" t="s">
        <v>15</v>
      </c>
      <c r="G1798" s="32">
        <v>0</v>
      </c>
      <c r="H1798" s="22"/>
      <c r="I1798" s="11">
        <f>Table1[[#This Row],[Qty]]*Table1[[#This Row],[Price]]</f>
        <v>0</v>
      </c>
    </row>
    <row r="1799" spans="1:9" ht="13.5" customHeight="1" x14ac:dyDescent="0.25">
      <c r="A1799" s="28">
        <v>3346132000608</v>
      </c>
      <c r="B1799" s="29" t="s">
        <v>5390</v>
      </c>
      <c r="C1799" s="30" t="s">
        <v>1327</v>
      </c>
      <c r="D1799" s="31" t="s">
        <v>5391</v>
      </c>
      <c r="E1799" s="51">
        <v>16</v>
      </c>
      <c r="F1799" s="32" t="s">
        <v>15</v>
      </c>
      <c r="G1799" s="32">
        <v>0</v>
      </c>
      <c r="H1799" s="22"/>
      <c r="I1799" s="11">
        <f>Table1[[#This Row],[Qty]]*Table1[[#This Row],[Price]]</f>
        <v>0</v>
      </c>
    </row>
    <row r="1800" spans="1:9" ht="13.5" customHeight="1" x14ac:dyDescent="0.25">
      <c r="A1800" s="28">
        <v>85715267245</v>
      </c>
      <c r="B1800" s="29" t="s">
        <v>3991</v>
      </c>
      <c r="C1800" s="30" t="s">
        <v>801</v>
      </c>
      <c r="D1800" s="31" t="s">
        <v>3992</v>
      </c>
      <c r="E1800" s="51">
        <v>11</v>
      </c>
      <c r="F1800" s="32" t="s">
        <v>15</v>
      </c>
      <c r="G1800" s="32" t="s">
        <v>5752</v>
      </c>
      <c r="H1800" s="22"/>
      <c r="I1800" s="11">
        <f>Table1[[#This Row],[Qty]]*Table1[[#This Row],[Price]]</f>
        <v>0</v>
      </c>
    </row>
    <row r="1801" spans="1:9" ht="13.5" customHeight="1" x14ac:dyDescent="0.25">
      <c r="A1801" s="28">
        <v>85715265319</v>
      </c>
      <c r="B1801" s="29" t="s">
        <v>800</v>
      </c>
      <c r="C1801" s="30" t="s">
        <v>801</v>
      </c>
      <c r="D1801" s="31" t="s">
        <v>802</v>
      </c>
      <c r="E1801" s="51">
        <v>12.51</v>
      </c>
      <c r="F1801" s="32" t="s">
        <v>15</v>
      </c>
      <c r="G1801" s="32" t="s">
        <v>5995</v>
      </c>
      <c r="H1801" s="12"/>
      <c r="I1801" s="11">
        <f>Table1[[#This Row],[Qty]]*Table1[[#This Row],[Price]]</f>
        <v>0</v>
      </c>
    </row>
    <row r="1802" spans="1:9" ht="13.5" customHeight="1" x14ac:dyDescent="0.25">
      <c r="A1802" s="28">
        <v>85715268013</v>
      </c>
      <c r="B1802" s="29" t="s">
        <v>817</v>
      </c>
      <c r="C1802" s="30" t="s">
        <v>801</v>
      </c>
      <c r="D1802" s="31" t="s">
        <v>818</v>
      </c>
      <c r="E1802" s="51">
        <v>13.96</v>
      </c>
      <c r="F1802" s="32" t="s">
        <v>15</v>
      </c>
      <c r="G1802" s="32" t="s">
        <v>6002</v>
      </c>
      <c r="H1802" s="22"/>
      <c r="I1802" s="11">
        <f>Table1[[#This Row],[Qty]]*Table1[[#This Row],[Price]]</f>
        <v>0</v>
      </c>
    </row>
    <row r="1803" spans="1:9" ht="13.5" customHeight="1" x14ac:dyDescent="0.25">
      <c r="A1803" s="28">
        <v>85715260116</v>
      </c>
      <c r="B1803" s="29" t="s">
        <v>1925</v>
      </c>
      <c r="C1803" s="30" t="s">
        <v>801</v>
      </c>
      <c r="D1803" s="31" t="s">
        <v>1926</v>
      </c>
      <c r="E1803" s="51">
        <v>16</v>
      </c>
      <c r="F1803" s="32" t="s">
        <v>15</v>
      </c>
      <c r="G1803" s="32">
        <v>0</v>
      </c>
      <c r="H1803" s="12"/>
      <c r="I1803" s="11">
        <f>Table1[[#This Row],[Qty]]*Table1[[#This Row],[Price]]</f>
        <v>0</v>
      </c>
    </row>
    <row r="1804" spans="1:9" ht="13.5" customHeight="1" x14ac:dyDescent="0.25">
      <c r="A1804" s="28">
        <v>85715261014</v>
      </c>
      <c r="B1804" s="29" t="s">
        <v>2005</v>
      </c>
      <c r="C1804" s="30" t="s">
        <v>801</v>
      </c>
      <c r="D1804" s="31" t="s">
        <v>2006</v>
      </c>
      <c r="E1804" s="51">
        <v>14</v>
      </c>
      <c r="F1804" s="32" t="s">
        <v>15</v>
      </c>
      <c r="G1804" s="32">
        <v>0</v>
      </c>
      <c r="H1804" s="22"/>
      <c r="I1804" s="11">
        <f>Table1[[#This Row],[Qty]]*Table1[[#This Row],[Price]]</f>
        <v>0</v>
      </c>
    </row>
    <row r="1805" spans="1:9" ht="13.5" customHeight="1" x14ac:dyDescent="0.25">
      <c r="A1805" s="28">
        <v>85715266316</v>
      </c>
      <c r="B1805" s="29" t="s">
        <v>2013</v>
      </c>
      <c r="C1805" s="33" t="s">
        <v>801</v>
      </c>
      <c r="D1805" s="31" t="s">
        <v>2014</v>
      </c>
      <c r="E1805" s="51">
        <v>13.5</v>
      </c>
      <c r="F1805" s="32" t="s">
        <v>15</v>
      </c>
      <c r="G1805" s="32">
        <v>0</v>
      </c>
      <c r="H1805" s="22"/>
      <c r="I1805" s="11">
        <f>Table1[[#This Row],[Qty]]*Table1[[#This Row],[Price]]</f>
        <v>0</v>
      </c>
    </row>
    <row r="1806" spans="1:9" ht="13.5" customHeight="1" x14ac:dyDescent="0.25">
      <c r="A1806" s="48">
        <v>85715268112</v>
      </c>
      <c r="B1806" s="41" t="s">
        <v>2034</v>
      </c>
      <c r="C1806" s="6" t="s">
        <v>801</v>
      </c>
      <c r="D1806" t="s">
        <v>2035</v>
      </c>
      <c r="E1806" s="52">
        <v>13.75</v>
      </c>
      <c r="F1806" s="49" t="s">
        <v>15</v>
      </c>
      <c r="G1806" s="49" t="s">
        <v>6364</v>
      </c>
      <c r="H1806" s="22"/>
      <c r="I1806" s="11">
        <f>Table1[[#This Row],[Qty]]*Table1[[#This Row],[Price]]</f>
        <v>0</v>
      </c>
    </row>
    <row r="1807" spans="1:9" ht="13.5" customHeight="1" x14ac:dyDescent="0.25">
      <c r="A1807" s="28">
        <v>85715266019</v>
      </c>
      <c r="B1807" s="29" t="s">
        <v>2057</v>
      </c>
      <c r="C1807" s="30" t="s">
        <v>801</v>
      </c>
      <c r="D1807" s="31" t="s">
        <v>2058</v>
      </c>
      <c r="E1807" s="51">
        <v>12.53</v>
      </c>
      <c r="F1807" s="32" t="s">
        <v>15</v>
      </c>
      <c r="G1807" s="32">
        <v>0</v>
      </c>
      <c r="H1807" s="22"/>
      <c r="I1807" s="11">
        <f>Table1[[#This Row],[Qty]]*Table1[[#This Row],[Price]]</f>
        <v>0</v>
      </c>
    </row>
    <row r="1808" spans="1:9" ht="13.5" customHeight="1" x14ac:dyDescent="0.25">
      <c r="A1808" s="28">
        <v>85715267702</v>
      </c>
      <c r="B1808" s="29" t="s">
        <v>2076</v>
      </c>
      <c r="C1808" s="30" t="s">
        <v>801</v>
      </c>
      <c r="D1808" s="31" t="s">
        <v>2077</v>
      </c>
      <c r="E1808" s="51">
        <v>12.45</v>
      </c>
      <c r="F1808" s="32" t="s">
        <v>15</v>
      </c>
      <c r="G1808" s="32">
        <v>0</v>
      </c>
      <c r="H1808" s="12"/>
      <c r="I1808" s="11">
        <f>Table1[[#This Row],[Qty]]*Table1[[#This Row],[Price]]</f>
        <v>0</v>
      </c>
    </row>
    <row r="1809" spans="1:9" ht="13.5" customHeight="1" x14ac:dyDescent="0.25">
      <c r="A1809" s="28">
        <v>85715261021</v>
      </c>
      <c r="B1809" s="29" t="s">
        <v>2185</v>
      </c>
      <c r="C1809" s="30" t="s">
        <v>801</v>
      </c>
      <c r="D1809" s="31" t="s">
        <v>2186</v>
      </c>
      <c r="E1809" s="51">
        <v>9.5</v>
      </c>
      <c r="F1809" s="32" t="s">
        <v>15</v>
      </c>
      <c r="G1809" s="32">
        <v>0</v>
      </c>
      <c r="H1809" s="22"/>
      <c r="I1809" s="11">
        <f>Table1[[#This Row],[Qty]]*Table1[[#This Row],[Price]]</f>
        <v>0</v>
      </c>
    </row>
    <row r="1810" spans="1:9" ht="13.5" customHeight="1" x14ac:dyDescent="0.25">
      <c r="A1810" s="28">
        <v>85715265340</v>
      </c>
      <c r="B1810" s="29" t="s">
        <v>2238</v>
      </c>
      <c r="C1810" s="30" t="s">
        <v>801</v>
      </c>
      <c r="D1810" s="31" t="s">
        <v>2239</v>
      </c>
      <c r="E1810" s="51">
        <v>7.08</v>
      </c>
      <c r="F1810" s="32" t="s">
        <v>15</v>
      </c>
      <c r="G1810" s="32">
        <v>0</v>
      </c>
      <c r="H1810" s="22"/>
      <c r="I1810" s="11">
        <f>Table1[[#This Row],[Qty]]*Table1[[#This Row],[Price]]</f>
        <v>0</v>
      </c>
    </row>
    <row r="1811" spans="1:9" ht="13.5" customHeight="1" x14ac:dyDescent="0.25">
      <c r="A1811" s="28">
        <v>85715269508</v>
      </c>
      <c r="B1811" s="29" t="s">
        <v>2286</v>
      </c>
      <c r="C1811" s="30" t="s">
        <v>801</v>
      </c>
      <c r="D1811" s="31" t="s">
        <v>2287</v>
      </c>
      <c r="E1811" s="51">
        <v>5.5</v>
      </c>
      <c r="F1811" s="32" t="s">
        <v>15</v>
      </c>
      <c r="G1811" s="32">
        <v>0</v>
      </c>
      <c r="H1811" s="12"/>
      <c r="I1811" s="11">
        <f>Table1[[#This Row],[Qty]]*Table1[[#This Row],[Price]]</f>
        <v>0</v>
      </c>
    </row>
    <row r="1812" spans="1:9" ht="13.5" customHeight="1" x14ac:dyDescent="0.25">
      <c r="A1812" s="28">
        <v>85715269539</v>
      </c>
      <c r="B1812" s="29" t="s">
        <v>2288</v>
      </c>
      <c r="C1812" s="30" t="s">
        <v>801</v>
      </c>
      <c r="D1812" s="31" t="s">
        <v>2289</v>
      </c>
      <c r="E1812" s="51">
        <v>5.5</v>
      </c>
      <c r="F1812" s="32" t="s">
        <v>15</v>
      </c>
      <c r="G1812" s="32">
        <v>0</v>
      </c>
      <c r="H1812" s="22"/>
      <c r="I1812" s="11">
        <f>Table1[[#This Row],[Qty]]*Table1[[#This Row],[Price]]</f>
        <v>0</v>
      </c>
    </row>
    <row r="1813" spans="1:9" ht="13.5" customHeight="1" x14ac:dyDescent="0.25">
      <c r="A1813" s="28">
        <v>85715269553</v>
      </c>
      <c r="B1813" s="29" t="s">
        <v>2290</v>
      </c>
      <c r="C1813" s="30" t="s">
        <v>801</v>
      </c>
      <c r="D1813" s="31" t="s">
        <v>2291</v>
      </c>
      <c r="E1813" s="51">
        <v>5.5</v>
      </c>
      <c r="F1813" s="32" t="s">
        <v>15</v>
      </c>
      <c r="G1813" s="32">
        <v>0</v>
      </c>
      <c r="H1813" s="12"/>
      <c r="I1813" s="11">
        <f>Table1[[#This Row],[Qty]]*Table1[[#This Row],[Price]]</f>
        <v>0</v>
      </c>
    </row>
    <row r="1814" spans="1:9" ht="13.5" customHeight="1" x14ac:dyDescent="0.25">
      <c r="A1814" s="28">
        <v>85715269560</v>
      </c>
      <c r="B1814" s="29" t="s">
        <v>2292</v>
      </c>
      <c r="C1814" s="30" t="s">
        <v>801</v>
      </c>
      <c r="D1814" s="31" t="s">
        <v>2293</v>
      </c>
      <c r="E1814" s="51">
        <v>5.5</v>
      </c>
      <c r="F1814" s="32" t="s">
        <v>15</v>
      </c>
      <c r="G1814" s="32">
        <v>0</v>
      </c>
      <c r="H1814" s="22"/>
      <c r="I1814" s="11">
        <f>Table1[[#This Row],[Qty]]*Table1[[#This Row],[Price]]</f>
        <v>0</v>
      </c>
    </row>
    <row r="1815" spans="1:9" ht="13.5" customHeight="1" x14ac:dyDescent="0.25">
      <c r="A1815" s="28">
        <v>85715269577</v>
      </c>
      <c r="B1815" s="29" t="s">
        <v>2294</v>
      </c>
      <c r="C1815" s="30" t="s">
        <v>801</v>
      </c>
      <c r="D1815" s="31" t="s">
        <v>2295</v>
      </c>
      <c r="E1815" s="51">
        <v>5.5</v>
      </c>
      <c r="F1815" s="32" t="s">
        <v>15</v>
      </c>
      <c r="G1815" s="32">
        <v>0</v>
      </c>
      <c r="H1815" s="12"/>
      <c r="I1815" s="11">
        <f>Table1[[#This Row],[Qty]]*Table1[[#This Row],[Price]]</f>
        <v>0</v>
      </c>
    </row>
    <row r="1816" spans="1:9" ht="13.5" customHeight="1" x14ac:dyDescent="0.25">
      <c r="A1816" s="28">
        <v>85715269591</v>
      </c>
      <c r="B1816" s="29" t="s">
        <v>2296</v>
      </c>
      <c r="C1816" s="30" t="s">
        <v>801</v>
      </c>
      <c r="D1816" s="31" t="s">
        <v>2297</v>
      </c>
      <c r="E1816" s="51">
        <v>5.5</v>
      </c>
      <c r="F1816" s="32" t="s">
        <v>15</v>
      </c>
      <c r="G1816" s="32">
        <v>0</v>
      </c>
      <c r="H1816" s="14"/>
      <c r="I1816" s="11">
        <f>Table1[[#This Row],[Qty]]*Table1[[#This Row],[Price]]</f>
        <v>0</v>
      </c>
    </row>
    <row r="1817" spans="1:9" ht="13.5" customHeight="1" x14ac:dyDescent="0.25">
      <c r="A1817" s="28">
        <v>85715269584</v>
      </c>
      <c r="B1817" s="29" t="s">
        <v>2298</v>
      </c>
      <c r="C1817" s="30" t="s">
        <v>801</v>
      </c>
      <c r="D1817" s="31" t="s">
        <v>2299</v>
      </c>
      <c r="E1817" s="51">
        <v>5.5</v>
      </c>
      <c r="F1817" s="32" t="s">
        <v>15</v>
      </c>
      <c r="G1817" s="32">
        <v>0</v>
      </c>
      <c r="H1817" s="12"/>
      <c r="I1817" s="11">
        <f>Table1[[#This Row],[Qty]]*Table1[[#This Row],[Price]]</f>
        <v>0</v>
      </c>
    </row>
    <row r="1818" spans="1:9" ht="13.5" customHeight="1" x14ac:dyDescent="0.25">
      <c r="A1818" s="28">
        <v>85715260123</v>
      </c>
      <c r="B1818" s="29" t="s">
        <v>3038</v>
      </c>
      <c r="C1818" s="30" t="s">
        <v>801</v>
      </c>
      <c r="D1818" s="31" t="s">
        <v>3039</v>
      </c>
      <c r="E1818" s="51">
        <v>8.5</v>
      </c>
      <c r="F1818" s="32" t="s">
        <v>15</v>
      </c>
      <c r="G1818" s="32">
        <v>0</v>
      </c>
      <c r="H1818" s="22"/>
      <c r="I1818" s="11">
        <f>Table1[[#This Row],[Qty]]*Table1[[#This Row],[Price]]</f>
        <v>0</v>
      </c>
    </row>
    <row r="1819" spans="1:9" ht="13.5" customHeight="1" x14ac:dyDescent="0.25">
      <c r="A1819" s="28">
        <v>85715261120</v>
      </c>
      <c r="B1819" s="29" t="s">
        <v>3040</v>
      </c>
      <c r="C1819" s="30" t="s">
        <v>801</v>
      </c>
      <c r="D1819" s="31" t="s">
        <v>3041</v>
      </c>
      <c r="E1819" s="51">
        <v>12.5</v>
      </c>
      <c r="F1819" s="32" t="s">
        <v>15</v>
      </c>
      <c r="G1819" s="32">
        <v>0</v>
      </c>
      <c r="H1819" s="22"/>
      <c r="I1819" s="11">
        <f>Table1[[#This Row],[Qty]]*Table1[[#This Row],[Price]]</f>
        <v>0</v>
      </c>
    </row>
    <row r="1820" spans="1:9" ht="13.5" customHeight="1" x14ac:dyDescent="0.25">
      <c r="A1820" s="28">
        <v>85715267009</v>
      </c>
      <c r="B1820" s="29" t="s">
        <v>3800</v>
      </c>
      <c r="C1820" s="30" t="s">
        <v>801</v>
      </c>
      <c r="D1820" s="31" t="s">
        <v>3801</v>
      </c>
      <c r="E1820" s="51">
        <v>11.96</v>
      </c>
      <c r="F1820" s="32" t="s">
        <v>15</v>
      </c>
      <c r="G1820" s="32" t="s">
        <v>7071</v>
      </c>
      <c r="H1820" s="22"/>
      <c r="I1820" s="11">
        <f>Table1[[#This Row],[Qty]]*Table1[[#This Row],[Price]]</f>
        <v>0</v>
      </c>
    </row>
    <row r="1821" spans="1:9" ht="13.5" customHeight="1" x14ac:dyDescent="0.25">
      <c r="A1821" s="28">
        <v>85715267535</v>
      </c>
      <c r="B1821" s="29" t="s">
        <v>3880</v>
      </c>
      <c r="C1821" s="30" t="s">
        <v>801</v>
      </c>
      <c r="D1821" s="31" t="s">
        <v>3881</v>
      </c>
      <c r="E1821" s="51">
        <v>11.2</v>
      </c>
      <c r="F1821" s="32" t="s">
        <v>15</v>
      </c>
      <c r="G1821" s="32" t="s">
        <v>7110</v>
      </c>
      <c r="H1821" s="22"/>
      <c r="I1821" s="11">
        <f>Table1[[#This Row],[Qty]]*Table1[[#This Row],[Price]]</f>
        <v>0</v>
      </c>
    </row>
    <row r="1822" spans="1:9" ht="13.5" customHeight="1" x14ac:dyDescent="0.25">
      <c r="A1822" s="28">
        <v>85715260017</v>
      </c>
      <c r="B1822" s="29" t="s">
        <v>3935</v>
      </c>
      <c r="C1822" s="30" t="s">
        <v>801</v>
      </c>
      <c r="D1822" s="31" t="s">
        <v>3936</v>
      </c>
      <c r="E1822" s="51">
        <v>11.84</v>
      </c>
      <c r="F1822" s="32" t="s">
        <v>15</v>
      </c>
      <c r="G1822" s="32" t="s">
        <v>7134</v>
      </c>
      <c r="H1822" s="22"/>
      <c r="I1822" s="11">
        <f>Table1[[#This Row],[Qty]]*Table1[[#This Row],[Price]]</f>
        <v>0</v>
      </c>
    </row>
    <row r="1823" spans="1:9" ht="13.5" customHeight="1" x14ac:dyDescent="0.25">
      <c r="A1823" s="28">
        <v>85715268617</v>
      </c>
      <c r="B1823" s="29" t="s">
        <v>4036</v>
      </c>
      <c r="C1823" s="30" t="s">
        <v>801</v>
      </c>
      <c r="D1823" s="31" t="s">
        <v>4037</v>
      </c>
      <c r="E1823" s="51">
        <v>11.13</v>
      </c>
      <c r="F1823" s="32" t="s">
        <v>15</v>
      </c>
      <c r="G1823" s="32" t="s">
        <v>7177</v>
      </c>
      <c r="H1823" s="22"/>
      <c r="I1823" s="11">
        <f>Table1[[#This Row],[Qty]]*Table1[[#This Row],[Price]]</f>
        <v>0</v>
      </c>
    </row>
    <row r="1824" spans="1:9" ht="13.5" customHeight="1" x14ac:dyDescent="0.25">
      <c r="A1824" s="28">
        <v>85715267030</v>
      </c>
      <c r="B1824" s="29" t="s">
        <v>4189</v>
      </c>
      <c r="C1824" s="30" t="s">
        <v>801</v>
      </c>
      <c r="D1824" s="31" t="s">
        <v>4190</v>
      </c>
      <c r="E1824" s="51">
        <v>12.13</v>
      </c>
      <c r="F1824" s="32" t="s">
        <v>15</v>
      </c>
      <c r="G1824" s="32" t="s">
        <v>7236</v>
      </c>
      <c r="H1824" s="12"/>
      <c r="I1824" s="11">
        <f>Table1[[#This Row],[Qty]]*Table1[[#This Row],[Price]]</f>
        <v>0</v>
      </c>
    </row>
    <row r="1825" spans="1:9" ht="13.5" customHeight="1" x14ac:dyDescent="0.25">
      <c r="A1825" s="28">
        <v>85715268518</v>
      </c>
      <c r="B1825" s="29" t="s">
        <v>4244</v>
      </c>
      <c r="C1825" s="30" t="s">
        <v>801</v>
      </c>
      <c r="D1825" s="31" t="s">
        <v>4245</v>
      </c>
      <c r="E1825" s="51">
        <v>11.87</v>
      </c>
      <c r="F1825" s="32" t="s">
        <v>15</v>
      </c>
      <c r="G1825" s="32" t="s">
        <v>7256</v>
      </c>
      <c r="H1825" s="12"/>
      <c r="I1825" s="11">
        <f>Table1[[#This Row],[Qty]]*Table1[[#This Row],[Price]]</f>
        <v>0</v>
      </c>
    </row>
    <row r="1826" spans="1:9" ht="13.5" customHeight="1" x14ac:dyDescent="0.25">
      <c r="A1826" s="28">
        <v>3616305160584</v>
      </c>
      <c r="B1826" s="29" t="s">
        <v>785</v>
      </c>
      <c r="C1826" s="30" t="s">
        <v>572</v>
      </c>
      <c r="D1826" s="31" t="s">
        <v>786</v>
      </c>
      <c r="E1826" s="51">
        <v>59.05</v>
      </c>
      <c r="F1826" s="32" t="s">
        <v>15</v>
      </c>
      <c r="G1826" s="32" t="s">
        <v>5989</v>
      </c>
      <c r="H1826" s="22"/>
      <c r="I1826" s="11">
        <f>Table1[[#This Row],[Qty]]*Table1[[#This Row],[Price]]</f>
        <v>0</v>
      </c>
    </row>
    <row r="1827" spans="1:9" ht="13.5" customHeight="1" x14ac:dyDescent="0.25">
      <c r="A1827" s="28">
        <v>737052987569</v>
      </c>
      <c r="B1827" s="29" t="s">
        <v>890</v>
      </c>
      <c r="C1827" s="30" t="s">
        <v>572</v>
      </c>
      <c r="D1827" s="31" t="s">
        <v>891</v>
      </c>
      <c r="E1827" s="51">
        <v>22.5</v>
      </c>
      <c r="F1827" s="32" t="s">
        <v>15</v>
      </c>
      <c r="G1827" s="32" t="s">
        <v>6033</v>
      </c>
      <c r="H1827" s="12"/>
      <c r="I1827" s="11">
        <f>Table1[[#This Row],[Qty]]*Table1[[#This Row],[Price]]</f>
        <v>0</v>
      </c>
    </row>
    <row r="1828" spans="1:9" ht="14.25" customHeight="1" x14ac:dyDescent="0.25">
      <c r="A1828" s="28">
        <v>3616301623373</v>
      </c>
      <c r="B1828" s="29" t="s">
        <v>1118</v>
      </c>
      <c r="C1828" s="30" t="s">
        <v>572</v>
      </c>
      <c r="D1828" s="31" t="s">
        <v>1119</v>
      </c>
      <c r="E1828" s="51">
        <v>20.5</v>
      </c>
      <c r="F1828" s="32" t="s">
        <v>15</v>
      </c>
      <c r="G1828" s="32" t="s">
        <v>6133</v>
      </c>
      <c r="H1828" s="22"/>
      <c r="I1828" s="11">
        <f>Table1[[#This Row],[Qty]]*Table1[[#This Row],[Price]]</f>
        <v>0</v>
      </c>
    </row>
    <row r="1829" spans="1:9" ht="13.5" customHeight="1" x14ac:dyDescent="0.25">
      <c r="A1829" s="28">
        <v>8005610298924</v>
      </c>
      <c r="B1829" s="29" t="s">
        <v>1393</v>
      </c>
      <c r="C1829" s="30" t="s">
        <v>572</v>
      </c>
      <c r="D1829" s="31" t="s">
        <v>1394</v>
      </c>
      <c r="E1829" s="51">
        <v>43.5</v>
      </c>
      <c r="F1829" s="32" t="s">
        <v>15</v>
      </c>
      <c r="G1829" s="32">
        <v>0</v>
      </c>
      <c r="H1829" s="12"/>
      <c r="I1829" s="11">
        <f>Table1[[#This Row],[Qty]]*Table1[[#This Row],[Price]]</f>
        <v>0</v>
      </c>
    </row>
    <row r="1830" spans="1:9" ht="13.5" customHeight="1" x14ac:dyDescent="0.25">
      <c r="A1830" s="28">
        <v>737052351018</v>
      </c>
      <c r="B1830" s="29" t="s">
        <v>1658</v>
      </c>
      <c r="C1830" s="30" t="s">
        <v>572</v>
      </c>
      <c r="D1830" s="31" t="s">
        <v>1659</v>
      </c>
      <c r="E1830" s="51">
        <v>26.39</v>
      </c>
      <c r="F1830" s="32" t="s">
        <v>15</v>
      </c>
      <c r="G1830" s="32">
        <v>0</v>
      </c>
      <c r="H1830" s="22"/>
      <c r="I1830" s="11">
        <f>Table1[[#This Row],[Qty]]*Table1[[#This Row],[Price]]</f>
        <v>0</v>
      </c>
    </row>
    <row r="1831" spans="1:9" ht="13.5" customHeight="1" x14ac:dyDescent="0.25">
      <c r="A1831" s="28">
        <v>737052683553</v>
      </c>
      <c r="B1831" s="29" t="s">
        <v>1660</v>
      </c>
      <c r="C1831" s="30" t="s">
        <v>572</v>
      </c>
      <c r="D1831" s="31" t="s">
        <v>1661</v>
      </c>
      <c r="E1831" s="51">
        <v>27.26</v>
      </c>
      <c r="F1831" s="32" t="s">
        <v>15</v>
      </c>
      <c r="G1831" s="32" t="s">
        <v>6266</v>
      </c>
      <c r="H1831" s="22"/>
      <c r="I1831" s="11">
        <f>Table1[[#This Row],[Qty]]*Table1[[#This Row],[Price]]</f>
        <v>0</v>
      </c>
    </row>
    <row r="1832" spans="1:9" ht="13.5" customHeight="1" x14ac:dyDescent="0.25">
      <c r="A1832" s="28">
        <v>737052057989</v>
      </c>
      <c r="B1832" s="29" t="s">
        <v>1717</v>
      </c>
      <c r="C1832" s="30" t="s">
        <v>572</v>
      </c>
      <c r="D1832" s="31" t="s">
        <v>1718</v>
      </c>
      <c r="E1832" s="51">
        <v>23.3</v>
      </c>
      <c r="F1832" s="32" t="s">
        <v>15</v>
      </c>
      <c r="G1832" s="32">
        <v>0</v>
      </c>
      <c r="H1832" s="22"/>
      <c r="I1832" s="11">
        <f>Table1[[#This Row],[Qty]]*Table1[[#This Row],[Price]]</f>
        <v>0</v>
      </c>
    </row>
    <row r="1833" spans="1:9" ht="13.5" customHeight="1" x14ac:dyDescent="0.25">
      <c r="A1833" s="28">
        <v>737052041353</v>
      </c>
      <c r="B1833" s="29" t="s">
        <v>1737</v>
      </c>
      <c r="C1833" s="30" t="s">
        <v>572</v>
      </c>
      <c r="D1833" s="31" t="s">
        <v>1738</v>
      </c>
      <c r="E1833" s="51">
        <v>21</v>
      </c>
      <c r="F1833" s="32" t="s">
        <v>15</v>
      </c>
      <c r="G1833" s="32" t="s">
        <v>6288</v>
      </c>
      <c r="H1833" s="22"/>
      <c r="I1833" s="11">
        <f>Table1[[#This Row],[Qty]]*Table1[[#This Row],[Price]]</f>
        <v>0</v>
      </c>
    </row>
    <row r="1834" spans="1:9" ht="13.5" customHeight="1" x14ac:dyDescent="0.25">
      <c r="A1834" s="28">
        <v>737052238128</v>
      </c>
      <c r="B1834" s="29" t="s">
        <v>1795</v>
      </c>
      <c r="C1834" s="30" t="s">
        <v>572</v>
      </c>
      <c r="D1834" s="31" t="s">
        <v>1796</v>
      </c>
      <c r="E1834" s="51">
        <v>20</v>
      </c>
      <c r="F1834" s="32" t="s">
        <v>15</v>
      </c>
      <c r="G1834" s="32">
        <v>0</v>
      </c>
      <c r="H1834" s="12"/>
      <c r="I1834" s="11">
        <f>Table1[[#This Row],[Qty]]*Table1[[#This Row],[Price]]</f>
        <v>0</v>
      </c>
    </row>
    <row r="1835" spans="1:9" ht="13.5" customHeight="1" x14ac:dyDescent="0.25">
      <c r="A1835" s="28">
        <v>3614229823837</v>
      </c>
      <c r="B1835" s="29" t="s">
        <v>1821</v>
      </c>
      <c r="C1835" s="33" t="s">
        <v>572</v>
      </c>
      <c r="D1835" s="31" t="s">
        <v>1822</v>
      </c>
      <c r="E1835" s="51">
        <v>19.5</v>
      </c>
      <c r="F1835" s="32" t="s">
        <v>15</v>
      </c>
      <c r="G1835" s="32">
        <v>0</v>
      </c>
      <c r="H1835" s="22"/>
      <c r="I1835" s="11">
        <f>Table1[[#This Row],[Qty]]*Table1[[#This Row],[Price]]</f>
        <v>0</v>
      </c>
    </row>
    <row r="1836" spans="1:9" ht="13.5" customHeight="1" x14ac:dyDescent="0.25">
      <c r="A1836" s="28">
        <v>737052972268</v>
      </c>
      <c r="B1836" s="29" t="s">
        <v>3028</v>
      </c>
      <c r="C1836" s="30" t="s">
        <v>572</v>
      </c>
      <c r="D1836" s="31" t="s">
        <v>3029</v>
      </c>
      <c r="E1836" s="51">
        <v>30.5</v>
      </c>
      <c r="F1836" s="32" t="s">
        <v>15</v>
      </c>
      <c r="G1836" s="32" t="s">
        <v>6673</v>
      </c>
      <c r="H1836" s="12"/>
      <c r="I1836" s="11">
        <f>Table1[[#This Row],[Qty]]*Table1[[#This Row],[Price]]</f>
        <v>0</v>
      </c>
    </row>
    <row r="1837" spans="1:9" ht="13.5" customHeight="1" x14ac:dyDescent="0.25">
      <c r="A1837" s="28">
        <v>737052238050</v>
      </c>
      <c r="B1837" s="29" t="s">
        <v>3030</v>
      </c>
      <c r="C1837" s="30" t="s">
        <v>572</v>
      </c>
      <c r="D1837" s="31" t="s">
        <v>3031</v>
      </c>
      <c r="E1837" s="51">
        <v>14.75</v>
      </c>
      <c r="F1837" s="32" t="s">
        <v>15</v>
      </c>
      <c r="G1837" s="32">
        <v>0</v>
      </c>
      <c r="H1837" s="22"/>
      <c r="I1837" s="11">
        <f>Table1[[#This Row],[Qty]]*Table1[[#This Row],[Price]]</f>
        <v>0</v>
      </c>
    </row>
    <row r="1838" spans="1:9" ht="13.5" customHeight="1" x14ac:dyDescent="0.25">
      <c r="A1838" s="28">
        <v>737052802800</v>
      </c>
      <c r="B1838" s="29" t="s">
        <v>3032</v>
      </c>
      <c r="C1838" s="33" t="s">
        <v>572</v>
      </c>
      <c r="D1838" s="31" t="s">
        <v>3033</v>
      </c>
      <c r="E1838" s="51">
        <v>27.5</v>
      </c>
      <c r="F1838" s="32" t="s">
        <v>15</v>
      </c>
      <c r="G1838" s="32">
        <v>0</v>
      </c>
      <c r="H1838" s="22"/>
      <c r="I1838" s="11">
        <f>Table1[[#This Row],[Qty]]*Table1[[#This Row],[Price]]</f>
        <v>0</v>
      </c>
    </row>
    <row r="1839" spans="1:9" ht="13.5" customHeight="1" x14ac:dyDescent="0.25">
      <c r="A1839" s="28">
        <v>3616304957666</v>
      </c>
      <c r="B1839" s="29" t="s">
        <v>3834</v>
      </c>
      <c r="C1839" s="30" t="s">
        <v>572</v>
      </c>
      <c r="D1839" s="31" t="s">
        <v>3835</v>
      </c>
      <c r="E1839" s="51">
        <v>42</v>
      </c>
      <c r="F1839" s="32" t="s">
        <v>15</v>
      </c>
      <c r="G1839" s="32" t="s">
        <v>7088</v>
      </c>
      <c r="H1839" s="14"/>
      <c r="I1839" s="11">
        <f>Table1[[#This Row],[Qty]]*Table1[[#This Row],[Price]]</f>
        <v>0</v>
      </c>
    </row>
    <row r="1840" spans="1:9" ht="13.5" customHeight="1" x14ac:dyDescent="0.25">
      <c r="A1840" s="28">
        <v>3616301623359</v>
      </c>
      <c r="B1840" s="29" t="s">
        <v>3894</v>
      </c>
      <c r="C1840" s="30" t="s">
        <v>572</v>
      </c>
      <c r="D1840" s="31" t="s">
        <v>3895</v>
      </c>
      <c r="E1840" s="51">
        <v>17.13</v>
      </c>
      <c r="F1840" s="32" t="s">
        <v>15</v>
      </c>
      <c r="G1840" s="32" t="s">
        <v>7116</v>
      </c>
      <c r="H1840" s="22"/>
      <c r="I1840" s="11">
        <f>Table1[[#This Row],[Qty]]*Table1[[#This Row],[Price]]</f>
        <v>0</v>
      </c>
    </row>
    <row r="1841" spans="1:9" ht="13.5" customHeight="1" x14ac:dyDescent="0.25">
      <c r="A1841" s="28">
        <v>3616301623311</v>
      </c>
      <c r="B1841" s="29" t="s">
        <v>4212</v>
      </c>
      <c r="C1841" s="30" t="s">
        <v>572</v>
      </c>
      <c r="D1841" s="31" t="s">
        <v>4213</v>
      </c>
      <c r="E1841" s="51">
        <v>19.03</v>
      </c>
      <c r="F1841" s="32" t="s">
        <v>15</v>
      </c>
      <c r="G1841" s="32">
        <v>0</v>
      </c>
      <c r="H1841" s="22"/>
      <c r="I1841" s="11">
        <f>Table1[[#This Row],[Qty]]*Table1[[#This Row],[Price]]</f>
        <v>0</v>
      </c>
    </row>
    <row r="1842" spans="1:9" ht="13.5" customHeight="1" x14ac:dyDescent="0.25">
      <c r="A1842" s="28">
        <v>737052607054</v>
      </c>
      <c r="B1842" s="29" t="s">
        <v>4865</v>
      </c>
      <c r="C1842" s="30" t="s">
        <v>572</v>
      </c>
      <c r="D1842" s="31" t="s">
        <v>4866</v>
      </c>
      <c r="E1842" s="51">
        <v>30.5</v>
      </c>
      <c r="F1842" s="32" t="s">
        <v>15</v>
      </c>
      <c r="G1842" s="32">
        <v>0</v>
      </c>
      <c r="H1842" s="12"/>
      <c r="I1842" s="11">
        <f>Table1[[#This Row],[Qty]]*Table1[[#This Row],[Price]]</f>
        <v>0</v>
      </c>
    </row>
    <row r="1843" spans="1:9" ht="13.5" customHeight="1" x14ac:dyDescent="0.25">
      <c r="A1843" s="28">
        <v>3614229823776</v>
      </c>
      <c r="B1843" s="29" t="s">
        <v>5355</v>
      </c>
      <c r="C1843" s="30" t="s">
        <v>572</v>
      </c>
      <c r="D1843" s="31" t="s">
        <v>5356</v>
      </c>
      <c r="E1843" s="51">
        <v>26</v>
      </c>
      <c r="F1843" s="32" t="s">
        <v>15</v>
      </c>
      <c r="G1843" s="32">
        <v>0</v>
      </c>
      <c r="H1843" s="12"/>
      <c r="I1843" s="11">
        <f>Table1[[#This Row],[Qty]]*Table1[[#This Row],[Price]]</f>
        <v>0</v>
      </c>
    </row>
    <row r="1844" spans="1:9" ht="13.5" customHeight="1" x14ac:dyDescent="0.25">
      <c r="A1844" s="28">
        <v>3616304198090</v>
      </c>
      <c r="B1844" s="29" t="s">
        <v>5359</v>
      </c>
      <c r="C1844" s="30" t="s">
        <v>5360</v>
      </c>
      <c r="D1844" s="31" t="s">
        <v>5361</v>
      </c>
      <c r="E1844" s="51">
        <v>19.5</v>
      </c>
      <c r="F1844" s="32" t="s">
        <v>15</v>
      </c>
      <c r="G1844" s="32"/>
      <c r="H1844" s="12"/>
      <c r="I1844" s="11">
        <f>Table1[[#This Row],[Qty]]*Table1[[#This Row],[Price]]</f>
        <v>0</v>
      </c>
    </row>
    <row r="1845" spans="1:9" ht="13.5" customHeight="1" x14ac:dyDescent="0.25">
      <c r="A1845" s="28">
        <v>3423478974654</v>
      </c>
      <c r="B1845" s="29" t="s">
        <v>163</v>
      </c>
      <c r="C1845" s="30" t="s">
        <v>164</v>
      </c>
      <c r="D1845" s="31" t="s">
        <v>165</v>
      </c>
      <c r="E1845" s="51">
        <v>25</v>
      </c>
      <c r="F1845" s="32" t="s">
        <v>15</v>
      </c>
      <c r="G1845" s="32" t="s">
        <v>5666</v>
      </c>
      <c r="H1845" s="12"/>
      <c r="I1845" s="11">
        <f>Table1[[#This Row],[Qty]]*Table1[[#This Row],[Price]]</f>
        <v>0</v>
      </c>
    </row>
    <row r="1846" spans="1:9" ht="13.5" customHeight="1" x14ac:dyDescent="0.25">
      <c r="A1846" s="28">
        <v>3423474867158</v>
      </c>
      <c r="B1846" s="29" t="s">
        <v>769</v>
      </c>
      <c r="C1846" s="30" t="s">
        <v>164</v>
      </c>
      <c r="D1846" s="31" t="s">
        <v>770</v>
      </c>
      <c r="E1846" s="51">
        <v>20.96</v>
      </c>
      <c r="F1846" s="32" t="s">
        <v>15</v>
      </c>
      <c r="G1846" s="32" t="s">
        <v>5981</v>
      </c>
      <c r="H1846" s="12"/>
      <c r="I1846" s="11">
        <f>Table1[[#This Row],[Qty]]*Table1[[#This Row],[Price]]</f>
        <v>0</v>
      </c>
    </row>
    <row r="1847" spans="1:9" ht="13.5" customHeight="1" x14ac:dyDescent="0.25">
      <c r="A1847" s="28">
        <v>3423473132158</v>
      </c>
      <c r="B1847" s="29" t="s">
        <v>1469</v>
      </c>
      <c r="C1847" s="30" t="s">
        <v>164</v>
      </c>
      <c r="D1847" s="31" t="s">
        <v>1470</v>
      </c>
      <c r="E1847" s="51">
        <v>39</v>
      </c>
      <c r="F1847" s="32" t="s">
        <v>15</v>
      </c>
      <c r="G1847" s="32">
        <v>0</v>
      </c>
      <c r="H1847" s="12"/>
      <c r="I1847" s="11">
        <f>Table1[[#This Row],[Qty]]*Table1[[#This Row],[Price]]</f>
        <v>0</v>
      </c>
    </row>
    <row r="1848" spans="1:9" ht="13.5" customHeight="1" x14ac:dyDescent="0.25">
      <c r="A1848" s="28">
        <v>3423473113683</v>
      </c>
      <c r="B1848" s="29" t="s">
        <v>1679</v>
      </c>
      <c r="C1848" s="30" t="s">
        <v>164</v>
      </c>
      <c r="D1848" s="31" t="s">
        <v>1680</v>
      </c>
      <c r="E1848" s="51">
        <v>25</v>
      </c>
      <c r="F1848" s="32" t="s">
        <v>15</v>
      </c>
      <c r="G1848" s="32">
        <v>0</v>
      </c>
      <c r="H1848" s="12"/>
      <c r="I1848" s="11">
        <f>Table1[[#This Row],[Qty]]*Table1[[#This Row],[Price]]</f>
        <v>0</v>
      </c>
    </row>
    <row r="1849" spans="1:9" ht="13.5" customHeight="1" x14ac:dyDescent="0.25">
      <c r="A1849" s="28">
        <v>3423474878857</v>
      </c>
      <c r="B1849" s="29" t="s">
        <v>2717</v>
      </c>
      <c r="C1849" s="30" t="s">
        <v>164</v>
      </c>
      <c r="D1849" s="31" t="s">
        <v>2718</v>
      </c>
      <c r="E1849" s="51">
        <v>35.18</v>
      </c>
      <c r="F1849" s="32" t="s">
        <v>15</v>
      </c>
      <c r="G1849" s="32" t="s">
        <v>6586</v>
      </c>
      <c r="H1849" s="12"/>
      <c r="I1849" s="11">
        <f>Table1[[#This Row],[Qty]]*Table1[[#This Row],[Price]]</f>
        <v>0</v>
      </c>
    </row>
    <row r="1850" spans="1:9" ht="13.5" customHeight="1" x14ac:dyDescent="0.25">
      <c r="A1850" s="28">
        <v>3423474883950</v>
      </c>
      <c r="B1850" s="29" t="s">
        <v>3042</v>
      </c>
      <c r="C1850" s="30" t="s">
        <v>164</v>
      </c>
      <c r="D1850" s="31" t="s">
        <v>3043</v>
      </c>
      <c r="E1850" s="51">
        <v>40.5</v>
      </c>
      <c r="F1850" s="32" t="s">
        <v>15</v>
      </c>
      <c r="G1850" s="32" t="s">
        <v>6676</v>
      </c>
      <c r="H1850" s="22"/>
      <c r="I1850" s="11">
        <f>Table1[[#This Row],[Qty]]*Table1[[#This Row],[Price]]</f>
        <v>0</v>
      </c>
    </row>
    <row r="1851" spans="1:9" ht="13.5" customHeight="1" x14ac:dyDescent="0.25">
      <c r="A1851" s="28">
        <v>3423473950059</v>
      </c>
      <c r="B1851" s="29" t="s">
        <v>3092</v>
      </c>
      <c r="C1851" s="33" t="s">
        <v>164</v>
      </c>
      <c r="D1851" s="31" t="s">
        <v>3093</v>
      </c>
      <c r="E1851" s="51">
        <v>29</v>
      </c>
      <c r="F1851" s="32" t="s">
        <v>15</v>
      </c>
      <c r="G1851" s="32" t="s">
        <v>6690</v>
      </c>
      <c r="H1851" s="22"/>
      <c r="I1851" s="11">
        <f>Table1[[#This Row],[Qty]]*Table1[[#This Row],[Price]]</f>
        <v>0</v>
      </c>
    </row>
    <row r="1852" spans="1:9" ht="13.5" customHeight="1" x14ac:dyDescent="0.25">
      <c r="A1852" s="28">
        <v>3423470485189</v>
      </c>
      <c r="B1852" s="29" t="s">
        <v>3977</v>
      </c>
      <c r="C1852" s="30" t="s">
        <v>164</v>
      </c>
      <c r="D1852" s="31" t="s">
        <v>3978</v>
      </c>
      <c r="E1852" s="51">
        <v>24.47</v>
      </c>
      <c r="F1852" s="32" t="s">
        <v>15</v>
      </c>
      <c r="G1852" s="32" t="s">
        <v>7151</v>
      </c>
      <c r="H1852" s="22"/>
      <c r="I1852" s="11">
        <f>Table1[[#This Row],[Qty]]*Table1[[#This Row],[Price]]</f>
        <v>0</v>
      </c>
    </row>
    <row r="1853" spans="1:9" ht="13.5" customHeight="1" x14ac:dyDescent="0.25">
      <c r="A1853" s="28">
        <v>3423478516052</v>
      </c>
      <c r="B1853" s="29" t="s">
        <v>4752</v>
      </c>
      <c r="C1853" s="30" t="s">
        <v>164</v>
      </c>
      <c r="D1853" s="31" t="s">
        <v>4753</v>
      </c>
      <c r="E1853" s="51">
        <v>50.35</v>
      </c>
      <c r="F1853" s="32" t="s">
        <v>15</v>
      </c>
      <c r="G1853" s="32">
        <v>0</v>
      </c>
      <c r="H1853" s="22"/>
      <c r="I1853" s="11">
        <f>Table1[[#This Row],[Qty]]*Table1[[#This Row],[Price]]</f>
        <v>0</v>
      </c>
    </row>
    <row r="1854" spans="1:9" ht="13.5" customHeight="1" x14ac:dyDescent="0.25">
      <c r="A1854" s="28">
        <v>3423222090920</v>
      </c>
      <c r="B1854" s="29" t="s">
        <v>4776</v>
      </c>
      <c r="C1854" s="30" t="s">
        <v>4777</v>
      </c>
      <c r="D1854" s="31" t="s">
        <v>4778</v>
      </c>
      <c r="E1854" s="51">
        <v>36</v>
      </c>
      <c r="F1854" s="32" t="s">
        <v>15</v>
      </c>
      <c r="G1854" s="32"/>
      <c r="H1854" s="22"/>
      <c r="I1854" s="11">
        <f>Table1[[#This Row],[Qty]]*Table1[[#This Row],[Price]]</f>
        <v>0</v>
      </c>
    </row>
    <row r="1855" spans="1:9" ht="13.5" customHeight="1" x14ac:dyDescent="0.25">
      <c r="A1855" s="28">
        <v>3423222048044</v>
      </c>
      <c r="B1855" s="29" t="s">
        <v>4772</v>
      </c>
      <c r="C1855" s="30" t="s">
        <v>164</v>
      </c>
      <c r="D1855" s="31" t="s">
        <v>4773</v>
      </c>
      <c r="E1855" s="51">
        <v>32</v>
      </c>
      <c r="F1855" s="32" t="s">
        <v>15</v>
      </c>
      <c r="G1855" s="32">
        <v>0</v>
      </c>
      <c r="H1855" s="22"/>
      <c r="I1855" s="11">
        <f>Table1[[#This Row],[Qty]]*Table1[[#This Row],[Price]]</f>
        <v>0</v>
      </c>
    </row>
    <row r="1856" spans="1:9" x14ac:dyDescent="0.25">
      <c r="A1856" s="28">
        <v>3562700373145</v>
      </c>
      <c r="B1856" s="29" t="s">
        <v>2166</v>
      </c>
      <c r="C1856" s="30" t="s">
        <v>2167</v>
      </c>
      <c r="D1856" s="31" t="s">
        <v>2168</v>
      </c>
      <c r="E1856" s="51">
        <v>10.35</v>
      </c>
      <c r="F1856" s="32" t="s">
        <v>15</v>
      </c>
      <c r="G1856" s="32" t="s">
        <v>6389</v>
      </c>
      <c r="H1856" s="12"/>
      <c r="I1856" s="11">
        <f>Table1[[#This Row],[Qty]]*Table1[[#This Row],[Price]]</f>
        <v>0</v>
      </c>
    </row>
    <row r="1857" spans="1:9" x14ac:dyDescent="0.25">
      <c r="A1857" s="28">
        <v>3562700373084</v>
      </c>
      <c r="B1857" s="29" t="s">
        <v>5404</v>
      </c>
      <c r="C1857" s="30" t="s">
        <v>2167</v>
      </c>
      <c r="D1857" s="31" t="s">
        <v>5405</v>
      </c>
      <c r="E1857" s="51">
        <v>13</v>
      </c>
      <c r="F1857" s="32" t="s">
        <v>15</v>
      </c>
      <c r="G1857" s="32" t="s">
        <v>7428</v>
      </c>
      <c r="H1857" s="22"/>
      <c r="I1857" s="11">
        <f>Table1[[#This Row],[Qty]]*Table1[[#This Row],[Price]]</f>
        <v>0</v>
      </c>
    </row>
    <row r="1858" spans="1:9" x14ac:dyDescent="0.25">
      <c r="A1858" s="28">
        <v>8435415049405</v>
      </c>
      <c r="B1858" s="29" t="s">
        <v>233</v>
      </c>
      <c r="C1858" s="30" t="s">
        <v>234</v>
      </c>
      <c r="D1858" s="31" t="s">
        <v>235</v>
      </c>
      <c r="E1858" s="51">
        <v>60</v>
      </c>
      <c r="F1858" s="32" t="s">
        <v>15</v>
      </c>
      <c r="G1858" s="32" t="s">
        <v>5698</v>
      </c>
      <c r="H1858" s="22"/>
      <c r="I1858" s="11">
        <f>Table1[[#This Row],[Qty]]*Table1[[#This Row],[Price]]</f>
        <v>0</v>
      </c>
    </row>
    <row r="1859" spans="1:9" x14ac:dyDescent="0.25">
      <c r="A1859" s="28">
        <v>8435415012027</v>
      </c>
      <c r="B1859" s="29" t="s">
        <v>277</v>
      </c>
      <c r="C1859" s="33" t="s">
        <v>234</v>
      </c>
      <c r="D1859" s="31" t="s">
        <v>278</v>
      </c>
      <c r="E1859" s="51">
        <v>66</v>
      </c>
      <c r="F1859" s="32" t="s">
        <v>15</v>
      </c>
      <c r="G1859" s="32">
        <v>0</v>
      </c>
      <c r="H1859" s="22"/>
      <c r="I1859" s="11">
        <f>Table1[[#This Row],[Qty]]*Table1[[#This Row],[Price]]</f>
        <v>0</v>
      </c>
    </row>
    <row r="1860" spans="1:9" x14ac:dyDescent="0.25">
      <c r="A1860" s="28">
        <v>8435415076838</v>
      </c>
      <c r="B1860" s="29" t="s">
        <v>836</v>
      </c>
      <c r="C1860" s="30" t="s">
        <v>234</v>
      </c>
      <c r="D1860" s="31" t="s">
        <v>837</v>
      </c>
      <c r="E1860" s="51">
        <v>80.97</v>
      </c>
      <c r="F1860" s="32" t="s">
        <v>15</v>
      </c>
      <c r="G1860" s="32" t="s">
        <v>6010</v>
      </c>
      <c r="H1860" s="22"/>
      <c r="I1860" s="11">
        <f>Table1[[#This Row],[Qty]]*Table1[[#This Row],[Price]]</f>
        <v>0</v>
      </c>
    </row>
    <row r="1861" spans="1:9" x14ac:dyDescent="0.25">
      <c r="A1861" s="28">
        <v>3423474776757</v>
      </c>
      <c r="B1861" s="29" t="s">
        <v>871</v>
      </c>
      <c r="C1861" s="30" t="s">
        <v>234</v>
      </c>
      <c r="D1861" s="31" t="s">
        <v>872</v>
      </c>
      <c r="E1861" s="51">
        <v>58.83</v>
      </c>
      <c r="F1861" s="32" t="s">
        <v>15</v>
      </c>
      <c r="G1861" s="32" t="s">
        <v>6025</v>
      </c>
      <c r="H1861" s="22"/>
      <c r="I1861" s="11">
        <f>Table1[[#This Row],[Qty]]*Table1[[#This Row],[Price]]</f>
        <v>0</v>
      </c>
    </row>
    <row r="1862" spans="1:9" x14ac:dyDescent="0.25">
      <c r="A1862" s="28">
        <v>8435415062190</v>
      </c>
      <c r="B1862" s="29" t="s">
        <v>1185</v>
      </c>
      <c r="C1862" s="30" t="s">
        <v>234</v>
      </c>
      <c r="D1862" s="31" t="s">
        <v>1186</v>
      </c>
      <c r="E1862" s="51">
        <v>94.61</v>
      </c>
      <c r="F1862" s="32" t="s">
        <v>15</v>
      </c>
      <c r="G1862" s="32" t="s">
        <v>6158</v>
      </c>
      <c r="H1862" s="22"/>
      <c r="I1862" s="11">
        <f>Table1[[#This Row],[Qty]]*Table1[[#This Row],[Price]]</f>
        <v>0</v>
      </c>
    </row>
    <row r="1863" spans="1:9" x14ac:dyDescent="0.25">
      <c r="A1863" s="28">
        <v>8435415006408</v>
      </c>
      <c r="B1863" s="29" t="s">
        <v>1274</v>
      </c>
      <c r="C1863" s="30" t="s">
        <v>234</v>
      </c>
      <c r="D1863" s="31" t="s">
        <v>1275</v>
      </c>
      <c r="E1863" s="51">
        <v>77.5</v>
      </c>
      <c r="F1863" s="32" t="s">
        <v>15</v>
      </c>
      <c r="G1863" s="32">
        <v>0</v>
      </c>
      <c r="H1863" s="22"/>
      <c r="I1863" s="11">
        <f>Table1[[#This Row],[Qty]]*Table1[[#This Row],[Price]]</f>
        <v>0</v>
      </c>
    </row>
    <row r="1864" spans="1:9" x14ac:dyDescent="0.25">
      <c r="A1864" s="28">
        <v>8435415076203</v>
      </c>
      <c r="B1864" s="29" t="s">
        <v>1365</v>
      </c>
      <c r="C1864" s="33" t="s">
        <v>234</v>
      </c>
      <c r="D1864" s="31" t="s">
        <v>1366</v>
      </c>
      <c r="E1864" s="51">
        <v>52.47</v>
      </c>
      <c r="F1864" s="32" t="s">
        <v>15</v>
      </c>
      <c r="G1864" s="32">
        <v>0</v>
      </c>
      <c r="H1864" s="22"/>
      <c r="I1864" s="11">
        <f>Table1[[#This Row],[Qty]]*Table1[[#This Row],[Price]]</f>
        <v>0</v>
      </c>
    </row>
    <row r="1865" spans="1:9" x14ac:dyDescent="0.25">
      <c r="A1865" s="28">
        <v>8435415017244</v>
      </c>
      <c r="B1865" s="29" t="s">
        <v>2496</v>
      </c>
      <c r="C1865" s="30" t="s">
        <v>234</v>
      </c>
      <c r="D1865" s="31" t="s">
        <v>2497</v>
      </c>
      <c r="E1865" s="51">
        <v>90.5</v>
      </c>
      <c r="F1865" s="32" t="s">
        <v>15</v>
      </c>
      <c r="G1865" s="32" t="s">
        <v>6490</v>
      </c>
      <c r="H1865" s="14"/>
      <c r="I1865" s="11">
        <f>Table1[[#This Row],[Qty]]*Table1[[#This Row],[Price]]</f>
        <v>0</v>
      </c>
    </row>
    <row r="1866" spans="1:9" x14ac:dyDescent="0.25">
      <c r="A1866" s="28">
        <v>8435415030908</v>
      </c>
      <c r="B1866" s="29" t="s">
        <v>3049</v>
      </c>
      <c r="C1866" s="30" t="s">
        <v>234</v>
      </c>
      <c r="D1866" s="31" t="s">
        <v>3050</v>
      </c>
      <c r="E1866" s="51">
        <v>38.15</v>
      </c>
      <c r="F1866" s="32" t="s">
        <v>15</v>
      </c>
      <c r="G1866" s="32">
        <v>0</v>
      </c>
      <c r="H1866" s="12"/>
      <c r="I1866" s="11">
        <f>Table1[[#This Row],[Qty]]*Table1[[#This Row],[Price]]</f>
        <v>0</v>
      </c>
    </row>
    <row r="1867" spans="1:9" x14ac:dyDescent="0.25">
      <c r="A1867" s="28">
        <v>8435415058711</v>
      </c>
      <c r="B1867" s="29" t="s">
        <v>3051</v>
      </c>
      <c r="C1867" s="30" t="s">
        <v>234</v>
      </c>
      <c r="D1867" s="31" t="s">
        <v>3052</v>
      </c>
      <c r="E1867" s="51">
        <v>52.14</v>
      </c>
      <c r="F1867" s="32" t="s">
        <v>15</v>
      </c>
      <c r="G1867" s="32">
        <v>0</v>
      </c>
      <c r="H1867" s="22"/>
      <c r="I1867" s="11">
        <f>Table1[[#This Row],[Qty]]*Table1[[#This Row],[Price]]</f>
        <v>0</v>
      </c>
    </row>
    <row r="1868" spans="1:9" x14ac:dyDescent="0.25">
      <c r="A1868" s="28">
        <v>8435415114363</v>
      </c>
      <c r="B1868" s="29" t="s">
        <v>3377</v>
      </c>
      <c r="C1868" s="30" t="s">
        <v>234</v>
      </c>
      <c r="D1868" s="31" t="s">
        <v>3378</v>
      </c>
      <c r="E1868" s="51">
        <v>94.75</v>
      </c>
      <c r="F1868" s="32" t="s">
        <v>15</v>
      </c>
      <c r="G1868" s="32" t="s">
        <v>6818</v>
      </c>
      <c r="H1868" s="12"/>
      <c r="I1868" s="11">
        <f>Table1[[#This Row],[Qty]]*Table1[[#This Row],[Price]]</f>
        <v>0</v>
      </c>
    </row>
    <row r="1869" spans="1:9" x14ac:dyDescent="0.25">
      <c r="A1869" s="28">
        <v>8435415080422</v>
      </c>
      <c r="B1869" s="29" t="s">
        <v>3814</v>
      </c>
      <c r="C1869" s="30" t="s">
        <v>234</v>
      </c>
      <c r="D1869" s="31" t="s">
        <v>3815</v>
      </c>
      <c r="E1869" s="51">
        <v>75.48</v>
      </c>
      <c r="F1869" s="32" t="s">
        <v>15</v>
      </c>
      <c r="G1869" s="32" t="s">
        <v>7078</v>
      </c>
      <c r="H1869" s="22"/>
      <c r="I1869" s="11">
        <f>Table1[[#This Row],[Qty]]*Table1[[#This Row],[Price]]</f>
        <v>0</v>
      </c>
    </row>
    <row r="1870" spans="1:9" x14ac:dyDescent="0.25">
      <c r="A1870" s="48">
        <v>8435415032520</v>
      </c>
      <c r="B1870" s="41" t="s">
        <v>3858</v>
      </c>
      <c r="C1870" s="6" t="s">
        <v>234</v>
      </c>
      <c r="D1870" t="s">
        <v>3859</v>
      </c>
      <c r="E1870" s="47">
        <v>79</v>
      </c>
      <c r="F1870" s="6" t="s">
        <v>15</v>
      </c>
      <c r="G1870" s="6" t="s">
        <v>7100</v>
      </c>
      <c r="H1870" s="22"/>
      <c r="I1870" s="11">
        <f>Table1[[#This Row],[Qty]]*Table1[[#This Row],[Price]]</f>
        <v>0</v>
      </c>
    </row>
    <row r="1871" spans="1:9" x14ac:dyDescent="0.25">
      <c r="A1871" s="28">
        <v>8435415090728</v>
      </c>
      <c r="B1871" s="29" t="s">
        <v>4575</v>
      </c>
      <c r="C1871" s="30" t="s">
        <v>234</v>
      </c>
      <c r="D1871" s="31" t="s">
        <v>4576</v>
      </c>
      <c r="E1871" s="51">
        <v>84.54</v>
      </c>
      <c r="F1871" s="32" t="s">
        <v>15</v>
      </c>
      <c r="G1871" s="32"/>
      <c r="H1871" s="12"/>
      <c r="I1871" s="11">
        <f>Table1[[#This Row],[Qty]]*Table1[[#This Row],[Price]]</f>
        <v>0</v>
      </c>
    </row>
    <row r="1872" spans="1:9" x14ac:dyDescent="0.25">
      <c r="A1872" s="48">
        <v>8435415092067</v>
      </c>
      <c r="B1872" s="41" t="s">
        <v>5394</v>
      </c>
      <c r="C1872" s="6" t="s">
        <v>234</v>
      </c>
      <c r="D1872" t="s">
        <v>5395</v>
      </c>
      <c r="E1872" s="47">
        <v>26</v>
      </c>
      <c r="F1872" s="6" t="s">
        <v>15</v>
      </c>
      <c r="H1872" s="22"/>
      <c r="I1872" s="11">
        <f>Table1[[#This Row],[Qty]]*Table1[[#This Row],[Price]]</f>
        <v>0</v>
      </c>
    </row>
    <row r="1873" spans="1:9" x14ac:dyDescent="0.25">
      <c r="A1873" s="28">
        <v>5050456000081</v>
      </c>
      <c r="B1873" s="29" t="s">
        <v>1618</v>
      </c>
      <c r="C1873" s="33" t="s">
        <v>1619</v>
      </c>
      <c r="D1873" s="31" t="s">
        <v>1620</v>
      </c>
      <c r="E1873" s="51">
        <v>27.5</v>
      </c>
      <c r="F1873" s="32" t="s">
        <v>15</v>
      </c>
      <c r="G1873" s="32">
        <v>0</v>
      </c>
      <c r="H1873" s="22"/>
      <c r="I1873" s="11">
        <f>Table1[[#This Row],[Qty]]*Table1[[#This Row],[Price]]</f>
        <v>0</v>
      </c>
    </row>
    <row r="1874" spans="1:9" x14ac:dyDescent="0.25">
      <c r="A1874" s="28">
        <v>5050456081004</v>
      </c>
      <c r="B1874" s="29" t="s">
        <v>1919</v>
      </c>
      <c r="C1874" s="30" t="s">
        <v>1619</v>
      </c>
      <c r="D1874" s="31" t="s">
        <v>1920</v>
      </c>
      <c r="E1874" s="51">
        <v>16</v>
      </c>
      <c r="F1874" s="32" t="s">
        <v>15</v>
      </c>
      <c r="G1874" s="32" t="s">
        <v>6337</v>
      </c>
      <c r="H1874" s="12"/>
      <c r="I1874" s="11">
        <f>Table1[[#This Row],[Qty]]*Table1[[#This Row],[Price]]</f>
        <v>0</v>
      </c>
    </row>
    <row r="1875" spans="1:9" x14ac:dyDescent="0.25">
      <c r="A1875" s="28">
        <v>5050456080809</v>
      </c>
      <c r="B1875" s="29" t="s">
        <v>1947</v>
      </c>
      <c r="C1875" s="33" t="s">
        <v>1619</v>
      </c>
      <c r="D1875" s="31" t="s">
        <v>1948</v>
      </c>
      <c r="E1875" s="51">
        <v>15.5</v>
      </c>
      <c r="F1875" s="32" t="s">
        <v>15</v>
      </c>
      <c r="G1875" s="32" t="s">
        <v>6343</v>
      </c>
      <c r="H1875" s="22"/>
      <c r="I1875" s="11">
        <f>Table1[[#This Row],[Qty]]*Table1[[#This Row],[Price]]</f>
        <v>0</v>
      </c>
    </row>
    <row r="1876" spans="1:9" x14ac:dyDescent="0.25">
      <c r="A1876" s="28">
        <v>5050456080601</v>
      </c>
      <c r="B1876" s="29" t="s">
        <v>4508</v>
      </c>
      <c r="C1876" s="30" t="s">
        <v>1619</v>
      </c>
      <c r="D1876" s="31" t="s">
        <v>4509</v>
      </c>
      <c r="E1876" s="51">
        <v>23</v>
      </c>
      <c r="F1876" s="32" t="s">
        <v>15</v>
      </c>
      <c r="G1876" s="32" t="s">
        <v>7406</v>
      </c>
      <c r="H1876" s="22"/>
      <c r="I1876" s="11">
        <f>Table1[[#This Row],[Qty]]*Table1[[#This Row],[Price]]</f>
        <v>0</v>
      </c>
    </row>
    <row r="1877" spans="1:9" x14ac:dyDescent="0.25">
      <c r="A1877" s="28">
        <v>608940540060</v>
      </c>
      <c r="B1877" s="29" t="s">
        <v>1785</v>
      </c>
      <c r="C1877" s="30" t="s">
        <v>1786</v>
      </c>
      <c r="D1877" s="31" t="s">
        <v>1787</v>
      </c>
      <c r="E1877" s="51">
        <v>20.5</v>
      </c>
      <c r="F1877" s="32" t="s">
        <v>15</v>
      </c>
      <c r="G1877" s="32">
        <v>0</v>
      </c>
      <c r="H1877" s="22"/>
      <c r="I1877" s="11">
        <f>Table1[[#This Row],[Qty]]*Table1[[#This Row],[Price]]</f>
        <v>0</v>
      </c>
    </row>
    <row r="1878" spans="1:9" x14ac:dyDescent="0.25">
      <c r="A1878" s="28">
        <v>608940578643</v>
      </c>
      <c r="B1878" s="29" t="s">
        <v>5275</v>
      </c>
      <c r="C1878" s="30" t="s">
        <v>1786</v>
      </c>
      <c r="D1878" s="31" t="s">
        <v>5276</v>
      </c>
      <c r="E1878" s="51">
        <v>12</v>
      </c>
      <c r="F1878" s="32" t="s">
        <v>15</v>
      </c>
      <c r="G1878" s="32">
        <v>0</v>
      </c>
      <c r="H1878" s="22"/>
      <c r="I1878" s="11">
        <f>Table1[[#This Row],[Qty]]*Table1[[#This Row],[Price]]</f>
        <v>0</v>
      </c>
    </row>
    <row r="1879" spans="1:9" x14ac:dyDescent="0.25">
      <c r="A1879" s="28">
        <v>8431754008578</v>
      </c>
      <c r="B1879" s="29" t="s">
        <v>1010</v>
      </c>
      <c r="C1879" s="30" t="s">
        <v>1011</v>
      </c>
      <c r="D1879" s="31" t="s">
        <v>1012</v>
      </c>
      <c r="E1879" s="51">
        <v>26.25</v>
      </c>
      <c r="F1879" s="32" t="s">
        <v>15</v>
      </c>
      <c r="G1879" s="32" t="s">
        <v>6089</v>
      </c>
      <c r="H1879" s="22"/>
      <c r="I1879" s="11">
        <f>Table1[[#This Row],[Qty]]*Table1[[#This Row],[Price]]</f>
        <v>0</v>
      </c>
    </row>
    <row r="1880" spans="1:9" x14ac:dyDescent="0.25">
      <c r="A1880" s="28">
        <v>8431754001814</v>
      </c>
      <c r="B1880" s="29" t="s">
        <v>1575</v>
      </c>
      <c r="C1880" s="30" t="s">
        <v>845</v>
      </c>
      <c r="D1880" s="31" t="s">
        <v>1576</v>
      </c>
      <c r="E1880" s="51">
        <v>29.25</v>
      </c>
      <c r="F1880" s="32" t="s">
        <v>15</v>
      </c>
      <c r="G1880" s="32">
        <v>0</v>
      </c>
      <c r="H1880" s="22"/>
      <c r="I1880" s="11">
        <f>Table1[[#This Row],[Qty]]*Table1[[#This Row],[Price]]</f>
        <v>0</v>
      </c>
    </row>
    <row r="1881" spans="1:9" x14ac:dyDescent="0.25">
      <c r="A1881" s="28">
        <v>8431754002682</v>
      </c>
      <c r="B1881" s="29" t="s">
        <v>1602</v>
      </c>
      <c r="C1881" s="30" t="s">
        <v>845</v>
      </c>
      <c r="D1881" s="31" t="s">
        <v>1603</v>
      </c>
      <c r="E1881" s="51">
        <v>27.75</v>
      </c>
      <c r="F1881" s="32" t="s">
        <v>15</v>
      </c>
      <c r="G1881" s="32">
        <v>0</v>
      </c>
      <c r="H1881" s="12"/>
      <c r="I1881" s="11">
        <f>Table1[[#This Row],[Qty]]*Table1[[#This Row],[Price]]</f>
        <v>0</v>
      </c>
    </row>
    <row r="1882" spans="1:9" x14ac:dyDescent="0.25">
      <c r="A1882" s="28">
        <v>8431754007250</v>
      </c>
      <c r="B1882" s="29" t="s">
        <v>1686</v>
      </c>
      <c r="C1882" s="30" t="s">
        <v>845</v>
      </c>
      <c r="D1882" s="31" t="s">
        <v>1687</v>
      </c>
      <c r="E1882" s="51">
        <v>26.31</v>
      </c>
      <c r="F1882" s="32" t="s">
        <v>15</v>
      </c>
      <c r="G1882" s="32" t="s">
        <v>6271</v>
      </c>
      <c r="H1882" s="12"/>
      <c r="I1882" s="11">
        <f>Table1[[#This Row],[Qty]]*Table1[[#This Row],[Price]]</f>
        <v>0</v>
      </c>
    </row>
    <row r="1883" spans="1:9" x14ac:dyDescent="0.25">
      <c r="A1883" s="28">
        <v>8431754462516</v>
      </c>
      <c r="B1883" s="29" t="s">
        <v>2703</v>
      </c>
      <c r="C1883" s="30" t="s">
        <v>845</v>
      </c>
      <c r="D1883" s="31" t="s">
        <v>2704</v>
      </c>
      <c r="E1883" s="51">
        <v>27</v>
      </c>
      <c r="F1883" s="32" t="s">
        <v>15</v>
      </c>
      <c r="G1883" s="32" t="s">
        <v>6580</v>
      </c>
      <c r="H1883" s="12"/>
      <c r="I1883" s="11">
        <f>Table1[[#This Row],[Qty]]*Table1[[#This Row],[Price]]</f>
        <v>0</v>
      </c>
    </row>
    <row r="1884" spans="1:9" x14ac:dyDescent="0.25">
      <c r="A1884" s="28">
        <v>8431754002019</v>
      </c>
      <c r="B1884" s="29" t="s">
        <v>3044</v>
      </c>
      <c r="C1884" s="30" t="s">
        <v>845</v>
      </c>
      <c r="D1884" s="31" t="s">
        <v>3045</v>
      </c>
      <c r="E1884" s="51">
        <v>16.25</v>
      </c>
      <c r="F1884" s="32" t="s">
        <v>15</v>
      </c>
      <c r="G1884" s="32" t="s">
        <v>6677</v>
      </c>
      <c r="H1884" s="12"/>
      <c r="I1884" s="11">
        <f>Table1[[#This Row],[Qty]]*Table1[[#This Row],[Price]]</f>
        <v>0</v>
      </c>
    </row>
    <row r="1885" spans="1:9" x14ac:dyDescent="0.25">
      <c r="A1885" s="28">
        <v>3386460136549</v>
      </c>
      <c r="B1885" s="29" t="s">
        <v>147</v>
      </c>
      <c r="C1885" s="30" t="s">
        <v>148</v>
      </c>
      <c r="D1885" s="31" t="s">
        <v>149</v>
      </c>
      <c r="E1885" s="51">
        <v>22</v>
      </c>
      <c r="F1885" s="32" t="s">
        <v>15</v>
      </c>
      <c r="G1885" s="32" t="s">
        <v>5660</v>
      </c>
      <c r="H1885" s="12"/>
      <c r="I1885" s="11">
        <f>Table1[[#This Row],[Qty]]*Table1[[#This Row],[Price]]</f>
        <v>0</v>
      </c>
    </row>
    <row r="1886" spans="1:9" x14ac:dyDescent="0.25">
      <c r="A1886" s="28">
        <v>3386460075343</v>
      </c>
      <c r="B1886" s="29" t="s">
        <v>299</v>
      </c>
      <c r="C1886" s="30" t="s">
        <v>148</v>
      </c>
      <c r="D1886" s="31" t="s">
        <v>300</v>
      </c>
      <c r="E1886" s="51">
        <v>23</v>
      </c>
      <c r="F1886" s="32" t="s">
        <v>15</v>
      </c>
      <c r="G1886" s="32" t="s">
        <v>5726</v>
      </c>
      <c r="H1886" s="12"/>
      <c r="I1886" s="11">
        <f>Table1[[#This Row],[Qty]]*Table1[[#This Row],[Price]]</f>
        <v>0</v>
      </c>
    </row>
    <row r="1887" spans="1:9" x14ac:dyDescent="0.25">
      <c r="A1887" s="28">
        <v>3386460141703</v>
      </c>
      <c r="B1887" s="29" t="s">
        <v>1339</v>
      </c>
      <c r="C1887" s="30" t="s">
        <v>148</v>
      </c>
      <c r="D1887" s="31" t="s">
        <v>1340</v>
      </c>
      <c r="E1887" s="51">
        <v>62.54</v>
      </c>
      <c r="F1887" s="32" t="s">
        <v>15</v>
      </c>
      <c r="G1887" s="32">
        <v>0</v>
      </c>
      <c r="H1887" s="12"/>
      <c r="I1887" s="11">
        <f>Table1[[#This Row],[Qty]]*Table1[[#This Row],[Price]]</f>
        <v>0</v>
      </c>
    </row>
    <row r="1888" spans="1:9" x14ac:dyDescent="0.25">
      <c r="A1888" s="28">
        <v>3386460064118</v>
      </c>
      <c r="B1888" s="29" t="s">
        <v>1621</v>
      </c>
      <c r="C1888" s="30" t="s">
        <v>148</v>
      </c>
      <c r="D1888" s="31" t="s">
        <v>1622</v>
      </c>
      <c r="E1888" s="51">
        <v>27.5</v>
      </c>
      <c r="F1888" s="32" t="s">
        <v>15</v>
      </c>
      <c r="G1888" s="32">
        <v>0</v>
      </c>
      <c r="H1888" s="12"/>
      <c r="I1888" s="11">
        <f>Table1[[#This Row],[Qty]]*Table1[[#This Row],[Price]]</f>
        <v>0</v>
      </c>
    </row>
    <row r="1889" spans="1:9" x14ac:dyDescent="0.25">
      <c r="A1889" s="28">
        <v>3386460127073</v>
      </c>
      <c r="B1889" s="29" t="s">
        <v>1797</v>
      </c>
      <c r="C1889" s="30" t="s">
        <v>148</v>
      </c>
      <c r="D1889" s="31" t="s">
        <v>1798</v>
      </c>
      <c r="E1889" s="51">
        <v>20</v>
      </c>
      <c r="F1889" s="32" t="s">
        <v>15</v>
      </c>
      <c r="G1889" s="32">
        <v>0</v>
      </c>
      <c r="H1889" s="12"/>
      <c r="I1889" s="11">
        <f>Table1[[#This Row],[Qty]]*Table1[[#This Row],[Price]]</f>
        <v>0</v>
      </c>
    </row>
    <row r="1890" spans="1:9" x14ac:dyDescent="0.25">
      <c r="A1890" s="28">
        <v>3386460109369</v>
      </c>
      <c r="B1890" s="29" t="s">
        <v>3951</v>
      </c>
      <c r="C1890" s="30" t="s">
        <v>148</v>
      </c>
      <c r="D1890" s="31" t="s">
        <v>3952</v>
      </c>
      <c r="E1890" s="51">
        <v>24.95</v>
      </c>
      <c r="F1890" s="32" t="s">
        <v>15</v>
      </c>
      <c r="G1890" s="32" t="s">
        <v>7141</v>
      </c>
      <c r="H1890" s="12"/>
      <c r="I1890" s="11">
        <f>Table1[[#This Row],[Qty]]*Table1[[#This Row],[Price]]</f>
        <v>0</v>
      </c>
    </row>
    <row r="1891" spans="1:9" x14ac:dyDescent="0.25">
      <c r="A1891" s="28">
        <v>3386460142663</v>
      </c>
      <c r="B1891" s="29" t="s">
        <v>4557</v>
      </c>
      <c r="C1891" s="30" t="s">
        <v>4558</v>
      </c>
      <c r="D1891" s="31" t="s">
        <v>4559</v>
      </c>
      <c r="E1891" s="51">
        <v>44</v>
      </c>
      <c r="F1891" s="32" t="s">
        <v>15</v>
      </c>
      <c r="G1891" s="32"/>
      <c r="H1891" s="12"/>
      <c r="I1891" s="11">
        <f>Table1[[#This Row],[Qty]]*Table1[[#This Row],[Price]]</f>
        <v>0</v>
      </c>
    </row>
    <row r="1892" spans="1:9" x14ac:dyDescent="0.25">
      <c r="A1892" s="28">
        <v>3386460067508</v>
      </c>
      <c r="B1892" s="29" t="s">
        <v>4879</v>
      </c>
      <c r="C1892" s="33" t="s">
        <v>148</v>
      </c>
      <c r="D1892" s="31" t="s">
        <v>4880</v>
      </c>
      <c r="E1892" s="51">
        <v>34.5</v>
      </c>
      <c r="F1892" s="32" t="s">
        <v>15</v>
      </c>
      <c r="G1892" s="32">
        <v>0</v>
      </c>
      <c r="H1892" s="22"/>
      <c r="I1892" s="11">
        <f>Table1[[#This Row],[Qty]]*Table1[[#This Row],[Price]]</f>
        <v>0</v>
      </c>
    </row>
    <row r="1893" spans="1:9" x14ac:dyDescent="0.25">
      <c r="A1893" s="28">
        <v>3386460025508</v>
      </c>
      <c r="B1893" s="29" t="s">
        <v>5330</v>
      </c>
      <c r="C1893" s="30" t="s">
        <v>148</v>
      </c>
      <c r="D1893" s="31" t="s">
        <v>5331</v>
      </c>
      <c r="E1893" s="51">
        <v>12.25</v>
      </c>
      <c r="F1893" s="32" t="s">
        <v>15</v>
      </c>
      <c r="G1893" s="32">
        <v>0</v>
      </c>
      <c r="H1893" s="12"/>
      <c r="I1893" s="11">
        <f>Table1[[#This Row],[Qty]]*Table1[[#This Row],[Price]]</f>
        <v>0</v>
      </c>
    </row>
    <row r="1894" spans="1:9" x14ac:dyDescent="0.25">
      <c r="A1894" s="28">
        <v>860009248601</v>
      </c>
      <c r="B1894" s="29" t="s">
        <v>143</v>
      </c>
      <c r="C1894" s="30" t="s">
        <v>52</v>
      </c>
      <c r="D1894" s="31" t="s">
        <v>144</v>
      </c>
      <c r="E1894" s="51">
        <v>43</v>
      </c>
      <c r="F1894" s="32" t="s">
        <v>15</v>
      </c>
      <c r="G1894" s="32" t="s">
        <v>5658</v>
      </c>
      <c r="H1894" s="22"/>
      <c r="I1894" s="11">
        <f>Table1[[#This Row],[Qty]]*Table1[[#This Row],[Price]]</f>
        <v>0</v>
      </c>
    </row>
    <row r="1895" spans="1:9" x14ac:dyDescent="0.25">
      <c r="A1895" s="28">
        <v>850051043422</v>
      </c>
      <c r="B1895" s="29" t="s">
        <v>217</v>
      </c>
      <c r="C1895" s="30" t="s">
        <v>52</v>
      </c>
      <c r="D1895" s="31" t="s">
        <v>218</v>
      </c>
      <c r="E1895" s="51">
        <v>55</v>
      </c>
      <c r="F1895" s="32" t="s">
        <v>15</v>
      </c>
      <c r="G1895" s="32" t="s">
        <v>5690</v>
      </c>
      <c r="H1895" s="12"/>
      <c r="I1895" s="11">
        <f>Table1[[#This Row],[Qty]]*Table1[[#This Row],[Price]]</f>
        <v>0</v>
      </c>
    </row>
    <row r="1896" spans="1:9" x14ac:dyDescent="0.25">
      <c r="A1896" s="28">
        <v>860009248694</v>
      </c>
      <c r="B1896" s="29" t="s">
        <v>1343</v>
      </c>
      <c r="C1896" s="30" t="s">
        <v>52</v>
      </c>
      <c r="D1896" s="31" t="s">
        <v>1344</v>
      </c>
      <c r="E1896" s="51">
        <v>55.12</v>
      </c>
      <c r="F1896" s="32" t="s">
        <v>15</v>
      </c>
      <c r="G1896" s="32">
        <v>0</v>
      </c>
      <c r="H1896" s="22"/>
      <c r="I1896" s="11">
        <f>Table1[[#This Row],[Qty]]*Table1[[#This Row],[Price]]</f>
        <v>0</v>
      </c>
    </row>
    <row r="1897" spans="1:9" x14ac:dyDescent="0.25">
      <c r="A1897" s="28">
        <v>850062582064</v>
      </c>
      <c r="B1897" s="29" t="s">
        <v>1480</v>
      </c>
      <c r="C1897" s="30" t="s">
        <v>52</v>
      </c>
      <c r="D1897" s="31" t="s">
        <v>1481</v>
      </c>
      <c r="E1897" s="51">
        <v>37.5</v>
      </c>
      <c r="F1897" s="32" t="s">
        <v>15</v>
      </c>
      <c r="G1897" s="32">
        <v>0</v>
      </c>
      <c r="H1897" s="12"/>
      <c r="I1897" s="11">
        <f>Table1[[#This Row],[Qty]]*Table1[[#This Row],[Price]]</f>
        <v>0</v>
      </c>
    </row>
    <row r="1898" spans="1:9" x14ac:dyDescent="0.25">
      <c r="A1898" s="28">
        <v>850062582071</v>
      </c>
      <c r="B1898" s="29" t="s">
        <v>1490</v>
      </c>
      <c r="C1898" s="30" t="s">
        <v>52</v>
      </c>
      <c r="D1898" s="31" t="s">
        <v>1491</v>
      </c>
      <c r="E1898" s="51">
        <v>37</v>
      </c>
      <c r="F1898" s="32" t="s">
        <v>15</v>
      </c>
      <c r="G1898" s="32">
        <v>0</v>
      </c>
      <c r="H1898" s="22"/>
      <c r="I1898" s="11">
        <f>Table1[[#This Row],[Qty]]*Table1[[#This Row],[Price]]</f>
        <v>0</v>
      </c>
    </row>
    <row r="1899" spans="1:9" x14ac:dyDescent="0.25">
      <c r="A1899" s="28">
        <v>850051043033</v>
      </c>
      <c r="B1899" s="29" t="s">
        <v>3730</v>
      </c>
      <c r="C1899" s="30" t="s">
        <v>52</v>
      </c>
      <c r="D1899" s="31" t="s">
        <v>3731</v>
      </c>
      <c r="E1899" s="51">
        <v>52.4</v>
      </c>
      <c r="F1899" s="32" t="s">
        <v>15</v>
      </c>
      <c r="G1899" s="32" t="s">
        <v>7037</v>
      </c>
      <c r="H1899" s="22"/>
      <c r="I1899" s="11">
        <f>Table1[[#This Row],[Qty]]*Table1[[#This Row],[Price]]</f>
        <v>0</v>
      </c>
    </row>
    <row r="1900" spans="1:9" x14ac:dyDescent="0.25">
      <c r="A1900" s="28">
        <v>860009248632</v>
      </c>
      <c r="B1900" s="29" t="s">
        <v>3856</v>
      </c>
      <c r="C1900" s="30" t="s">
        <v>52</v>
      </c>
      <c r="D1900" s="31" t="s">
        <v>3857</v>
      </c>
      <c r="E1900" s="51">
        <v>46.5</v>
      </c>
      <c r="F1900" s="32" t="s">
        <v>15</v>
      </c>
      <c r="G1900" s="32" t="s">
        <v>7099</v>
      </c>
      <c r="H1900" s="12"/>
      <c r="I1900" s="11">
        <f>Table1[[#This Row],[Qty]]*Table1[[#This Row],[Price]]</f>
        <v>0</v>
      </c>
    </row>
    <row r="1901" spans="1:9" x14ac:dyDescent="0.25">
      <c r="A1901" s="28">
        <v>873824001016</v>
      </c>
      <c r="B1901" s="29" t="s">
        <v>3046</v>
      </c>
      <c r="C1901" s="30" t="s">
        <v>3047</v>
      </c>
      <c r="D1901" s="31" t="s">
        <v>3048</v>
      </c>
      <c r="E1901" s="51">
        <v>23.75</v>
      </c>
      <c r="F1901" s="32" t="s">
        <v>15</v>
      </c>
      <c r="G1901" s="32">
        <v>0</v>
      </c>
      <c r="H1901" s="22"/>
      <c r="I1901" s="11">
        <f>Table1[[#This Row],[Qty]]*Table1[[#This Row],[Price]]</f>
        <v>0</v>
      </c>
    </row>
    <row r="1902" spans="1:9" x14ac:dyDescent="0.25">
      <c r="A1902" s="28">
        <v>719346629379</v>
      </c>
      <c r="B1902" s="29" t="s">
        <v>3053</v>
      </c>
      <c r="C1902" s="30" t="s">
        <v>3047</v>
      </c>
      <c r="D1902" s="31" t="s">
        <v>3054</v>
      </c>
      <c r="E1902" s="51">
        <v>23.5</v>
      </c>
      <c r="F1902" s="32" t="s">
        <v>15</v>
      </c>
      <c r="G1902" s="32">
        <v>0</v>
      </c>
      <c r="H1902" s="12"/>
      <c r="I1902" s="11">
        <f>Table1[[#This Row],[Qty]]*Table1[[#This Row],[Price]]</f>
        <v>0</v>
      </c>
    </row>
    <row r="1903" spans="1:9" x14ac:dyDescent="0.25">
      <c r="A1903" s="28">
        <v>3607345809915</v>
      </c>
      <c r="B1903" s="29" t="s">
        <v>5311</v>
      </c>
      <c r="C1903" s="33" t="s">
        <v>1744</v>
      </c>
      <c r="D1903" s="31" t="s">
        <v>5312</v>
      </c>
      <c r="E1903" s="51">
        <v>17.75</v>
      </c>
      <c r="F1903" s="32" t="s">
        <v>15</v>
      </c>
      <c r="G1903" s="32" t="s">
        <v>7418</v>
      </c>
      <c r="H1903" s="22"/>
      <c r="I1903" s="11">
        <f>Table1[[#This Row],[Qty]]*Table1[[#This Row],[Price]]</f>
        <v>0</v>
      </c>
    </row>
    <row r="1904" spans="1:9" x14ac:dyDescent="0.25">
      <c r="A1904" s="28">
        <v>3414206000059</v>
      </c>
      <c r="B1904" s="29" t="s">
        <v>5277</v>
      </c>
      <c r="C1904" s="30" t="s">
        <v>1744</v>
      </c>
      <c r="D1904" s="31" t="s">
        <v>5278</v>
      </c>
      <c r="E1904" s="51">
        <v>13.7</v>
      </c>
      <c r="F1904" s="32" t="s">
        <v>15</v>
      </c>
      <c r="G1904" s="32">
        <v>0</v>
      </c>
      <c r="H1904" s="12"/>
      <c r="I1904" s="11">
        <f>Table1[[#This Row],[Qty]]*Table1[[#This Row],[Price]]</f>
        <v>0</v>
      </c>
    </row>
    <row r="1905" spans="1:9" x14ac:dyDescent="0.25">
      <c r="A1905" s="28">
        <v>35017008923</v>
      </c>
      <c r="B1905" s="29" t="s">
        <v>2331</v>
      </c>
      <c r="C1905" s="30" t="s">
        <v>2332</v>
      </c>
      <c r="D1905" s="31" t="s">
        <v>2333</v>
      </c>
      <c r="E1905" s="51">
        <v>7.5</v>
      </c>
      <c r="F1905" s="32" t="s">
        <v>15</v>
      </c>
      <c r="G1905" s="32" t="s">
        <v>6415</v>
      </c>
      <c r="H1905" s="22"/>
      <c r="I1905" s="11">
        <f>Table1[[#This Row],[Qty]]*Table1[[#This Row],[Price]]</f>
        <v>0</v>
      </c>
    </row>
    <row r="1906" spans="1:9" x14ac:dyDescent="0.25">
      <c r="A1906" s="28">
        <v>3607341046734</v>
      </c>
      <c r="B1906" s="29" t="s">
        <v>3876</v>
      </c>
      <c r="C1906" s="30" t="s">
        <v>2332</v>
      </c>
      <c r="D1906" s="31" t="s">
        <v>3877</v>
      </c>
      <c r="E1906" s="51">
        <v>4</v>
      </c>
      <c r="F1906" s="32" t="s">
        <v>15</v>
      </c>
      <c r="G1906" s="32" t="s">
        <v>7108</v>
      </c>
      <c r="H1906" s="22"/>
      <c r="I1906" s="11">
        <f>Table1[[#This Row],[Qty]]*Table1[[#This Row],[Price]]</f>
        <v>0</v>
      </c>
    </row>
    <row r="1907" spans="1:9" x14ac:dyDescent="0.25">
      <c r="A1907" s="28">
        <v>3614229832259</v>
      </c>
      <c r="B1907" s="29" t="s">
        <v>4943</v>
      </c>
      <c r="C1907" s="30" t="s">
        <v>2332</v>
      </c>
      <c r="D1907" s="31" t="s">
        <v>4944</v>
      </c>
      <c r="E1907" s="51">
        <v>6.65</v>
      </c>
      <c r="F1907" s="32" t="s">
        <v>15</v>
      </c>
      <c r="G1907" s="32">
        <v>0</v>
      </c>
      <c r="H1907" s="22"/>
      <c r="I1907" s="11">
        <f>Table1[[#This Row],[Qty]]*Table1[[#This Row],[Price]]</f>
        <v>0</v>
      </c>
    </row>
    <row r="1908" spans="1:9" x14ac:dyDescent="0.25">
      <c r="A1908" s="28">
        <v>98691047718</v>
      </c>
      <c r="B1908" s="29" t="s">
        <v>1586</v>
      </c>
      <c r="C1908" s="30" t="s">
        <v>1587</v>
      </c>
      <c r="D1908" s="31" t="s">
        <v>1588</v>
      </c>
      <c r="E1908" s="51">
        <v>28.5</v>
      </c>
      <c r="F1908" s="32" t="s">
        <v>15</v>
      </c>
      <c r="G1908" s="32">
        <v>0</v>
      </c>
      <c r="H1908" s="12"/>
      <c r="I1908" s="11">
        <f>Table1[[#This Row],[Qty]]*Table1[[#This Row],[Price]]</f>
        <v>0</v>
      </c>
    </row>
    <row r="1909" spans="1:9" x14ac:dyDescent="0.25">
      <c r="A1909" s="28">
        <v>719346628365</v>
      </c>
      <c r="B1909" s="29" t="s">
        <v>1636</v>
      </c>
      <c r="C1909" s="30" t="s">
        <v>1587</v>
      </c>
      <c r="D1909" s="31" t="s">
        <v>1637</v>
      </c>
      <c r="E1909" s="51">
        <v>27</v>
      </c>
      <c r="F1909" s="32" t="s">
        <v>15</v>
      </c>
      <c r="G1909" s="32">
        <v>0</v>
      </c>
      <c r="H1909" s="12"/>
      <c r="I1909" s="11">
        <f>Table1[[#This Row],[Qty]]*Table1[[#This Row],[Price]]</f>
        <v>0</v>
      </c>
    </row>
    <row r="1910" spans="1:9" x14ac:dyDescent="0.25">
      <c r="A1910" s="28">
        <v>719346167062</v>
      </c>
      <c r="B1910" s="29" t="s">
        <v>1650</v>
      </c>
      <c r="C1910" s="30" t="s">
        <v>1587</v>
      </c>
      <c r="D1910" s="31" t="s">
        <v>1651</v>
      </c>
      <c r="E1910" s="51">
        <v>26.5</v>
      </c>
      <c r="F1910" s="32" t="s">
        <v>15</v>
      </c>
      <c r="G1910" s="32">
        <v>0</v>
      </c>
      <c r="H1910" s="22"/>
      <c r="I1910" s="11">
        <f>Table1[[#This Row],[Qty]]*Table1[[#This Row],[Price]]</f>
        <v>0</v>
      </c>
    </row>
    <row r="1911" spans="1:9" x14ac:dyDescent="0.25">
      <c r="A1911" s="28">
        <v>719346257138</v>
      </c>
      <c r="B1911" s="29" t="s">
        <v>4522</v>
      </c>
      <c r="C1911" s="30" t="s">
        <v>1587</v>
      </c>
      <c r="D1911" s="31" t="s">
        <v>4523</v>
      </c>
      <c r="E1911" s="51">
        <v>39</v>
      </c>
      <c r="F1911" s="32" t="s">
        <v>15</v>
      </c>
      <c r="G1911" s="32">
        <v>0</v>
      </c>
      <c r="H1911" s="12"/>
      <c r="I1911" s="11">
        <f>Table1[[#This Row],[Qty]]*Table1[[#This Row],[Price]]</f>
        <v>0</v>
      </c>
    </row>
    <row r="1912" spans="1:9" x14ac:dyDescent="0.25">
      <c r="A1912" s="28">
        <v>3607343820318</v>
      </c>
      <c r="B1912" s="29" t="s">
        <v>3754</v>
      </c>
      <c r="C1912" s="30" t="s">
        <v>699</v>
      </c>
      <c r="D1912" s="31" t="s">
        <v>3755</v>
      </c>
      <c r="E1912" s="51">
        <v>15.12</v>
      </c>
      <c r="F1912" s="32" t="s">
        <v>15</v>
      </c>
      <c r="G1912" s="32" t="s">
        <v>7049</v>
      </c>
      <c r="H1912" s="12"/>
      <c r="I1912" s="11">
        <f>Table1[[#This Row],[Qty]]*Table1[[#This Row],[Price]]</f>
        <v>0</v>
      </c>
    </row>
    <row r="1913" spans="1:9" x14ac:dyDescent="0.25">
      <c r="A1913" s="28">
        <v>3607349843076</v>
      </c>
      <c r="B1913" s="29" t="s">
        <v>3756</v>
      </c>
      <c r="C1913" s="30" t="s">
        <v>699</v>
      </c>
      <c r="D1913" s="31" t="s">
        <v>3757</v>
      </c>
      <c r="E1913" s="51">
        <v>10.87</v>
      </c>
      <c r="F1913" s="32" t="s">
        <v>15</v>
      </c>
      <c r="G1913" s="32" t="s">
        <v>7050</v>
      </c>
      <c r="H1913" s="22"/>
      <c r="I1913" s="11">
        <f>Table1[[#This Row],[Qty]]*Table1[[#This Row],[Price]]</f>
        <v>0</v>
      </c>
    </row>
    <row r="1914" spans="1:9" x14ac:dyDescent="0.25">
      <c r="A1914" s="28">
        <v>3614222125167</v>
      </c>
      <c r="B1914" s="29" t="s">
        <v>3804</v>
      </c>
      <c r="C1914" s="30" t="s">
        <v>699</v>
      </c>
      <c r="D1914" s="31" t="s">
        <v>3805</v>
      </c>
      <c r="E1914" s="51">
        <v>14.64</v>
      </c>
      <c r="F1914" s="32" t="s">
        <v>15</v>
      </c>
      <c r="G1914" s="32" t="s">
        <v>7073</v>
      </c>
      <c r="H1914" s="22"/>
      <c r="I1914" s="11">
        <f>Table1[[#This Row],[Qty]]*Table1[[#This Row],[Price]]</f>
        <v>0</v>
      </c>
    </row>
    <row r="1915" spans="1:9" x14ac:dyDescent="0.25">
      <c r="A1915" s="28">
        <v>3607348816552</v>
      </c>
      <c r="B1915" s="29" t="s">
        <v>5285</v>
      </c>
      <c r="C1915" s="30" t="s">
        <v>699</v>
      </c>
      <c r="D1915" s="31" t="s">
        <v>5286</v>
      </c>
      <c r="E1915" s="51">
        <v>19.899999999999999</v>
      </c>
      <c r="F1915" s="32" t="s">
        <v>15</v>
      </c>
      <c r="G1915" s="32" t="s">
        <v>7413</v>
      </c>
      <c r="H1915" s="12"/>
      <c r="I1915" s="11">
        <f>Table1[[#This Row],[Qty]]*Table1[[#This Row],[Price]]</f>
        <v>0</v>
      </c>
    </row>
    <row r="1916" spans="1:9" x14ac:dyDescent="0.25">
      <c r="A1916" s="28">
        <v>608940553893</v>
      </c>
      <c r="B1916" s="29" t="s">
        <v>5431</v>
      </c>
      <c r="C1916" s="30" t="s">
        <v>5432</v>
      </c>
      <c r="D1916" s="31" t="s">
        <v>5433</v>
      </c>
      <c r="E1916" s="51">
        <v>20.25</v>
      </c>
      <c r="F1916" s="32" t="s">
        <v>15</v>
      </c>
      <c r="G1916" s="32">
        <v>0</v>
      </c>
      <c r="H1916" s="12"/>
      <c r="I1916" s="11">
        <f>Table1[[#This Row],[Qty]]*Table1[[#This Row],[Price]]</f>
        <v>0</v>
      </c>
    </row>
    <row r="1917" spans="1:9" x14ac:dyDescent="0.25">
      <c r="A1917" s="28">
        <v>3274872420625</v>
      </c>
      <c r="B1917" s="29" t="s">
        <v>1040</v>
      </c>
      <c r="C1917" s="30" t="s">
        <v>1041</v>
      </c>
      <c r="D1917" s="31" t="s">
        <v>1042</v>
      </c>
      <c r="E1917" s="51">
        <v>41</v>
      </c>
      <c r="F1917" s="32" t="s">
        <v>15</v>
      </c>
      <c r="G1917" s="32" t="s">
        <v>6101</v>
      </c>
      <c r="H1917" s="12"/>
      <c r="I1917" s="11">
        <f>Table1[[#This Row],[Qty]]*Table1[[#This Row],[Price]]</f>
        <v>0</v>
      </c>
    </row>
    <row r="1918" spans="1:9" x14ac:dyDescent="0.25">
      <c r="A1918" s="28">
        <v>3274872404182</v>
      </c>
      <c r="B1918" s="29" t="s">
        <v>1377</v>
      </c>
      <c r="C1918" s="30" t="s">
        <v>1041</v>
      </c>
      <c r="D1918" s="31" t="s">
        <v>1378</v>
      </c>
      <c r="E1918" s="51">
        <v>51.41</v>
      </c>
      <c r="F1918" s="32" t="s">
        <v>15</v>
      </c>
      <c r="G1918" s="32">
        <v>0</v>
      </c>
      <c r="H1918" s="12"/>
      <c r="I1918" s="11">
        <f>Table1[[#This Row],[Qty]]*Table1[[#This Row],[Price]]</f>
        <v>0</v>
      </c>
    </row>
    <row r="1919" spans="1:9" x14ac:dyDescent="0.25">
      <c r="A1919" s="48">
        <v>3274872427204</v>
      </c>
      <c r="B1919" s="41" t="s">
        <v>1461</v>
      </c>
      <c r="C1919" s="6" t="s">
        <v>1041</v>
      </c>
      <c r="D1919" t="s">
        <v>1462</v>
      </c>
      <c r="E1919" s="47">
        <v>42.5</v>
      </c>
      <c r="F1919" s="6" t="s">
        <v>15</v>
      </c>
      <c r="G1919" s="6">
        <v>0</v>
      </c>
      <c r="H1919" s="22"/>
      <c r="I1919" s="11">
        <f>Table1[[#This Row],[Qty]]*Table1[[#This Row],[Price]]</f>
        <v>0</v>
      </c>
    </row>
    <row r="1920" spans="1:9" x14ac:dyDescent="0.25">
      <c r="A1920" s="28">
        <v>3274872420359</v>
      </c>
      <c r="B1920" s="29" t="s">
        <v>3055</v>
      </c>
      <c r="C1920" s="30" t="s">
        <v>1041</v>
      </c>
      <c r="D1920" s="31" t="s">
        <v>3056</v>
      </c>
      <c r="E1920" s="51">
        <v>26.5</v>
      </c>
      <c r="F1920" s="32" t="s">
        <v>15</v>
      </c>
      <c r="G1920" s="32">
        <v>0</v>
      </c>
      <c r="H1920" s="12"/>
      <c r="I1920" s="11">
        <f>Table1[[#This Row],[Qty]]*Table1[[#This Row],[Price]]</f>
        <v>0</v>
      </c>
    </row>
    <row r="1921" spans="1:9" x14ac:dyDescent="0.25">
      <c r="A1921" s="28">
        <v>3274872404199</v>
      </c>
      <c r="B1921" s="29" t="s">
        <v>4851</v>
      </c>
      <c r="C1921" s="30" t="s">
        <v>1041</v>
      </c>
      <c r="D1921" s="31" t="s">
        <v>4852</v>
      </c>
      <c r="E1921" s="51">
        <v>16.149999999999999</v>
      </c>
      <c r="F1921" s="32" t="s">
        <v>15</v>
      </c>
      <c r="G1921" s="32">
        <v>0</v>
      </c>
      <c r="H1921" s="14"/>
      <c r="I1921" s="11">
        <f>Table1[[#This Row],[Qty]]*Table1[[#This Row],[Price]]</f>
        <v>0</v>
      </c>
    </row>
    <row r="1922" spans="1:9" x14ac:dyDescent="0.25">
      <c r="A1922" s="28">
        <v>6291107979748</v>
      </c>
      <c r="B1922" s="29" t="s">
        <v>3422</v>
      </c>
      <c r="C1922" s="30" t="s">
        <v>3423</v>
      </c>
      <c r="D1922" s="31" t="s">
        <v>3424</v>
      </c>
      <c r="E1922" s="51">
        <v>20.61</v>
      </c>
      <c r="F1922" s="32" t="s">
        <v>15</v>
      </c>
      <c r="G1922" s="32" t="s">
        <v>6837</v>
      </c>
      <c r="H1922" s="12"/>
      <c r="I1922" s="11">
        <f>Table1[[#This Row],[Qty]]*Table1[[#This Row],[Price]]</f>
        <v>0</v>
      </c>
    </row>
    <row r="1923" spans="1:9" x14ac:dyDescent="0.25">
      <c r="A1923" s="28">
        <v>6291107976556</v>
      </c>
      <c r="B1923" s="29" t="s">
        <v>5125</v>
      </c>
      <c r="C1923" s="30" t="s">
        <v>4978</v>
      </c>
      <c r="D1923" s="31" t="s">
        <v>5126</v>
      </c>
      <c r="E1923" s="51">
        <v>25</v>
      </c>
      <c r="F1923" s="32" t="s">
        <v>15</v>
      </c>
      <c r="G1923" s="32"/>
      <c r="H1923" s="12"/>
      <c r="I1923" s="11">
        <f>Table1[[#This Row],[Qty]]*Table1[[#This Row],[Price]]</f>
        <v>0</v>
      </c>
    </row>
    <row r="1924" spans="1:9" x14ac:dyDescent="0.25">
      <c r="A1924" s="28">
        <v>6291107977041</v>
      </c>
      <c r="B1924" s="29" t="s">
        <v>5119</v>
      </c>
      <c r="C1924" s="30" t="s">
        <v>4978</v>
      </c>
      <c r="D1924" s="31" t="s">
        <v>5120</v>
      </c>
      <c r="E1924" s="51">
        <v>14.45</v>
      </c>
      <c r="F1924" s="32" t="s">
        <v>15</v>
      </c>
      <c r="G1924" s="32"/>
      <c r="H1924" s="22"/>
      <c r="I1924" s="11">
        <f>Table1[[#This Row],[Qty]]*Table1[[#This Row],[Price]]</f>
        <v>0</v>
      </c>
    </row>
    <row r="1925" spans="1:9" x14ac:dyDescent="0.25">
      <c r="A1925" s="28">
        <v>6291107973456</v>
      </c>
      <c r="B1925" s="29" t="s">
        <v>5090</v>
      </c>
      <c r="C1925" s="30" t="s">
        <v>4978</v>
      </c>
      <c r="D1925" s="31" t="s">
        <v>5091</v>
      </c>
      <c r="E1925" s="51">
        <v>13.5</v>
      </c>
      <c r="F1925" s="32" t="s">
        <v>15</v>
      </c>
      <c r="G1925" s="32"/>
      <c r="H1925" s="14"/>
      <c r="I1925" s="11">
        <f>Table1[[#This Row],[Qty]]*Table1[[#This Row],[Price]]</f>
        <v>0</v>
      </c>
    </row>
    <row r="1926" spans="1:9" x14ac:dyDescent="0.25">
      <c r="A1926" s="28">
        <v>6291107975405</v>
      </c>
      <c r="B1926" s="29" t="s">
        <v>5096</v>
      </c>
      <c r="C1926" s="30" t="s">
        <v>4978</v>
      </c>
      <c r="D1926" s="31" t="s">
        <v>5097</v>
      </c>
      <c r="E1926" s="51">
        <v>12.95</v>
      </c>
      <c r="F1926" s="32" t="s">
        <v>15</v>
      </c>
      <c r="G1926" s="32"/>
      <c r="H1926" s="22"/>
      <c r="I1926" s="11">
        <f>Table1[[#This Row],[Qty]]*Table1[[#This Row],[Price]]</f>
        <v>0</v>
      </c>
    </row>
    <row r="1927" spans="1:9" x14ac:dyDescent="0.25">
      <c r="A1927" s="28">
        <v>6291107975504</v>
      </c>
      <c r="B1927" s="29" t="s">
        <v>5010</v>
      </c>
      <c r="C1927" s="30" t="s">
        <v>4978</v>
      </c>
      <c r="D1927" s="31" t="s">
        <v>5011</v>
      </c>
      <c r="E1927" s="51">
        <v>11.75</v>
      </c>
      <c r="F1927" s="32" t="s">
        <v>15</v>
      </c>
      <c r="G1927" s="32"/>
      <c r="H1927" s="12"/>
      <c r="I1927" s="11">
        <f>Table1[[#This Row],[Qty]]*Table1[[#This Row],[Price]]</f>
        <v>0</v>
      </c>
    </row>
    <row r="1928" spans="1:9" x14ac:dyDescent="0.25">
      <c r="A1928" s="28">
        <v>6291107972947</v>
      </c>
      <c r="B1928" s="29" t="s">
        <v>4977</v>
      </c>
      <c r="C1928" s="30" t="s">
        <v>4978</v>
      </c>
      <c r="D1928" s="31" t="s">
        <v>4979</v>
      </c>
      <c r="E1928" s="51">
        <v>9.4499999999999993</v>
      </c>
      <c r="F1928" s="32" t="s">
        <v>15</v>
      </c>
      <c r="G1928" s="32"/>
      <c r="H1928" s="22"/>
      <c r="I1928" s="11">
        <f>Table1[[#This Row],[Qty]]*Table1[[#This Row],[Price]]</f>
        <v>0</v>
      </c>
    </row>
    <row r="1929" spans="1:9" x14ac:dyDescent="0.25">
      <c r="A1929" s="28">
        <v>7060988539162</v>
      </c>
      <c r="B1929" s="29" t="s">
        <v>3642</v>
      </c>
      <c r="C1929" s="30" t="s">
        <v>3643</v>
      </c>
      <c r="D1929" s="31" t="s">
        <v>3644</v>
      </c>
      <c r="E1929" s="51">
        <v>35.72</v>
      </c>
      <c r="F1929" s="32" t="s">
        <v>15</v>
      </c>
      <c r="G1929" s="32" t="s">
        <v>6946</v>
      </c>
      <c r="H1929" s="22"/>
      <c r="I1929" s="11">
        <f>Table1[[#This Row],[Qty]]*Table1[[#This Row],[Price]]</f>
        <v>0</v>
      </c>
    </row>
    <row r="1930" spans="1:9" x14ac:dyDescent="0.25">
      <c r="A1930" s="28">
        <v>724991659640</v>
      </c>
      <c r="B1930" s="29" t="s">
        <v>3645</v>
      </c>
      <c r="C1930" s="33" t="s">
        <v>3643</v>
      </c>
      <c r="D1930" s="31" t="s">
        <v>3646</v>
      </c>
      <c r="E1930" s="51">
        <v>35.83</v>
      </c>
      <c r="F1930" s="32" t="s">
        <v>15</v>
      </c>
      <c r="G1930" s="32" t="s">
        <v>6947</v>
      </c>
      <c r="H1930" s="22"/>
      <c r="I1930" s="11">
        <f>Table1[[#This Row],[Qty]]*Table1[[#This Row],[Price]]</f>
        <v>0</v>
      </c>
    </row>
    <row r="1931" spans="1:9" x14ac:dyDescent="0.25">
      <c r="A1931" s="28">
        <v>3616303459901</v>
      </c>
      <c r="B1931" s="29" t="s">
        <v>241</v>
      </c>
      <c r="C1931" s="30" t="s">
        <v>242</v>
      </c>
      <c r="D1931" s="31" t="s">
        <v>243</v>
      </c>
      <c r="E1931" s="51">
        <v>20.87</v>
      </c>
      <c r="F1931" s="32" t="s">
        <v>15</v>
      </c>
      <c r="G1931" s="32" t="s">
        <v>5701</v>
      </c>
      <c r="H1931" s="12"/>
      <c r="I1931" s="11">
        <f>Table1[[#This Row],[Qty]]*Table1[[#This Row],[Price]]</f>
        <v>0</v>
      </c>
    </row>
    <row r="1932" spans="1:9" x14ac:dyDescent="0.25">
      <c r="A1932" s="28">
        <v>3614228228671</v>
      </c>
      <c r="B1932" s="29" t="s">
        <v>1108</v>
      </c>
      <c r="C1932" s="30" t="s">
        <v>242</v>
      </c>
      <c r="D1932" s="31" t="s">
        <v>1109</v>
      </c>
      <c r="E1932" s="51">
        <v>26</v>
      </c>
      <c r="F1932" s="32" t="s">
        <v>15</v>
      </c>
      <c r="G1932" s="32">
        <v>0</v>
      </c>
      <c r="H1932" s="22"/>
      <c r="I1932" s="11">
        <f>Table1[[#This Row],[Qty]]*Table1[[#This Row],[Price]]</f>
        <v>0</v>
      </c>
    </row>
    <row r="1933" spans="1:9" x14ac:dyDescent="0.25">
      <c r="A1933" s="28">
        <v>737052896045</v>
      </c>
      <c r="B1933" s="29" t="s">
        <v>1437</v>
      </c>
      <c r="C1933" s="33" t="s">
        <v>242</v>
      </c>
      <c r="D1933" s="31" t="s">
        <v>1438</v>
      </c>
      <c r="E1933" s="51">
        <v>43.75</v>
      </c>
      <c r="F1933" s="32" t="s">
        <v>15</v>
      </c>
      <c r="G1933" s="32">
        <v>0</v>
      </c>
      <c r="H1933" s="22"/>
      <c r="I1933" s="11">
        <f>Table1[[#This Row],[Qty]]*Table1[[#This Row],[Price]]</f>
        <v>0</v>
      </c>
    </row>
    <row r="1934" spans="1:9" x14ac:dyDescent="0.25">
      <c r="A1934" s="28">
        <v>3616303459949</v>
      </c>
      <c r="B1934" s="29" t="s">
        <v>1652</v>
      </c>
      <c r="C1934" s="30" t="s">
        <v>242</v>
      </c>
      <c r="D1934" s="31" t="s">
        <v>1653</v>
      </c>
      <c r="E1934" s="51">
        <v>26.5</v>
      </c>
      <c r="F1934" s="32" t="s">
        <v>15</v>
      </c>
      <c r="G1934" s="32">
        <v>0</v>
      </c>
      <c r="H1934" s="12"/>
      <c r="I1934" s="11">
        <f>Table1[[#This Row],[Qty]]*Table1[[#This Row],[Price]]</f>
        <v>0</v>
      </c>
    </row>
    <row r="1935" spans="1:9" x14ac:dyDescent="0.25">
      <c r="A1935" s="28">
        <v>737052662664</v>
      </c>
      <c r="B1935" s="29" t="s">
        <v>3063</v>
      </c>
      <c r="C1935" s="30" t="s">
        <v>242</v>
      </c>
      <c r="D1935" s="31" t="s">
        <v>3064</v>
      </c>
      <c r="E1935" s="51">
        <v>30.5</v>
      </c>
      <c r="F1935" s="32" t="s">
        <v>15</v>
      </c>
      <c r="G1935" s="32">
        <v>0</v>
      </c>
      <c r="H1935" s="22"/>
      <c r="I1935" s="11">
        <f>Table1[[#This Row],[Qty]]*Table1[[#This Row],[Price]]</f>
        <v>0</v>
      </c>
    </row>
    <row r="1936" spans="1:9" x14ac:dyDescent="0.25">
      <c r="A1936" s="28">
        <v>3386460149297</v>
      </c>
      <c r="B1936" s="29" t="s">
        <v>3846</v>
      </c>
      <c r="C1936" s="30" t="s">
        <v>242</v>
      </c>
      <c r="D1936" s="31" t="s">
        <v>3847</v>
      </c>
      <c r="E1936" s="51">
        <v>22.86</v>
      </c>
      <c r="F1936" s="32" t="s">
        <v>15</v>
      </c>
      <c r="G1936" s="32" t="s">
        <v>7094</v>
      </c>
      <c r="H1936" s="12"/>
      <c r="I1936" s="11">
        <f>Table1[[#This Row],[Qty]]*Table1[[#This Row],[Price]]</f>
        <v>0</v>
      </c>
    </row>
    <row r="1937" spans="1:9" x14ac:dyDescent="0.25">
      <c r="A1937" s="28">
        <v>3386460149334</v>
      </c>
      <c r="B1937" s="29" t="s">
        <v>3902</v>
      </c>
      <c r="C1937" s="30" t="s">
        <v>242</v>
      </c>
      <c r="D1937" s="31" t="s">
        <v>3903</v>
      </c>
      <c r="E1937" s="51">
        <v>20.87</v>
      </c>
      <c r="F1937" s="32" t="s">
        <v>15</v>
      </c>
      <c r="G1937" s="32" t="s">
        <v>7120</v>
      </c>
      <c r="H1937" s="22"/>
      <c r="I1937" s="11">
        <f>Table1[[#This Row],[Qty]]*Table1[[#This Row],[Price]]</f>
        <v>0</v>
      </c>
    </row>
    <row r="1938" spans="1:9" x14ac:dyDescent="0.25">
      <c r="A1938" s="28">
        <v>3454960023284</v>
      </c>
      <c r="B1938" s="29" t="s">
        <v>1801</v>
      </c>
      <c r="C1938" s="30" t="s">
        <v>1802</v>
      </c>
      <c r="D1938" s="31" t="s">
        <v>1803</v>
      </c>
      <c r="E1938" s="51">
        <v>20</v>
      </c>
      <c r="F1938" s="32" t="s">
        <v>15</v>
      </c>
      <c r="G1938" s="32">
        <v>0</v>
      </c>
      <c r="H1938" s="22"/>
      <c r="I1938" s="11">
        <f>Table1[[#This Row],[Qty]]*Table1[[#This Row],[Price]]</f>
        <v>0</v>
      </c>
    </row>
    <row r="1939" spans="1:9" x14ac:dyDescent="0.25">
      <c r="A1939" s="28">
        <v>3454960007468</v>
      </c>
      <c r="B1939" s="29" t="s">
        <v>1837</v>
      </c>
      <c r="C1939" s="33" t="s">
        <v>1802</v>
      </c>
      <c r="D1939" s="31" t="s">
        <v>1838</v>
      </c>
      <c r="E1939" s="51">
        <v>18.5</v>
      </c>
      <c r="F1939" s="32" t="s">
        <v>15</v>
      </c>
      <c r="G1939" s="32">
        <v>0</v>
      </c>
      <c r="H1939" s="22"/>
      <c r="I1939" s="11">
        <f>Table1[[#This Row],[Qty]]*Table1[[#This Row],[Price]]</f>
        <v>0</v>
      </c>
    </row>
    <row r="1940" spans="1:9" x14ac:dyDescent="0.25">
      <c r="A1940" s="28">
        <v>7640111501466</v>
      </c>
      <c r="B1940" s="29" t="s">
        <v>2729</v>
      </c>
      <c r="C1940" s="30" t="s">
        <v>1802</v>
      </c>
      <c r="D1940" s="31" t="s">
        <v>2730</v>
      </c>
      <c r="E1940" s="51">
        <v>18.399999999999999</v>
      </c>
      <c r="F1940" s="32" t="s">
        <v>15</v>
      </c>
      <c r="G1940" s="32">
        <v>0</v>
      </c>
      <c r="H1940" s="12"/>
      <c r="I1940" s="11">
        <f>Table1[[#This Row],[Qty]]*Table1[[#This Row],[Price]]</f>
        <v>0</v>
      </c>
    </row>
    <row r="1941" spans="1:9" x14ac:dyDescent="0.25">
      <c r="A1941" s="28">
        <v>3454960022522</v>
      </c>
      <c r="B1941" s="29" t="s">
        <v>3068</v>
      </c>
      <c r="C1941" s="30" t="s">
        <v>1802</v>
      </c>
      <c r="D1941" s="31" t="s">
        <v>3069</v>
      </c>
      <c r="E1941" s="51">
        <v>15.7</v>
      </c>
      <c r="F1941" s="32" t="s">
        <v>15</v>
      </c>
      <c r="G1941" s="32" t="s">
        <v>6682</v>
      </c>
      <c r="H1941" s="12"/>
      <c r="I1941" s="11">
        <f>Table1[[#This Row],[Qty]]*Table1[[#This Row],[Price]]</f>
        <v>0</v>
      </c>
    </row>
    <row r="1942" spans="1:9" x14ac:dyDescent="0.25">
      <c r="A1942" s="28">
        <v>7640111500902</v>
      </c>
      <c r="B1942" s="29" t="s">
        <v>4490</v>
      </c>
      <c r="C1942" s="30" t="s">
        <v>1802</v>
      </c>
      <c r="D1942" s="31" t="s">
        <v>4491</v>
      </c>
      <c r="E1942" s="51">
        <v>26</v>
      </c>
      <c r="F1942" s="32" t="s">
        <v>15</v>
      </c>
      <c r="G1942" s="32">
        <v>0</v>
      </c>
      <c r="H1942" s="12"/>
      <c r="I1942" s="11">
        <f>Table1[[#This Row],[Qty]]*Table1[[#This Row],[Price]]</f>
        <v>0</v>
      </c>
    </row>
    <row r="1943" spans="1:9" x14ac:dyDescent="0.25">
      <c r="A1943" s="28">
        <v>3614273922975</v>
      </c>
      <c r="B1943" s="29" t="s">
        <v>856</v>
      </c>
      <c r="C1943" s="30" t="s">
        <v>857</v>
      </c>
      <c r="D1943" s="31" t="s">
        <v>858</v>
      </c>
      <c r="E1943" s="51">
        <v>73.260000000000005</v>
      </c>
      <c r="F1943" s="32" t="s">
        <v>15</v>
      </c>
      <c r="G1943" s="32" t="s">
        <v>6018</v>
      </c>
      <c r="H1943" s="12"/>
      <c r="I1943" s="11">
        <f>Table1[[#This Row],[Qty]]*Table1[[#This Row],[Price]]</f>
        <v>0</v>
      </c>
    </row>
    <row r="1944" spans="1:9" x14ac:dyDescent="0.25">
      <c r="A1944" s="28">
        <v>3147758235500</v>
      </c>
      <c r="B1944" s="29" t="s">
        <v>1266</v>
      </c>
      <c r="C1944" s="30" t="s">
        <v>857</v>
      </c>
      <c r="D1944" s="31" t="s">
        <v>1267</v>
      </c>
      <c r="E1944" s="51">
        <v>67.84</v>
      </c>
      <c r="F1944" s="32" t="s">
        <v>15</v>
      </c>
      <c r="G1944" s="32" t="s">
        <v>6179</v>
      </c>
      <c r="H1944" s="22"/>
      <c r="I1944" s="11">
        <f>Table1[[#This Row],[Qty]]*Table1[[#This Row],[Price]]</f>
        <v>0</v>
      </c>
    </row>
    <row r="1945" spans="1:9" x14ac:dyDescent="0.25">
      <c r="A1945" s="28">
        <v>3147758029383</v>
      </c>
      <c r="B1945" s="29" t="s">
        <v>3057</v>
      </c>
      <c r="C1945" s="30" t="s">
        <v>857</v>
      </c>
      <c r="D1945" s="31" t="s">
        <v>3058</v>
      </c>
      <c r="E1945" s="51">
        <v>46.17</v>
      </c>
      <c r="F1945" s="32" t="s">
        <v>15</v>
      </c>
      <c r="G1945" s="32" t="s">
        <v>6678</v>
      </c>
      <c r="H1945" s="22"/>
      <c r="I1945" s="11">
        <f>Table1[[#This Row],[Qty]]*Table1[[#This Row],[Price]]</f>
        <v>0</v>
      </c>
    </row>
    <row r="1946" spans="1:9" x14ac:dyDescent="0.25">
      <c r="A1946" s="28">
        <v>3605532612768</v>
      </c>
      <c r="B1946" s="29" t="s">
        <v>3059</v>
      </c>
      <c r="C1946" s="30" t="s">
        <v>857</v>
      </c>
      <c r="D1946" s="31" t="s">
        <v>3060</v>
      </c>
      <c r="E1946" s="51">
        <v>50.35</v>
      </c>
      <c r="F1946" s="32" t="s">
        <v>15</v>
      </c>
      <c r="G1946" s="32" t="s">
        <v>6679</v>
      </c>
      <c r="H1946" s="22"/>
      <c r="I1946" s="11">
        <f>Table1[[#This Row],[Qty]]*Table1[[#This Row],[Price]]</f>
        <v>0</v>
      </c>
    </row>
    <row r="1947" spans="1:9" x14ac:dyDescent="0.25">
      <c r="A1947" s="28">
        <v>3147758155112</v>
      </c>
      <c r="B1947" s="29" t="s">
        <v>4756</v>
      </c>
      <c r="C1947" s="30" t="s">
        <v>857</v>
      </c>
      <c r="D1947" s="31" t="s">
        <v>4757</v>
      </c>
      <c r="E1947" s="51">
        <v>68.900000000000006</v>
      </c>
      <c r="F1947" s="32" t="s">
        <v>15</v>
      </c>
      <c r="G1947" s="32">
        <v>0</v>
      </c>
      <c r="H1947" s="12"/>
      <c r="I1947" s="11">
        <f>Table1[[#This Row],[Qty]]*Table1[[#This Row],[Price]]</f>
        <v>0</v>
      </c>
    </row>
    <row r="1948" spans="1:9" x14ac:dyDescent="0.25">
      <c r="A1948" s="28">
        <v>3614272629370</v>
      </c>
      <c r="B1948" s="29" t="s">
        <v>4785</v>
      </c>
      <c r="C1948" s="30" t="s">
        <v>857</v>
      </c>
      <c r="D1948" s="31" t="s">
        <v>4786</v>
      </c>
      <c r="E1948" s="51">
        <v>62.54</v>
      </c>
      <c r="F1948" s="32" t="s">
        <v>15</v>
      </c>
      <c r="G1948" s="32">
        <v>0</v>
      </c>
      <c r="H1948" s="22"/>
      <c r="I1948" s="11">
        <f>Table1[[#This Row],[Qty]]*Table1[[#This Row],[Price]]</f>
        <v>0</v>
      </c>
    </row>
    <row r="1949" spans="1:9" x14ac:dyDescent="0.25">
      <c r="A1949" s="28">
        <v>3147758034912</v>
      </c>
      <c r="B1949" s="29" t="s">
        <v>4551</v>
      </c>
      <c r="C1949" s="30" t="s">
        <v>857</v>
      </c>
      <c r="D1949" s="31" t="s">
        <v>4552</v>
      </c>
      <c r="E1949" s="51">
        <v>51.41</v>
      </c>
      <c r="F1949" s="32" t="s">
        <v>15</v>
      </c>
      <c r="G1949" s="32">
        <v>0</v>
      </c>
      <c r="H1949" s="14"/>
      <c r="I1949" s="11">
        <f>Table1[[#This Row],[Qty]]*Table1[[#This Row],[Price]]</f>
        <v>0</v>
      </c>
    </row>
    <row r="1950" spans="1:9" x14ac:dyDescent="0.25">
      <c r="A1950" s="28">
        <v>3147758029390</v>
      </c>
      <c r="B1950" s="29" t="s">
        <v>4887</v>
      </c>
      <c r="C1950" s="30" t="s">
        <v>4888</v>
      </c>
      <c r="D1950" s="31" t="s">
        <v>4889</v>
      </c>
      <c r="E1950" s="51">
        <v>39</v>
      </c>
      <c r="F1950" s="32" t="s">
        <v>15</v>
      </c>
      <c r="G1950" s="32"/>
      <c r="H1950" s="22"/>
      <c r="I1950" s="11">
        <f>Table1[[#This Row],[Qty]]*Table1[[#This Row],[Price]]</f>
        <v>0</v>
      </c>
    </row>
    <row r="1951" spans="1:9" x14ac:dyDescent="0.25">
      <c r="A1951" s="28">
        <v>3147758034905</v>
      </c>
      <c r="B1951" s="29" t="s">
        <v>4875</v>
      </c>
      <c r="C1951" s="30" t="s">
        <v>857</v>
      </c>
      <c r="D1951" s="31" t="s">
        <v>4876</v>
      </c>
      <c r="E1951" s="51">
        <v>39</v>
      </c>
      <c r="F1951" s="32" t="s">
        <v>15</v>
      </c>
      <c r="G1951" s="32">
        <v>0</v>
      </c>
      <c r="H1951" s="12"/>
      <c r="I1951" s="11">
        <f>Table1[[#This Row],[Qty]]*Table1[[#This Row],[Price]]</f>
        <v>0</v>
      </c>
    </row>
    <row r="1952" spans="1:9" x14ac:dyDescent="0.25">
      <c r="A1952" s="28">
        <v>3386461515671</v>
      </c>
      <c r="B1952" s="29" t="s">
        <v>5325</v>
      </c>
      <c r="C1952" s="30" t="s">
        <v>5326</v>
      </c>
      <c r="D1952" s="31" t="s">
        <v>5327</v>
      </c>
      <c r="E1952" s="51">
        <v>17.5</v>
      </c>
      <c r="F1952" s="32" t="s">
        <v>15</v>
      </c>
      <c r="G1952" s="32">
        <v>0</v>
      </c>
      <c r="H1952" s="12"/>
      <c r="I1952" s="11">
        <f>Table1[[#This Row],[Qty]]*Table1[[#This Row],[Price]]</f>
        <v>0</v>
      </c>
    </row>
    <row r="1953" spans="1:9" x14ac:dyDescent="0.25">
      <c r="A1953" s="28">
        <v>6290362340645</v>
      </c>
      <c r="B1953" s="29" t="s">
        <v>36</v>
      </c>
      <c r="C1953" s="30" t="s">
        <v>22</v>
      </c>
      <c r="D1953" s="31" t="s">
        <v>37</v>
      </c>
      <c r="E1953" s="51">
        <v>10.5</v>
      </c>
      <c r="F1953" s="32" t="s">
        <v>15</v>
      </c>
      <c r="G1953" s="32" t="s">
        <v>5615</v>
      </c>
      <c r="H1953" s="12"/>
      <c r="I1953" s="11">
        <f>Table1[[#This Row],[Qty]]*Table1[[#This Row],[Price]]</f>
        <v>0</v>
      </c>
    </row>
    <row r="1954" spans="1:9" x14ac:dyDescent="0.25">
      <c r="A1954" s="28">
        <v>6290362344407</v>
      </c>
      <c r="B1954" s="29" t="s">
        <v>168</v>
      </c>
      <c r="C1954" s="30" t="s">
        <v>22</v>
      </c>
      <c r="D1954" s="31" t="s">
        <v>169</v>
      </c>
      <c r="E1954" s="51">
        <v>18</v>
      </c>
      <c r="F1954" s="32" t="s">
        <v>15</v>
      </c>
      <c r="G1954" s="32" t="s">
        <v>5668</v>
      </c>
      <c r="H1954" s="22"/>
      <c r="I1954" s="11">
        <f>Table1[[#This Row],[Qty]]*Table1[[#This Row],[Price]]</f>
        <v>0</v>
      </c>
    </row>
    <row r="1955" spans="1:9" x14ac:dyDescent="0.25">
      <c r="A1955" s="28">
        <v>6290362345701</v>
      </c>
      <c r="B1955" s="29" t="s">
        <v>192</v>
      </c>
      <c r="C1955" s="30" t="s">
        <v>22</v>
      </c>
      <c r="D1955" s="31" t="s">
        <v>193</v>
      </c>
      <c r="E1955" s="51">
        <v>10.5</v>
      </c>
      <c r="F1955" s="32" t="s">
        <v>15</v>
      </c>
      <c r="G1955" s="32" t="s">
        <v>5679</v>
      </c>
      <c r="H1955" s="22"/>
      <c r="I1955" s="11">
        <f>Table1[[#This Row],[Qty]]*Table1[[#This Row],[Price]]</f>
        <v>0</v>
      </c>
    </row>
    <row r="1956" spans="1:9" x14ac:dyDescent="0.25">
      <c r="A1956" s="28">
        <v>6290360592176</v>
      </c>
      <c r="B1956" s="29" t="s">
        <v>206</v>
      </c>
      <c r="C1956" s="30" t="s">
        <v>22</v>
      </c>
      <c r="D1956" s="31" t="s">
        <v>207</v>
      </c>
      <c r="E1956" s="51">
        <v>23.8</v>
      </c>
      <c r="F1956" s="32" t="s">
        <v>15</v>
      </c>
      <c r="G1956" s="32" t="s">
        <v>5685</v>
      </c>
      <c r="H1956" s="12"/>
      <c r="I1956" s="11">
        <f>Table1[[#This Row],[Qty]]*Table1[[#This Row],[Price]]</f>
        <v>0</v>
      </c>
    </row>
    <row r="1957" spans="1:9" x14ac:dyDescent="0.25">
      <c r="A1957" s="28">
        <v>6290360592749</v>
      </c>
      <c r="B1957" s="29" t="s">
        <v>213</v>
      </c>
      <c r="C1957" s="30" t="s">
        <v>22</v>
      </c>
      <c r="D1957" s="31" t="s">
        <v>214</v>
      </c>
      <c r="E1957" s="51">
        <v>11.75</v>
      </c>
      <c r="F1957" s="32" t="s">
        <v>15</v>
      </c>
      <c r="G1957" s="32" t="s">
        <v>5688</v>
      </c>
      <c r="H1957" s="14"/>
      <c r="I1957" s="11">
        <f>Table1[[#This Row],[Qty]]*Table1[[#This Row],[Price]]</f>
        <v>0</v>
      </c>
    </row>
    <row r="1958" spans="1:9" x14ac:dyDescent="0.25">
      <c r="A1958" s="28">
        <v>6290360592183</v>
      </c>
      <c r="B1958" s="29" t="s">
        <v>225</v>
      </c>
      <c r="C1958" s="30" t="s">
        <v>22</v>
      </c>
      <c r="D1958" s="31" t="s">
        <v>226</v>
      </c>
      <c r="E1958" s="51">
        <v>28</v>
      </c>
      <c r="F1958" s="32" t="s">
        <v>15</v>
      </c>
      <c r="G1958" s="32" t="s">
        <v>5694</v>
      </c>
      <c r="H1958" s="22"/>
      <c r="I1958" s="11">
        <f>Table1[[#This Row],[Qty]]*Table1[[#This Row],[Price]]</f>
        <v>0</v>
      </c>
    </row>
    <row r="1959" spans="1:9" x14ac:dyDescent="0.25">
      <c r="A1959" s="28">
        <v>6290360592008</v>
      </c>
      <c r="B1959" s="29" t="s">
        <v>229</v>
      </c>
      <c r="C1959" s="30" t="s">
        <v>22</v>
      </c>
      <c r="D1959" s="31" t="s">
        <v>230</v>
      </c>
      <c r="E1959" s="51">
        <v>22.75</v>
      </c>
      <c r="F1959" s="32" t="s">
        <v>15</v>
      </c>
      <c r="G1959" s="32" t="s">
        <v>5696</v>
      </c>
      <c r="H1959" s="12"/>
      <c r="I1959" s="11">
        <f>Table1[[#This Row],[Qty]]*Table1[[#This Row],[Price]]</f>
        <v>0</v>
      </c>
    </row>
    <row r="1960" spans="1:9" x14ac:dyDescent="0.25">
      <c r="A1960" s="28">
        <v>6290360593050</v>
      </c>
      <c r="B1960" s="29" t="s">
        <v>236</v>
      </c>
      <c r="C1960" s="30" t="s">
        <v>22</v>
      </c>
      <c r="D1960" s="31" t="s">
        <v>237</v>
      </c>
      <c r="E1960" s="51">
        <v>24</v>
      </c>
      <c r="F1960" s="32" t="s">
        <v>15</v>
      </c>
      <c r="G1960" s="32" t="s">
        <v>5699</v>
      </c>
      <c r="H1960" s="12"/>
      <c r="I1960" s="11">
        <f>Table1[[#This Row],[Qty]]*Table1[[#This Row],[Price]]</f>
        <v>0</v>
      </c>
    </row>
    <row r="1961" spans="1:9" x14ac:dyDescent="0.25">
      <c r="A1961" s="28">
        <v>6225709721238</v>
      </c>
      <c r="B1961" s="29" t="s">
        <v>267</v>
      </c>
      <c r="C1961" s="30" t="s">
        <v>22</v>
      </c>
      <c r="D1961" s="31" t="s">
        <v>268</v>
      </c>
      <c r="E1961" s="51">
        <v>6.5</v>
      </c>
      <c r="F1961" s="32" t="s">
        <v>15</v>
      </c>
      <c r="G1961" s="32" t="s">
        <v>5712</v>
      </c>
      <c r="H1961" s="22"/>
      <c r="I1961" s="11">
        <f>Table1[[#This Row],[Qty]]*Table1[[#This Row],[Price]]</f>
        <v>0</v>
      </c>
    </row>
    <row r="1962" spans="1:9" x14ac:dyDescent="0.25">
      <c r="A1962" s="28">
        <v>6291108738696</v>
      </c>
      <c r="B1962" s="29" t="s">
        <v>286</v>
      </c>
      <c r="C1962" s="30" t="s">
        <v>22</v>
      </c>
      <c r="D1962" s="31" t="s">
        <v>287</v>
      </c>
      <c r="E1962" s="51">
        <v>15</v>
      </c>
      <c r="F1962" s="32" t="s">
        <v>15</v>
      </c>
      <c r="G1962" s="32" t="s">
        <v>5720</v>
      </c>
      <c r="H1962" s="22"/>
      <c r="I1962" s="11">
        <f>Table1[[#This Row],[Qty]]*Table1[[#This Row],[Price]]</f>
        <v>0</v>
      </c>
    </row>
    <row r="1963" spans="1:9" x14ac:dyDescent="0.25">
      <c r="A1963" s="28">
        <v>6291106064070</v>
      </c>
      <c r="B1963" s="29" t="s">
        <v>293</v>
      </c>
      <c r="C1963" s="30" t="s">
        <v>22</v>
      </c>
      <c r="D1963" s="31" t="s">
        <v>294</v>
      </c>
      <c r="E1963" s="51">
        <v>9</v>
      </c>
      <c r="F1963" s="32" t="s">
        <v>15</v>
      </c>
      <c r="G1963" s="32" t="s">
        <v>5723</v>
      </c>
      <c r="H1963" s="12"/>
      <c r="I1963" s="11">
        <f>Table1[[#This Row],[Qty]]*Table1[[#This Row],[Price]]</f>
        <v>0</v>
      </c>
    </row>
    <row r="1964" spans="1:9" x14ac:dyDescent="0.25">
      <c r="A1964" s="28">
        <v>6290362340287</v>
      </c>
      <c r="B1964" s="29" t="s">
        <v>295</v>
      </c>
      <c r="C1964" s="30" t="s">
        <v>22</v>
      </c>
      <c r="D1964" s="31" t="s">
        <v>296</v>
      </c>
      <c r="E1964" s="51">
        <v>16</v>
      </c>
      <c r="F1964" s="32" t="s">
        <v>15</v>
      </c>
      <c r="G1964" s="32" t="s">
        <v>5724</v>
      </c>
      <c r="H1964" s="22"/>
      <c r="I1964" s="11">
        <f>Table1[[#This Row],[Qty]]*Table1[[#This Row],[Price]]</f>
        <v>0</v>
      </c>
    </row>
    <row r="1965" spans="1:9" x14ac:dyDescent="0.25">
      <c r="A1965" s="28">
        <v>6290360598857</v>
      </c>
      <c r="B1965" s="29" t="s">
        <v>301</v>
      </c>
      <c r="C1965" s="30" t="s">
        <v>22</v>
      </c>
      <c r="D1965" s="31" t="s">
        <v>302</v>
      </c>
      <c r="E1965" s="51">
        <v>16.5</v>
      </c>
      <c r="F1965" s="32" t="s">
        <v>15</v>
      </c>
      <c r="G1965" s="32" t="s">
        <v>5727</v>
      </c>
      <c r="H1965" s="22"/>
      <c r="I1965" s="11">
        <f>Table1[[#This Row],[Qty]]*Table1[[#This Row],[Price]]</f>
        <v>0</v>
      </c>
    </row>
    <row r="1966" spans="1:9" x14ac:dyDescent="0.25">
      <c r="A1966" s="28">
        <v>6291108738092</v>
      </c>
      <c r="B1966" s="29" t="s">
        <v>3886</v>
      </c>
      <c r="C1966" s="30" t="s">
        <v>22</v>
      </c>
      <c r="D1966" s="31" t="s">
        <v>3887</v>
      </c>
      <c r="E1966" s="51">
        <v>13</v>
      </c>
      <c r="F1966" s="32" t="s">
        <v>15</v>
      </c>
      <c r="G1966" s="32" t="s">
        <v>5761</v>
      </c>
      <c r="H1966" s="12"/>
      <c r="I1966" s="11">
        <f>Table1[[#This Row],[Qty]]*Table1[[#This Row],[Price]]</f>
        <v>0</v>
      </c>
    </row>
    <row r="1967" spans="1:9" x14ac:dyDescent="0.25">
      <c r="A1967" s="28">
        <v>6290362340362</v>
      </c>
      <c r="B1967" s="29" t="s">
        <v>312</v>
      </c>
      <c r="C1967" s="30" t="s">
        <v>22</v>
      </c>
      <c r="D1967" s="31" t="s">
        <v>313</v>
      </c>
      <c r="E1967" s="51">
        <v>21.5</v>
      </c>
      <c r="F1967" s="32" t="s">
        <v>15</v>
      </c>
      <c r="G1967" s="32" t="s">
        <v>5766</v>
      </c>
      <c r="H1967" s="22"/>
      <c r="I1967" s="11">
        <f>Table1[[#This Row],[Qty]]*Table1[[#This Row],[Price]]</f>
        <v>0</v>
      </c>
    </row>
    <row r="1968" spans="1:9" x14ac:dyDescent="0.25">
      <c r="A1968" s="48">
        <v>6290362340638</v>
      </c>
      <c r="B1968" s="41" t="s">
        <v>314</v>
      </c>
      <c r="C1968" s="6" t="s">
        <v>22</v>
      </c>
      <c r="D1968" t="s">
        <v>315</v>
      </c>
      <c r="E1968" s="52">
        <v>21.5</v>
      </c>
      <c r="F1968" s="49" t="s">
        <v>15</v>
      </c>
      <c r="G1968" s="49" t="s">
        <v>5767</v>
      </c>
      <c r="H1968" s="22"/>
      <c r="I1968" s="11">
        <f>Table1[[#This Row],[Qty]]*Table1[[#This Row],[Price]]</f>
        <v>0</v>
      </c>
    </row>
    <row r="1969" spans="1:9" x14ac:dyDescent="0.25">
      <c r="A1969" s="28">
        <v>6290360593661</v>
      </c>
      <c r="B1969" s="29" t="s">
        <v>326</v>
      </c>
      <c r="C1969" s="30" t="s">
        <v>22</v>
      </c>
      <c r="D1969" s="31" t="s">
        <v>327</v>
      </c>
      <c r="E1969" s="51">
        <v>20.5</v>
      </c>
      <c r="F1969" s="32" t="s">
        <v>15</v>
      </c>
      <c r="G1969" s="32" t="s">
        <v>5773</v>
      </c>
      <c r="H1969" s="22"/>
      <c r="I1969" s="11">
        <f>Table1[[#This Row],[Qty]]*Table1[[#This Row],[Price]]</f>
        <v>0</v>
      </c>
    </row>
    <row r="1970" spans="1:9" x14ac:dyDescent="0.25">
      <c r="A1970" s="28">
        <v>6290360598864</v>
      </c>
      <c r="B1970" s="29" t="s">
        <v>337</v>
      </c>
      <c r="C1970" s="30" t="s">
        <v>22</v>
      </c>
      <c r="D1970" s="31" t="s">
        <v>338</v>
      </c>
      <c r="E1970" s="51">
        <v>18.170000000000002</v>
      </c>
      <c r="F1970" s="32" t="s">
        <v>15</v>
      </c>
      <c r="G1970" s="32" t="s">
        <v>5781</v>
      </c>
      <c r="H1970" s="22"/>
      <c r="I1970" s="11">
        <f>Table1[[#This Row],[Qty]]*Table1[[#This Row],[Price]]</f>
        <v>0</v>
      </c>
    </row>
    <row r="1971" spans="1:9" x14ac:dyDescent="0.25">
      <c r="A1971" s="28">
        <v>6290362349693</v>
      </c>
      <c r="B1971" s="29" t="s">
        <v>341</v>
      </c>
      <c r="C1971" s="30" t="s">
        <v>22</v>
      </c>
      <c r="D1971" s="31" t="s">
        <v>342</v>
      </c>
      <c r="E1971" s="51">
        <v>26.5</v>
      </c>
      <c r="F1971" s="32" t="s">
        <v>15</v>
      </c>
      <c r="G1971" s="32" t="s">
        <v>5783</v>
      </c>
      <c r="H1971" s="12"/>
      <c r="I1971" s="11">
        <f>Table1[[#This Row],[Qty]]*Table1[[#This Row],[Price]]</f>
        <v>0</v>
      </c>
    </row>
    <row r="1972" spans="1:9" x14ac:dyDescent="0.25">
      <c r="A1972" s="28">
        <v>6290360593142</v>
      </c>
      <c r="B1972" s="29" t="s">
        <v>353</v>
      </c>
      <c r="C1972" s="30" t="s">
        <v>22</v>
      </c>
      <c r="D1972" s="31" t="s">
        <v>354</v>
      </c>
      <c r="E1972" s="51">
        <v>17.239999999999998</v>
      </c>
      <c r="F1972" s="32" t="s">
        <v>15</v>
      </c>
      <c r="G1972" s="32" t="s">
        <v>5789</v>
      </c>
      <c r="H1972" s="12"/>
      <c r="I1972" s="11">
        <f>Table1[[#This Row],[Qty]]*Table1[[#This Row],[Price]]</f>
        <v>0</v>
      </c>
    </row>
    <row r="1973" spans="1:9" x14ac:dyDescent="0.25">
      <c r="A1973" s="28">
        <v>6291107455365</v>
      </c>
      <c r="B1973" s="29" t="s">
        <v>361</v>
      </c>
      <c r="C1973" s="30" t="s">
        <v>22</v>
      </c>
      <c r="D1973" s="31" t="s">
        <v>362</v>
      </c>
      <c r="E1973" s="51">
        <v>12.3</v>
      </c>
      <c r="F1973" s="32" t="s">
        <v>15</v>
      </c>
      <c r="G1973" s="32" t="s">
        <v>5793</v>
      </c>
      <c r="H1973" s="22"/>
      <c r="I1973" s="11">
        <f>Table1[[#This Row],[Qty]]*Table1[[#This Row],[Price]]</f>
        <v>0</v>
      </c>
    </row>
    <row r="1974" spans="1:9" x14ac:dyDescent="0.25">
      <c r="A1974" s="28">
        <v>6290360593166</v>
      </c>
      <c r="B1974" s="29" t="s">
        <v>363</v>
      </c>
      <c r="C1974" s="30" t="s">
        <v>22</v>
      </c>
      <c r="D1974" s="31" t="s">
        <v>364</v>
      </c>
      <c r="E1974" s="51">
        <v>14.5</v>
      </c>
      <c r="F1974" s="32" t="s">
        <v>15</v>
      </c>
      <c r="G1974" s="32" t="s">
        <v>5794</v>
      </c>
      <c r="H1974" s="12"/>
      <c r="I1974" s="11">
        <f>Table1[[#This Row],[Qty]]*Table1[[#This Row],[Price]]</f>
        <v>0</v>
      </c>
    </row>
    <row r="1975" spans="1:9" x14ac:dyDescent="0.25">
      <c r="A1975" s="28">
        <v>6291107456041</v>
      </c>
      <c r="B1975" s="29" t="s">
        <v>365</v>
      </c>
      <c r="C1975" s="30" t="s">
        <v>22</v>
      </c>
      <c r="D1975" s="31" t="s">
        <v>366</v>
      </c>
      <c r="E1975" s="51">
        <v>16</v>
      </c>
      <c r="F1975" s="32" t="s">
        <v>15</v>
      </c>
      <c r="G1975" s="32" t="s">
        <v>5795</v>
      </c>
      <c r="H1975" s="22"/>
      <c r="I1975" s="11">
        <f>Table1[[#This Row],[Qty]]*Table1[[#This Row],[Price]]</f>
        <v>0</v>
      </c>
    </row>
    <row r="1976" spans="1:9" x14ac:dyDescent="0.25">
      <c r="A1976" s="28">
        <v>6290360599113</v>
      </c>
      <c r="B1976" s="29" t="s">
        <v>371</v>
      </c>
      <c r="C1976" s="30" t="s">
        <v>22</v>
      </c>
      <c r="D1976" s="31" t="s">
        <v>372</v>
      </c>
      <c r="E1976" s="51">
        <v>21.92</v>
      </c>
      <c r="F1976" s="32" t="s">
        <v>15</v>
      </c>
      <c r="G1976" s="32" t="s">
        <v>5798</v>
      </c>
      <c r="H1976" s="12"/>
      <c r="I1976" s="11">
        <f>Table1[[#This Row],[Qty]]*Table1[[#This Row],[Price]]</f>
        <v>0</v>
      </c>
    </row>
    <row r="1977" spans="1:9" x14ac:dyDescent="0.25">
      <c r="A1977" s="28">
        <v>6290360593135</v>
      </c>
      <c r="B1977" s="29" t="s">
        <v>373</v>
      </c>
      <c r="C1977" s="30" t="s">
        <v>22</v>
      </c>
      <c r="D1977" s="31" t="s">
        <v>374</v>
      </c>
      <c r="E1977" s="51">
        <v>17.5</v>
      </c>
      <c r="F1977" s="32" t="s">
        <v>15</v>
      </c>
      <c r="G1977" s="32" t="s">
        <v>5799</v>
      </c>
      <c r="H1977" s="12"/>
      <c r="I1977" s="11">
        <f>Table1[[#This Row],[Qty]]*Table1[[#This Row],[Price]]</f>
        <v>0</v>
      </c>
    </row>
    <row r="1978" spans="1:9" x14ac:dyDescent="0.25">
      <c r="A1978" s="28">
        <v>6290360598918</v>
      </c>
      <c r="B1978" s="29" t="s">
        <v>399</v>
      </c>
      <c r="C1978" s="30" t="s">
        <v>22</v>
      </c>
      <c r="D1978" s="31" t="s">
        <v>400</v>
      </c>
      <c r="E1978" s="51">
        <v>22.59</v>
      </c>
      <c r="F1978" s="32" t="s">
        <v>15</v>
      </c>
      <c r="G1978" s="32" t="s">
        <v>5812</v>
      </c>
      <c r="H1978" s="12"/>
      <c r="I1978" s="11">
        <f>Table1[[#This Row],[Qty]]*Table1[[#This Row],[Price]]</f>
        <v>0</v>
      </c>
    </row>
    <row r="1979" spans="1:9" x14ac:dyDescent="0.25">
      <c r="A1979" s="28">
        <v>6290360598888</v>
      </c>
      <c r="B1979" s="29" t="s">
        <v>414</v>
      </c>
      <c r="C1979" s="30" t="s">
        <v>22</v>
      </c>
      <c r="D1979" s="31" t="s">
        <v>415</v>
      </c>
      <c r="E1979" s="51">
        <v>24.51</v>
      </c>
      <c r="F1979" s="32" t="s">
        <v>15</v>
      </c>
      <c r="G1979" s="32" t="s">
        <v>5819</v>
      </c>
      <c r="H1979" s="22"/>
      <c r="I1979" s="11">
        <f>Table1[[#This Row],[Qty]]*Table1[[#This Row],[Price]]</f>
        <v>0</v>
      </c>
    </row>
    <row r="1980" spans="1:9" x14ac:dyDescent="0.25">
      <c r="A1980" s="28">
        <v>6291108738221</v>
      </c>
      <c r="B1980" s="29" t="s">
        <v>428</v>
      </c>
      <c r="C1980" s="30" t="s">
        <v>22</v>
      </c>
      <c r="D1980" s="31" t="s">
        <v>429</v>
      </c>
      <c r="E1980" s="51">
        <v>16.5</v>
      </c>
      <c r="F1980" s="32" t="s">
        <v>15</v>
      </c>
      <c r="G1980" s="32" t="s">
        <v>5826</v>
      </c>
      <c r="H1980" s="22"/>
      <c r="I1980" s="11">
        <f>Table1[[#This Row],[Qty]]*Table1[[#This Row],[Price]]</f>
        <v>0</v>
      </c>
    </row>
    <row r="1981" spans="1:9" x14ac:dyDescent="0.25">
      <c r="A1981" s="28">
        <v>6290362345138</v>
      </c>
      <c r="B1981" s="29" t="s">
        <v>430</v>
      </c>
      <c r="C1981" s="30" t="s">
        <v>22</v>
      </c>
      <c r="D1981" s="31" t="s">
        <v>431</v>
      </c>
      <c r="E1981" s="51">
        <v>19.5</v>
      </c>
      <c r="F1981" s="32" t="s">
        <v>15</v>
      </c>
      <c r="G1981" s="32" t="s">
        <v>5827</v>
      </c>
      <c r="H1981" s="22"/>
      <c r="I1981" s="11">
        <f>Table1[[#This Row],[Qty]]*Table1[[#This Row],[Price]]</f>
        <v>0</v>
      </c>
    </row>
    <row r="1982" spans="1:9" x14ac:dyDescent="0.25">
      <c r="A1982" s="28">
        <v>6291108738498</v>
      </c>
      <c r="B1982" s="29" t="s">
        <v>436</v>
      </c>
      <c r="C1982" s="30" t="s">
        <v>22</v>
      </c>
      <c r="D1982" s="31" t="s">
        <v>437</v>
      </c>
      <c r="E1982" s="51">
        <v>15.84</v>
      </c>
      <c r="F1982" s="32" t="s">
        <v>15</v>
      </c>
      <c r="G1982" s="32" t="s">
        <v>5830</v>
      </c>
      <c r="H1982" s="12"/>
      <c r="I1982" s="11">
        <f>Table1[[#This Row],[Qty]]*Table1[[#This Row],[Price]]</f>
        <v>0</v>
      </c>
    </row>
    <row r="1983" spans="1:9" x14ac:dyDescent="0.25">
      <c r="A1983" s="28">
        <v>6290362341222</v>
      </c>
      <c r="B1983" s="29" t="s">
        <v>447</v>
      </c>
      <c r="C1983" s="30" t="s">
        <v>22</v>
      </c>
      <c r="D1983" s="31" t="s">
        <v>448</v>
      </c>
      <c r="E1983" s="51">
        <v>24.5</v>
      </c>
      <c r="F1983" s="32" t="s">
        <v>15</v>
      </c>
      <c r="G1983" s="32" t="s">
        <v>5835</v>
      </c>
      <c r="H1983" s="22"/>
      <c r="I1983" s="11">
        <f>Table1[[#This Row],[Qty]]*Table1[[#This Row],[Price]]</f>
        <v>0</v>
      </c>
    </row>
    <row r="1984" spans="1:9" x14ac:dyDescent="0.25">
      <c r="A1984" s="48">
        <v>6291108732489</v>
      </c>
      <c r="B1984" s="41" t="s">
        <v>452</v>
      </c>
      <c r="C1984" s="6" t="s">
        <v>22</v>
      </c>
      <c r="D1984" t="s">
        <v>453</v>
      </c>
      <c r="E1984" s="52">
        <v>12.76</v>
      </c>
      <c r="F1984" s="49" t="s">
        <v>15</v>
      </c>
      <c r="G1984" s="49" t="s">
        <v>5837</v>
      </c>
      <c r="H1984" s="22"/>
      <c r="I1984" s="11">
        <f>Table1[[#This Row],[Qty]]*Table1[[#This Row],[Price]]</f>
        <v>0</v>
      </c>
    </row>
    <row r="1985" spans="1:9" x14ac:dyDescent="0.25">
      <c r="A1985" s="28">
        <v>6290360592909</v>
      </c>
      <c r="B1985" s="29" t="s">
        <v>463</v>
      </c>
      <c r="C1985" s="30" t="s">
        <v>22</v>
      </c>
      <c r="D1985" s="31" t="s">
        <v>464</v>
      </c>
      <c r="E1985" s="51">
        <v>18.59</v>
      </c>
      <c r="F1985" s="32" t="s">
        <v>15</v>
      </c>
      <c r="G1985" s="32" t="s">
        <v>5842</v>
      </c>
      <c r="H1985" s="12"/>
      <c r="I1985" s="11">
        <f>Table1[[#This Row],[Qty]]*Table1[[#This Row],[Price]]</f>
        <v>0</v>
      </c>
    </row>
    <row r="1986" spans="1:9" x14ac:dyDescent="0.25">
      <c r="A1986" s="28">
        <v>6291107459707</v>
      </c>
      <c r="B1986" s="29" t="s">
        <v>467</v>
      </c>
      <c r="C1986" s="30" t="s">
        <v>22</v>
      </c>
      <c r="D1986" s="31" t="s">
        <v>468</v>
      </c>
      <c r="E1986" s="51">
        <v>11.25</v>
      </c>
      <c r="F1986" s="32" t="s">
        <v>15</v>
      </c>
      <c r="G1986" s="32" t="s">
        <v>5844</v>
      </c>
      <c r="H1986" s="12"/>
      <c r="I1986" s="11">
        <f>Table1[[#This Row],[Qty]]*Table1[[#This Row],[Price]]</f>
        <v>0</v>
      </c>
    </row>
    <row r="1987" spans="1:9" x14ac:dyDescent="0.25">
      <c r="A1987" s="28">
        <v>6291106066722</v>
      </c>
      <c r="B1987" s="29" t="s">
        <v>469</v>
      </c>
      <c r="C1987" s="30" t="s">
        <v>22</v>
      </c>
      <c r="D1987" s="31" t="s">
        <v>470</v>
      </c>
      <c r="E1987" s="51">
        <v>10.56</v>
      </c>
      <c r="F1987" s="32" t="s">
        <v>15</v>
      </c>
      <c r="G1987" s="32" t="s">
        <v>5845</v>
      </c>
      <c r="H1987" s="22"/>
      <c r="I1987" s="11">
        <f>Table1[[#This Row],[Qty]]*Table1[[#This Row],[Price]]</f>
        <v>0</v>
      </c>
    </row>
    <row r="1988" spans="1:9" x14ac:dyDescent="0.25">
      <c r="A1988" s="28">
        <v>6291108737194</v>
      </c>
      <c r="B1988" s="29" t="s">
        <v>482</v>
      </c>
      <c r="C1988" s="30" t="s">
        <v>22</v>
      </c>
      <c r="D1988" s="31" t="s">
        <v>483</v>
      </c>
      <c r="E1988" s="51">
        <v>20.07</v>
      </c>
      <c r="F1988" s="32" t="s">
        <v>15</v>
      </c>
      <c r="G1988" s="32" t="s">
        <v>5851</v>
      </c>
      <c r="H1988" s="22"/>
      <c r="I1988" s="11">
        <f>Table1[[#This Row],[Qty]]*Table1[[#This Row],[Price]]</f>
        <v>0</v>
      </c>
    </row>
    <row r="1989" spans="1:9" x14ac:dyDescent="0.25">
      <c r="A1989" s="28">
        <v>6290362341239</v>
      </c>
      <c r="B1989" s="29" t="s">
        <v>488</v>
      </c>
      <c r="C1989" s="30" t="s">
        <v>22</v>
      </c>
      <c r="D1989" s="31" t="s">
        <v>489</v>
      </c>
      <c r="E1989" s="51">
        <v>25.1</v>
      </c>
      <c r="F1989" s="32" t="s">
        <v>15</v>
      </c>
      <c r="G1989" s="32" t="s">
        <v>5854</v>
      </c>
      <c r="H1989" s="22"/>
      <c r="I1989" s="11">
        <f>Table1[[#This Row],[Qty]]*Table1[[#This Row],[Price]]</f>
        <v>0</v>
      </c>
    </row>
    <row r="1990" spans="1:9" x14ac:dyDescent="0.25">
      <c r="A1990" s="28">
        <v>6290360598789</v>
      </c>
      <c r="B1990" s="29" t="s">
        <v>494</v>
      </c>
      <c r="C1990" s="30" t="s">
        <v>22</v>
      </c>
      <c r="D1990" s="31" t="s">
        <v>495</v>
      </c>
      <c r="E1990" s="51">
        <v>20.25</v>
      </c>
      <c r="F1990" s="32" t="s">
        <v>15</v>
      </c>
      <c r="G1990" s="32" t="s">
        <v>5856</v>
      </c>
      <c r="H1990" s="22"/>
      <c r="I1990" s="11">
        <f>Table1[[#This Row],[Qty]]*Table1[[#This Row],[Price]]</f>
        <v>0</v>
      </c>
    </row>
    <row r="1991" spans="1:9" x14ac:dyDescent="0.25">
      <c r="A1991" s="28">
        <v>6291106066890</v>
      </c>
      <c r="B1991" s="29" t="s">
        <v>523</v>
      </c>
      <c r="C1991" s="30" t="s">
        <v>22</v>
      </c>
      <c r="D1991" s="31" t="s">
        <v>524</v>
      </c>
      <c r="E1991" s="51">
        <v>11.5</v>
      </c>
      <c r="F1991" s="32" t="s">
        <v>15</v>
      </c>
      <c r="G1991" s="32" t="s">
        <v>5869</v>
      </c>
      <c r="H1991" s="12"/>
      <c r="I1991" s="11">
        <f>Table1[[#This Row],[Qty]]*Table1[[#This Row],[Price]]</f>
        <v>0</v>
      </c>
    </row>
    <row r="1992" spans="1:9" x14ac:dyDescent="0.25">
      <c r="A1992" s="28">
        <v>6290360591520</v>
      </c>
      <c r="B1992" s="29" t="s">
        <v>531</v>
      </c>
      <c r="C1992" s="30" t="s">
        <v>22</v>
      </c>
      <c r="D1992" s="31" t="s">
        <v>532</v>
      </c>
      <c r="E1992" s="51">
        <v>16</v>
      </c>
      <c r="F1992" s="32" t="s">
        <v>15</v>
      </c>
      <c r="G1992" s="32" t="s">
        <v>5873</v>
      </c>
      <c r="H1992" s="22"/>
      <c r="I1992" s="11">
        <f>Table1[[#This Row],[Qty]]*Table1[[#This Row],[Price]]</f>
        <v>0</v>
      </c>
    </row>
    <row r="1993" spans="1:9" x14ac:dyDescent="0.25">
      <c r="A1993" s="28">
        <v>6291108738276</v>
      </c>
      <c r="B1993" s="29" t="s">
        <v>546</v>
      </c>
      <c r="C1993" s="30" t="s">
        <v>22</v>
      </c>
      <c r="D1993" s="31" t="s">
        <v>547</v>
      </c>
      <c r="E1993" s="51">
        <v>17.489999999999998</v>
      </c>
      <c r="F1993" s="32" t="s">
        <v>15</v>
      </c>
      <c r="G1993" s="32" t="s">
        <v>5880</v>
      </c>
      <c r="H1993" s="22"/>
      <c r="I1993" s="11">
        <f>Table1[[#This Row],[Qty]]*Table1[[#This Row],[Price]]</f>
        <v>0</v>
      </c>
    </row>
    <row r="1994" spans="1:9" x14ac:dyDescent="0.25">
      <c r="A1994" s="28">
        <v>6290360599489</v>
      </c>
      <c r="B1994" s="29" t="s">
        <v>553</v>
      </c>
      <c r="C1994" s="30" t="s">
        <v>22</v>
      </c>
      <c r="D1994" s="31" t="s">
        <v>554</v>
      </c>
      <c r="E1994" s="51">
        <v>17.63</v>
      </c>
      <c r="F1994" s="32" t="s">
        <v>15</v>
      </c>
      <c r="G1994" s="32" t="s">
        <v>5883</v>
      </c>
      <c r="H1994" s="22"/>
      <c r="I1994" s="11">
        <f>Table1[[#This Row],[Qty]]*Table1[[#This Row],[Price]]</f>
        <v>0</v>
      </c>
    </row>
    <row r="1995" spans="1:9" x14ac:dyDescent="0.25">
      <c r="A1995" s="28">
        <v>6290360591506</v>
      </c>
      <c r="B1995" s="29" t="s">
        <v>565</v>
      </c>
      <c r="C1995" s="30" t="s">
        <v>22</v>
      </c>
      <c r="D1995" s="31" t="s">
        <v>566</v>
      </c>
      <c r="E1995" s="51">
        <v>24.5</v>
      </c>
      <c r="F1995" s="32" t="s">
        <v>15</v>
      </c>
      <c r="G1995" s="32" t="s">
        <v>5887</v>
      </c>
      <c r="H1995" s="12"/>
      <c r="I1995" s="11">
        <f>Table1[[#This Row],[Qty]]*Table1[[#This Row],[Price]]</f>
        <v>0</v>
      </c>
    </row>
    <row r="1996" spans="1:9" x14ac:dyDescent="0.25">
      <c r="A1996" s="28">
        <v>6290362340034</v>
      </c>
      <c r="B1996" s="29" t="s">
        <v>650</v>
      </c>
      <c r="C1996" s="30" t="s">
        <v>22</v>
      </c>
      <c r="D1996" s="31" t="s">
        <v>651</v>
      </c>
      <c r="E1996" s="51">
        <v>24.5</v>
      </c>
      <c r="F1996" s="32" t="s">
        <v>15</v>
      </c>
      <c r="G1996" s="32" t="s">
        <v>5926</v>
      </c>
      <c r="H1996" s="12"/>
      <c r="I1996" s="11">
        <f>Table1[[#This Row],[Qty]]*Table1[[#This Row],[Price]]</f>
        <v>0</v>
      </c>
    </row>
    <row r="1997" spans="1:9" x14ac:dyDescent="0.25">
      <c r="A1997" s="28">
        <v>6291108738085</v>
      </c>
      <c r="B1997" s="29" t="s">
        <v>659</v>
      </c>
      <c r="C1997" s="30" t="s">
        <v>22</v>
      </c>
      <c r="D1997" s="31" t="s">
        <v>660</v>
      </c>
      <c r="E1997" s="51">
        <v>17.5</v>
      </c>
      <c r="F1997" s="32" t="s">
        <v>15</v>
      </c>
      <c r="G1997" s="32" t="s">
        <v>5929</v>
      </c>
      <c r="H1997" s="12"/>
      <c r="I1997" s="11">
        <f>Table1[[#This Row],[Qty]]*Table1[[#This Row],[Price]]</f>
        <v>0</v>
      </c>
    </row>
    <row r="1998" spans="1:9" x14ac:dyDescent="0.25">
      <c r="A1998" s="28">
        <v>6290360590080</v>
      </c>
      <c r="B1998" s="29" t="s">
        <v>679</v>
      </c>
      <c r="C1998" s="30" t="s">
        <v>22</v>
      </c>
      <c r="D1998" s="31" t="s">
        <v>680</v>
      </c>
      <c r="E1998" s="51">
        <v>12.5</v>
      </c>
      <c r="F1998" s="32" t="s">
        <v>15</v>
      </c>
      <c r="G1998" s="32" t="s">
        <v>5939</v>
      </c>
      <c r="H1998" s="12"/>
      <c r="I1998" s="11">
        <f>Table1[[#This Row],[Qty]]*Table1[[#This Row],[Price]]</f>
        <v>0</v>
      </c>
    </row>
    <row r="1999" spans="1:9" x14ac:dyDescent="0.25">
      <c r="A1999" s="28">
        <v>6291107454429</v>
      </c>
      <c r="B1999" s="29" t="s">
        <v>683</v>
      </c>
      <c r="C1999" s="30" t="s">
        <v>22</v>
      </c>
      <c r="D1999" s="31" t="s">
        <v>684</v>
      </c>
      <c r="E1999" s="51">
        <v>9.6</v>
      </c>
      <c r="F1999" s="32" t="s">
        <v>15</v>
      </c>
      <c r="G1999" s="32" t="s">
        <v>5941</v>
      </c>
      <c r="H1999" s="22"/>
      <c r="I1999" s="11">
        <f>Table1[[#This Row],[Qty]]*Table1[[#This Row],[Price]]</f>
        <v>0</v>
      </c>
    </row>
    <row r="2000" spans="1:9" x14ac:dyDescent="0.25">
      <c r="A2000" s="28">
        <v>6290360592695</v>
      </c>
      <c r="B2000" s="29" t="s">
        <v>685</v>
      </c>
      <c r="C2000" s="30" t="s">
        <v>22</v>
      </c>
      <c r="D2000" s="31" t="s">
        <v>686</v>
      </c>
      <c r="E2000" s="51">
        <v>14.91</v>
      </c>
      <c r="F2000" s="32" t="s">
        <v>15</v>
      </c>
      <c r="G2000" s="32" t="s">
        <v>5942</v>
      </c>
      <c r="H2000" s="22"/>
      <c r="I2000" s="11">
        <f>Table1[[#This Row],[Qty]]*Table1[[#This Row],[Price]]</f>
        <v>0</v>
      </c>
    </row>
    <row r="2001" spans="1:9" x14ac:dyDescent="0.25">
      <c r="A2001" s="28">
        <v>6290360592015</v>
      </c>
      <c r="B2001" s="29" t="s">
        <v>701</v>
      </c>
      <c r="C2001" s="30" t="s">
        <v>22</v>
      </c>
      <c r="D2001" s="31" t="s">
        <v>702</v>
      </c>
      <c r="E2001" s="51">
        <v>24.15</v>
      </c>
      <c r="F2001" s="32" t="s">
        <v>15</v>
      </c>
      <c r="G2001" s="32" t="s">
        <v>5949</v>
      </c>
      <c r="H2001" s="12"/>
      <c r="I2001" s="11">
        <f>Table1[[#This Row],[Qty]]*Table1[[#This Row],[Price]]</f>
        <v>0</v>
      </c>
    </row>
    <row r="2002" spans="1:9" x14ac:dyDescent="0.25">
      <c r="A2002" s="28">
        <v>6291108738191</v>
      </c>
      <c r="B2002" s="29" t="s">
        <v>755</v>
      </c>
      <c r="C2002" s="30" t="s">
        <v>22</v>
      </c>
      <c r="D2002" s="31" t="s">
        <v>756</v>
      </c>
      <c r="E2002" s="51">
        <v>17.75</v>
      </c>
      <c r="F2002" s="32" t="s">
        <v>15</v>
      </c>
      <c r="G2002" s="32" t="s">
        <v>5975</v>
      </c>
      <c r="H2002" s="22"/>
      <c r="I2002" s="11">
        <f>Table1[[#This Row],[Qty]]*Table1[[#This Row],[Price]]</f>
        <v>0</v>
      </c>
    </row>
    <row r="2003" spans="1:9" x14ac:dyDescent="0.25">
      <c r="A2003" s="48">
        <v>6290362342489</v>
      </c>
      <c r="B2003" s="41" t="s">
        <v>757</v>
      </c>
      <c r="C2003" s="6" t="s">
        <v>22</v>
      </c>
      <c r="D2003" t="s">
        <v>758</v>
      </c>
      <c r="E2003" s="47">
        <v>10.5</v>
      </c>
      <c r="F2003" s="6" t="s">
        <v>15</v>
      </c>
      <c r="G2003" s="6">
        <v>0</v>
      </c>
      <c r="H2003" s="22"/>
      <c r="I2003" s="11">
        <f>Table1[[#This Row],[Qty]]*Table1[[#This Row],[Price]]</f>
        <v>0</v>
      </c>
    </row>
    <row r="2004" spans="1:9" x14ac:dyDescent="0.25">
      <c r="A2004" s="28">
        <v>6290360591988</v>
      </c>
      <c r="B2004" s="29" t="s">
        <v>777</v>
      </c>
      <c r="C2004" s="30" t="s">
        <v>22</v>
      </c>
      <c r="D2004" s="31" t="s">
        <v>778</v>
      </c>
      <c r="E2004" s="51">
        <v>25.5</v>
      </c>
      <c r="F2004" s="32" t="s">
        <v>15</v>
      </c>
      <c r="G2004" s="32" t="s">
        <v>5985</v>
      </c>
      <c r="H2004" s="12"/>
      <c r="I2004" s="11">
        <f>Table1[[#This Row],[Qty]]*Table1[[#This Row],[Price]]</f>
        <v>0</v>
      </c>
    </row>
    <row r="2005" spans="1:9" x14ac:dyDescent="0.25">
      <c r="A2005" s="28">
        <v>6290360590189</v>
      </c>
      <c r="B2005" s="29" t="s">
        <v>1028</v>
      </c>
      <c r="C2005" s="30" t="s">
        <v>22</v>
      </c>
      <c r="D2005" s="31" t="s">
        <v>1029</v>
      </c>
      <c r="E2005" s="51">
        <v>17.739999999999998</v>
      </c>
      <c r="F2005" s="32" t="s">
        <v>15</v>
      </c>
      <c r="G2005" s="32" t="s">
        <v>6097</v>
      </c>
      <c r="H2005" s="12"/>
      <c r="I2005" s="11">
        <f>Table1[[#This Row],[Qty]]*Table1[[#This Row],[Price]]</f>
        <v>0</v>
      </c>
    </row>
    <row r="2006" spans="1:9" x14ac:dyDescent="0.25">
      <c r="A2006" s="28">
        <v>6290360599120</v>
      </c>
      <c r="B2006" s="29" t="s">
        <v>1070</v>
      </c>
      <c r="C2006" s="30" t="s">
        <v>22</v>
      </c>
      <c r="D2006" s="31" t="s">
        <v>1071</v>
      </c>
      <c r="E2006" s="51">
        <v>23.49</v>
      </c>
      <c r="F2006" s="32" t="s">
        <v>15</v>
      </c>
      <c r="G2006" s="32" t="s">
        <v>6115</v>
      </c>
      <c r="H2006" s="12"/>
      <c r="I2006" s="11">
        <f>Table1[[#This Row],[Qty]]*Table1[[#This Row],[Price]]</f>
        <v>0</v>
      </c>
    </row>
    <row r="2007" spans="1:9" x14ac:dyDescent="0.25">
      <c r="A2007" s="28">
        <v>6291107456379</v>
      </c>
      <c r="B2007" s="29" t="s">
        <v>1100</v>
      </c>
      <c r="C2007" s="30" t="s">
        <v>22</v>
      </c>
      <c r="D2007" s="31" t="s">
        <v>1101</v>
      </c>
      <c r="E2007" s="51">
        <v>8.9499999999999993</v>
      </c>
      <c r="F2007" s="32" t="s">
        <v>15</v>
      </c>
      <c r="G2007" s="32">
        <v>0</v>
      </c>
      <c r="H2007" s="22"/>
      <c r="I2007" s="11">
        <f>Table1[[#This Row],[Qty]]*Table1[[#This Row],[Price]]</f>
        <v>0</v>
      </c>
    </row>
    <row r="2008" spans="1:9" x14ac:dyDescent="0.25">
      <c r="A2008" s="28">
        <v>6290360599458</v>
      </c>
      <c r="B2008" s="29" t="s">
        <v>1124</v>
      </c>
      <c r="C2008" s="30" t="s">
        <v>22</v>
      </c>
      <c r="D2008" s="31" t="s">
        <v>1125</v>
      </c>
      <c r="E2008" s="51">
        <v>13.25</v>
      </c>
      <c r="F2008" s="32" t="s">
        <v>15</v>
      </c>
      <c r="G2008" s="32" t="s">
        <v>6136</v>
      </c>
      <c r="H2008" s="12"/>
      <c r="I2008" s="11">
        <f>Table1[[#This Row],[Qty]]*Table1[[#This Row],[Price]]</f>
        <v>0</v>
      </c>
    </row>
    <row r="2009" spans="1:9" x14ac:dyDescent="0.25">
      <c r="A2009" s="28">
        <v>6290360592145</v>
      </c>
      <c r="B2009" s="29" t="s">
        <v>1453</v>
      </c>
      <c r="C2009" s="30" t="s">
        <v>22</v>
      </c>
      <c r="D2009" s="31" t="s">
        <v>1454</v>
      </c>
      <c r="E2009" s="51">
        <v>41.5</v>
      </c>
      <c r="F2009" s="32" t="s">
        <v>15</v>
      </c>
      <c r="G2009" s="32">
        <v>0</v>
      </c>
      <c r="H2009" s="22"/>
      <c r="I2009" s="11">
        <f>Table1[[#This Row],[Qty]]*Table1[[#This Row],[Price]]</f>
        <v>0</v>
      </c>
    </row>
    <row r="2010" spans="1:9" x14ac:dyDescent="0.25">
      <c r="A2010" s="28">
        <v>6290360592954</v>
      </c>
      <c r="B2010" s="29" t="s">
        <v>1524</v>
      </c>
      <c r="C2010" s="30" t="s">
        <v>22</v>
      </c>
      <c r="D2010" s="31" t="s">
        <v>1525</v>
      </c>
      <c r="E2010" s="51">
        <v>33</v>
      </c>
      <c r="F2010" s="32" t="s">
        <v>15</v>
      </c>
      <c r="G2010" s="32">
        <v>0</v>
      </c>
      <c r="H2010" s="22"/>
      <c r="I2010" s="11">
        <f>Table1[[#This Row],[Qty]]*Table1[[#This Row],[Price]]</f>
        <v>0</v>
      </c>
    </row>
    <row r="2011" spans="1:9" x14ac:dyDescent="0.25">
      <c r="A2011" s="28">
        <v>6290362340027</v>
      </c>
      <c r="B2011" s="29" t="s">
        <v>1573</v>
      </c>
      <c r="C2011" s="30" t="s">
        <v>22</v>
      </c>
      <c r="D2011" s="31" t="s">
        <v>1574</v>
      </c>
      <c r="E2011" s="51">
        <v>29.5</v>
      </c>
      <c r="F2011" s="32" t="s">
        <v>15</v>
      </c>
      <c r="G2011" s="32" t="s">
        <v>6246</v>
      </c>
      <c r="H2011" s="12"/>
      <c r="I2011" s="11">
        <f>Table1[[#This Row],[Qty]]*Table1[[#This Row],[Price]]</f>
        <v>0</v>
      </c>
    </row>
    <row r="2012" spans="1:9" x14ac:dyDescent="0.25">
      <c r="A2012" s="28">
        <v>6290360592206</v>
      </c>
      <c r="B2012" s="29" t="s">
        <v>1581</v>
      </c>
      <c r="C2012" s="30" t="s">
        <v>22</v>
      </c>
      <c r="D2012" s="31" t="s">
        <v>1582</v>
      </c>
      <c r="E2012" s="51">
        <v>29.73</v>
      </c>
      <c r="F2012" s="32" t="s">
        <v>15</v>
      </c>
      <c r="G2012" s="32" t="s">
        <v>6248</v>
      </c>
      <c r="H2012" s="14"/>
      <c r="I2012" s="11">
        <f>Table1[[#This Row],[Qty]]*Table1[[#This Row],[Price]]</f>
        <v>0</v>
      </c>
    </row>
    <row r="2013" spans="1:9" x14ac:dyDescent="0.25">
      <c r="A2013" s="28">
        <v>6290362340041</v>
      </c>
      <c r="B2013" s="29" t="s">
        <v>1614</v>
      </c>
      <c r="C2013" s="30" t="s">
        <v>22</v>
      </c>
      <c r="D2013" s="31" t="s">
        <v>1615</v>
      </c>
      <c r="E2013" s="51">
        <v>27.5</v>
      </c>
      <c r="F2013" s="32" t="s">
        <v>15</v>
      </c>
      <c r="G2013" s="32" t="s">
        <v>6258</v>
      </c>
      <c r="H2013" s="22"/>
      <c r="I2013" s="11">
        <f>Table1[[#This Row],[Qty]]*Table1[[#This Row],[Price]]</f>
        <v>0</v>
      </c>
    </row>
    <row r="2014" spans="1:9" x14ac:dyDescent="0.25">
      <c r="A2014" s="28">
        <v>6290362340119</v>
      </c>
      <c r="B2014" s="29" t="s">
        <v>1646</v>
      </c>
      <c r="C2014" s="30" t="s">
        <v>22</v>
      </c>
      <c r="D2014" s="31" t="s">
        <v>1647</v>
      </c>
      <c r="E2014" s="51">
        <v>26.5</v>
      </c>
      <c r="F2014" s="32" t="s">
        <v>15</v>
      </c>
      <c r="G2014" s="32">
        <v>0</v>
      </c>
      <c r="H2014" s="12"/>
      <c r="I2014" s="11">
        <f>Table1[[#This Row],[Qty]]*Table1[[#This Row],[Price]]</f>
        <v>0</v>
      </c>
    </row>
    <row r="2015" spans="1:9" x14ac:dyDescent="0.25">
      <c r="A2015" s="28">
        <v>6290360591957</v>
      </c>
      <c r="B2015" s="29" t="s">
        <v>1702</v>
      </c>
      <c r="C2015" s="30" t="s">
        <v>22</v>
      </c>
      <c r="D2015" s="31" t="s">
        <v>1703</v>
      </c>
      <c r="E2015" s="51">
        <v>24</v>
      </c>
      <c r="F2015" s="32" t="s">
        <v>15</v>
      </c>
      <c r="G2015" s="32" t="s">
        <v>6277</v>
      </c>
      <c r="H2015" s="12"/>
      <c r="I2015" s="11">
        <f>Table1[[#This Row],[Qty]]*Table1[[#This Row],[Price]]</f>
        <v>0</v>
      </c>
    </row>
    <row r="2016" spans="1:9" x14ac:dyDescent="0.25">
      <c r="A2016" s="28">
        <v>6291108733806</v>
      </c>
      <c r="B2016" s="29" t="s">
        <v>1850</v>
      </c>
      <c r="C2016" s="30" t="s">
        <v>22</v>
      </c>
      <c r="D2016" s="31" t="s">
        <v>1851</v>
      </c>
      <c r="E2016" s="51">
        <v>18</v>
      </c>
      <c r="F2016" s="32" t="s">
        <v>15</v>
      </c>
      <c r="G2016" s="32">
        <v>0</v>
      </c>
      <c r="H2016" s="22"/>
      <c r="I2016" s="11">
        <f>Table1[[#This Row],[Qty]]*Table1[[#This Row],[Price]]</f>
        <v>0</v>
      </c>
    </row>
    <row r="2017" spans="1:9" x14ac:dyDescent="0.25">
      <c r="A2017" s="28">
        <v>6290360590172</v>
      </c>
      <c r="B2017" s="29" t="s">
        <v>1858</v>
      </c>
      <c r="C2017" s="30" t="s">
        <v>22</v>
      </c>
      <c r="D2017" s="31" t="s">
        <v>1859</v>
      </c>
      <c r="E2017" s="51">
        <v>17.7</v>
      </c>
      <c r="F2017" s="32" t="s">
        <v>15</v>
      </c>
      <c r="G2017" s="32">
        <v>0</v>
      </c>
      <c r="H2017" s="12"/>
      <c r="I2017" s="11">
        <f>Table1[[#This Row],[Qty]]*Table1[[#This Row],[Price]]</f>
        <v>0</v>
      </c>
    </row>
    <row r="2018" spans="1:9" x14ac:dyDescent="0.25">
      <c r="A2018" s="28">
        <v>6290360591537</v>
      </c>
      <c r="B2018" s="29" t="s">
        <v>1899</v>
      </c>
      <c r="C2018" s="30" t="s">
        <v>22</v>
      </c>
      <c r="D2018" s="31" t="s">
        <v>1900</v>
      </c>
      <c r="E2018" s="51">
        <v>16.5</v>
      </c>
      <c r="F2018" s="32" t="s">
        <v>15</v>
      </c>
      <c r="G2018" s="32">
        <v>0</v>
      </c>
      <c r="H2018" s="12"/>
      <c r="I2018" s="11">
        <f>Table1[[#This Row],[Qty]]*Table1[[#This Row],[Price]]</f>
        <v>0</v>
      </c>
    </row>
    <row r="2019" spans="1:9" x14ac:dyDescent="0.25">
      <c r="A2019" s="28">
        <v>6291108735459</v>
      </c>
      <c r="B2019" s="29" t="s">
        <v>1971</v>
      </c>
      <c r="C2019" s="30" t="s">
        <v>22</v>
      </c>
      <c r="D2019" s="31" t="s">
        <v>1972</v>
      </c>
      <c r="E2019" s="51">
        <v>15</v>
      </c>
      <c r="F2019" s="32" t="s">
        <v>15</v>
      </c>
      <c r="G2019" s="32">
        <v>0</v>
      </c>
      <c r="H2019" s="22"/>
      <c r="I2019" s="11">
        <f>Table1[[#This Row],[Qty]]*Table1[[#This Row],[Price]]</f>
        <v>0</v>
      </c>
    </row>
    <row r="2020" spans="1:9" x14ac:dyDescent="0.25">
      <c r="A2020" s="28">
        <v>6291108733790</v>
      </c>
      <c r="B2020" s="29" t="s">
        <v>1986</v>
      </c>
      <c r="C2020" s="30" t="s">
        <v>22</v>
      </c>
      <c r="D2020" s="31" t="s">
        <v>1987</v>
      </c>
      <c r="E2020" s="51">
        <v>14.5</v>
      </c>
      <c r="F2020" s="32" t="s">
        <v>15</v>
      </c>
      <c r="G2020" s="32">
        <v>0</v>
      </c>
      <c r="H2020" s="22"/>
      <c r="I2020" s="11">
        <f>Table1[[#This Row],[Qty]]*Table1[[#This Row],[Price]]</f>
        <v>0</v>
      </c>
    </row>
    <row r="2021" spans="1:9" x14ac:dyDescent="0.25">
      <c r="A2021" s="28">
        <v>6291108737866</v>
      </c>
      <c r="B2021" s="29" t="s">
        <v>1995</v>
      </c>
      <c r="C2021" s="30" t="s">
        <v>22</v>
      </c>
      <c r="D2021" s="31" t="s">
        <v>1996</v>
      </c>
      <c r="E2021" s="51">
        <v>14.26</v>
      </c>
      <c r="F2021" s="32" t="s">
        <v>15</v>
      </c>
      <c r="G2021" s="32" t="s">
        <v>6357</v>
      </c>
      <c r="H2021" s="12"/>
      <c r="I2021" s="11">
        <f>Table1[[#This Row],[Qty]]*Table1[[#This Row],[Price]]</f>
        <v>0</v>
      </c>
    </row>
    <row r="2022" spans="1:9" x14ac:dyDescent="0.25">
      <c r="A2022" s="28">
        <v>6290360594149</v>
      </c>
      <c r="B2022" s="29" t="s">
        <v>1997</v>
      </c>
      <c r="C2022" s="30" t="s">
        <v>22</v>
      </c>
      <c r="D2022" s="31" t="s">
        <v>1998</v>
      </c>
      <c r="E2022" s="51">
        <v>14.25</v>
      </c>
      <c r="F2022" s="32" t="s">
        <v>15</v>
      </c>
      <c r="G2022" s="32">
        <v>0</v>
      </c>
      <c r="H2022" s="12"/>
      <c r="I2022" s="11">
        <f>Table1[[#This Row],[Qty]]*Table1[[#This Row],[Price]]</f>
        <v>0</v>
      </c>
    </row>
    <row r="2023" spans="1:9" x14ac:dyDescent="0.25">
      <c r="A2023" s="28">
        <v>6291108735053</v>
      </c>
      <c r="B2023" s="29" t="s">
        <v>2009</v>
      </c>
      <c r="C2023" s="30" t="s">
        <v>22</v>
      </c>
      <c r="D2023" s="31" t="s">
        <v>2010</v>
      </c>
      <c r="E2023" s="51">
        <v>13.59</v>
      </c>
      <c r="F2023" s="32" t="s">
        <v>15</v>
      </c>
      <c r="G2023" s="32">
        <v>0</v>
      </c>
      <c r="H2023" s="22"/>
      <c r="I2023" s="11">
        <f>Table1[[#This Row],[Qty]]*Table1[[#This Row],[Price]]</f>
        <v>0</v>
      </c>
    </row>
    <row r="2024" spans="1:9" x14ac:dyDescent="0.25">
      <c r="A2024" s="28">
        <v>6291107450605</v>
      </c>
      <c r="B2024" s="29" t="s">
        <v>2011</v>
      </c>
      <c r="C2024" s="30" t="s">
        <v>22</v>
      </c>
      <c r="D2024" s="31" t="s">
        <v>2012</v>
      </c>
      <c r="E2024" s="51">
        <v>11.5</v>
      </c>
      <c r="F2024" s="32" t="s">
        <v>15</v>
      </c>
      <c r="G2024" s="32" t="s">
        <v>6361</v>
      </c>
      <c r="H2024" s="12"/>
      <c r="I2024" s="11">
        <f>Table1[[#This Row],[Qty]]*Table1[[#This Row],[Price]]</f>
        <v>0</v>
      </c>
    </row>
    <row r="2025" spans="1:9" x14ac:dyDescent="0.25">
      <c r="A2025" s="28">
        <v>6291108734032</v>
      </c>
      <c r="B2025" s="29" t="s">
        <v>2066</v>
      </c>
      <c r="C2025" s="30" t="s">
        <v>22</v>
      </c>
      <c r="D2025" s="31" t="s">
        <v>2067</v>
      </c>
      <c r="E2025" s="51">
        <v>12.5</v>
      </c>
      <c r="F2025" s="32" t="s">
        <v>15</v>
      </c>
      <c r="G2025" s="32" t="s">
        <v>6372</v>
      </c>
      <c r="H2025" s="22"/>
      <c r="I2025" s="11">
        <f>Table1[[#This Row],[Qty]]*Table1[[#This Row],[Price]]</f>
        <v>0</v>
      </c>
    </row>
    <row r="2026" spans="1:9" x14ac:dyDescent="0.25">
      <c r="A2026" s="28">
        <v>6291108730270</v>
      </c>
      <c r="B2026" s="29" t="s">
        <v>2070</v>
      </c>
      <c r="C2026" s="30" t="s">
        <v>22</v>
      </c>
      <c r="D2026" s="31" t="s">
        <v>2071</v>
      </c>
      <c r="E2026" s="51">
        <v>12.5</v>
      </c>
      <c r="F2026" s="32" t="s">
        <v>15</v>
      </c>
      <c r="G2026" s="32">
        <v>0</v>
      </c>
      <c r="H2026" s="22"/>
      <c r="I2026" s="11">
        <f>Table1[[#This Row],[Qty]]*Table1[[#This Row],[Price]]</f>
        <v>0</v>
      </c>
    </row>
    <row r="2027" spans="1:9" x14ac:dyDescent="0.25">
      <c r="A2027" s="28">
        <v>6291007450582</v>
      </c>
      <c r="B2027" s="29" t="s">
        <v>2114</v>
      </c>
      <c r="C2027" s="30" t="s">
        <v>22</v>
      </c>
      <c r="D2027" s="31" t="s">
        <v>2115</v>
      </c>
      <c r="E2027" s="51">
        <v>11</v>
      </c>
      <c r="F2027" s="32" t="s">
        <v>15</v>
      </c>
      <c r="G2027" s="32" t="s">
        <v>6380</v>
      </c>
      <c r="H2027" s="22"/>
      <c r="I2027" s="11">
        <f>Table1[[#This Row],[Qty]]*Table1[[#This Row],[Price]]</f>
        <v>0</v>
      </c>
    </row>
    <row r="2028" spans="1:9" x14ac:dyDescent="0.25">
      <c r="A2028" s="28">
        <v>6291107459714</v>
      </c>
      <c r="B2028" s="29" t="s">
        <v>2125</v>
      </c>
      <c r="C2028" s="30" t="s">
        <v>22</v>
      </c>
      <c r="D2028" s="31" t="s">
        <v>2126</v>
      </c>
      <c r="E2028" s="51">
        <v>11.5</v>
      </c>
      <c r="F2028" s="32" t="s">
        <v>15</v>
      </c>
      <c r="G2028" s="32">
        <v>0</v>
      </c>
      <c r="H2028" s="14"/>
      <c r="I2028" s="11">
        <f>Table1[[#This Row],[Qty]]*Table1[[#This Row],[Price]]</f>
        <v>0</v>
      </c>
    </row>
    <row r="2029" spans="1:9" x14ac:dyDescent="0.25">
      <c r="A2029" s="28">
        <v>6291108732045</v>
      </c>
      <c r="B2029" s="29" t="s">
        <v>2142</v>
      </c>
      <c r="C2029" s="30" t="s">
        <v>22</v>
      </c>
      <c r="D2029" s="31" t="s">
        <v>2143</v>
      </c>
      <c r="E2029" s="51">
        <v>11.4</v>
      </c>
      <c r="F2029" s="32" t="s">
        <v>15</v>
      </c>
      <c r="G2029" s="32">
        <v>0</v>
      </c>
      <c r="H2029" s="22"/>
      <c r="I2029" s="11">
        <f>Table1[[#This Row],[Qty]]*Table1[[#This Row],[Price]]</f>
        <v>0</v>
      </c>
    </row>
    <row r="2030" spans="1:9" x14ac:dyDescent="0.25">
      <c r="A2030" s="48">
        <v>6291106069020</v>
      </c>
      <c r="B2030" s="41" t="s">
        <v>2155</v>
      </c>
      <c r="C2030" s="6" t="s">
        <v>22</v>
      </c>
      <c r="D2030" t="s">
        <v>2156</v>
      </c>
      <c r="E2030" s="52">
        <v>9.75</v>
      </c>
      <c r="F2030" s="49" t="s">
        <v>15</v>
      </c>
      <c r="G2030" s="49" t="s">
        <v>6387</v>
      </c>
      <c r="H2030" s="22"/>
      <c r="I2030" s="11">
        <f>Table1[[#This Row],[Qty]]*Table1[[#This Row],[Price]]</f>
        <v>0</v>
      </c>
    </row>
    <row r="2031" spans="1:9" x14ac:dyDescent="0.25">
      <c r="A2031" s="28">
        <v>6297000201863</v>
      </c>
      <c r="B2031" s="29" t="s">
        <v>2159</v>
      </c>
      <c r="C2031" s="30" t="s">
        <v>22</v>
      </c>
      <c r="D2031" s="31" t="s">
        <v>2160</v>
      </c>
      <c r="E2031" s="51">
        <v>10.5</v>
      </c>
      <c r="F2031" s="32" t="s">
        <v>15</v>
      </c>
      <c r="G2031" s="32">
        <v>0</v>
      </c>
      <c r="H2031" s="22"/>
      <c r="I2031" s="11">
        <f>Table1[[#This Row],[Qty]]*Table1[[#This Row],[Price]]</f>
        <v>0</v>
      </c>
    </row>
    <row r="2032" spans="1:9" x14ac:dyDescent="0.25">
      <c r="A2032" s="28">
        <v>6290362347187</v>
      </c>
      <c r="B2032" s="29" t="s">
        <v>2334</v>
      </c>
      <c r="C2032" s="30" t="s">
        <v>22</v>
      </c>
      <c r="D2032" s="31" t="s">
        <v>2335</v>
      </c>
      <c r="E2032" s="51">
        <v>32.5</v>
      </c>
      <c r="F2032" s="32" t="s">
        <v>15</v>
      </c>
      <c r="G2032" s="32" t="s">
        <v>6416</v>
      </c>
      <c r="H2032" s="12"/>
      <c r="I2032" s="11">
        <f>Table1[[#This Row],[Qty]]*Table1[[#This Row],[Price]]</f>
        <v>0</v>
      </c>
    </row>
    <row r="2033" spans="1:9" x14ac:dyDescent="0.25">
      <c r="A2033" s="28">
        <v>6295199793930</v>
      </c>
      <c r="B2033" s="29" t="s">
        <v>2385</v>
      </c>
      <c r="C2033" s="30" t="s">
        <v>22</v>
      </c>
      <c r="D2033" s="31" t="s">
        <v>2386</v>
      </c>
      <c r="E2033" s="51">
        <v>6</v>
      </c>
      <c r="F2033" s="32" t="s">
        <v>15</v>
      </c>
      <c r="G2033" s="32" t="s">
        <v>6439</v>
      </c>
      <c r="H2033" s="12"/>
      <c r="I2033" s="11">
        <f>Table1[[#This Row],[Qty]]*Table1[[#This Row],[Price]]</f>
        <v>0</v>
      </c>
    </row>
    <row r="2034" spans="1:9" x14ac:dyDescent="0.25">
      <c r="A2034" s="28">
        <v>6291108734940</v>
      </c>
      <c r="B2034" s="29" t="s">
        <v>2478</v>
      </c>
      <c r="C2034" s="30" t="s">
        <v>22</v>
      </c>
      <c r="D2034" s="31" t="s">
        <v>2479</v>
      </c>
      <c r="E2034" s="51">
        <v>4.25</v>
      </c>
      <c r="F2034" s="32" t="s">
        <v>15</v>
      </c>
      <c r="G2034" s="32" t="s">
        <v>6481</v>
      </c>
      <c r="H2034" s="12"/>
      <c r="I2034" s="11">
        <f>Table1[[#This Row],[Qty]]*Table1[[#This Row],[Price]]</f>
        <v>0</v>
      </c>
    </row>
    <row r="2035" spans="1:9" x14ac:dyDescent="0.25">
      <c r="A2035" s="28">
        <v>6290362341345</v>
      </c>
      <c r="B2035" s="29" t="s">
        <v>2542</v>
      </c>
      <c r="C2035" s="30" t="s">
        <v>22</v>
      </c>
      <c r="D2035" s="31" t="s">
        <v>2543</v>
      </c>
      <c r="E2035" s="51">
        <v>4.95</v>
      </c>
      <c r="F2035" s="32" t="s">
        <v>15</v>
      </c>
      <c r="G2035" s="32">
        <v>0</v>
      </c>
      <c r="H2035" s="12"/>
      <c r="I2035" s="11">
        <f>Table1[[#This Row],[Qty]]*Table1[[#This Row],[Price]]</f>
        <v>0</v>
      </c>
    </row>
    <row r="2036" spans="1:9" x14ac:dyDescent="0.25">
      <c r="A2036" s="28">
        <v>6290362345466</v>
      </c>
      <c r="B2036" s="29" t="s">
        <v>2544</v>
      </c>
      <c r="C2036" s="30" t="s">
        <v>22</v>
      </c>
      <c r="D2036" s="31" t="s">
        <v>2545</v>
      </c>
      <c r="E2036" s="51">
        <v>4.16</v>
      </c>
      <c r="F2036" s="32" t="s">
        <v>15</v>
      </c>
      <c r="G2036" s="32" t="s">
        <v>6512</v>
      </c>
      <c r="H2036" s="12"/>
      <c r="I2036" s="11">
        <f>Table1[[#This Row],[Qty]]*Table1[[#This Row],[Price]]</f>
        <v>0</v>
      </c>
    </row>
    <row r="2037" spans="1:9" x14ac:dyDescent="0.25">
      <c r="A2037" s="28">
        <v>6290362347903</v>
      </c>
      <c r="B2037" s="29" t="s">
        <v>2552</v>
      </c>
      <c r="C2037" s="30" t="s">
        <v>22</v>
      </c>
      <c r="D2037" s="31" t="s">
        <v>2553</v>
      </c>
      <c r="E2037" s="51">
        <v>4.5</v>
      </c>
      <c r="F2037" s="32" t="s">
        <v>15</v>
      </c>
      <c r="G2037" s="32" t="s">
        <v>6515</v>
      </c>
      <c r="H2037" s="22"/>
      <c r="I2037" s="11">
        <f>Table1[[#This Row],[Qty]]*Table1[[#This Row],[Price]]</f>
        <v>0</v>
      </c>
    </row>
    <row r="2038" spans="1:9" x14ac:dyDescent="0.25">
      <c r="A2038" s="28">
        <v>6290360597096</v>
      </c>
      <c r="B2038" s="29" t="s">
        <v>2554</v>
      </c>
      <c r="C2038" s="30" t="s">
        <v>22</v>
      </c>
      <c r="D2038" s="31" t="s">
        <v>2555</v>
      </c>
      <c r="E2038" s="51">
        <v>4.5</v>
      </c>
      <c r="F2038" s="32" t="s">
        <v>15</v>
      </c>
      <c r="G2038" s="32" t="s">
        <v>6516</v>
      </c>
      <c r="H2038" s="12"/>
      <c r="I2038" s="11">
        <f>Table1[[#This Row],[Qty]]*Table1[[#This Row],[Price]]</f>
        <v>0</v>
      </c>
    </row>
    <row r="2039" spans="1:9" x14ac:dyDescent="0.25">
      <c r="A2039" s="28">
        <v>6290360599410</v>
      </c>
      <c r="B2039" s="29" t="s">
        <v>2593</v>
      </c>
      <c r="C2039" s="30" t="s">
        <v>22</v>
      </c>
      <c r="D2039" s="31" t="s">
        <v>2594</v>
      </c>
      <c r="E2039" s="51">
        <v>4.5</v>
      </c>
      <c r="F2039" s="32" t="s">
        <v>15</v>
      </c>
      <c r="G2039" s="32">
        <v>0</v>
      </c>
      <c r="H2039" s="12"/>
      <c r="I2039" s="11">
        <f>Table1[[#This Row],[Qty]]*Table1[[#This Row],[Price]]</f>
        <v>0</v>
      </c>
    </row>
    <row r="2040" spans="1:9" x14ac:dyDescent="0.25">
      <c r="A2040" s="28">
        <v>6290360593241</v>
      </c>
      <c r="B2040" s="29" t="s">
        <v>2595</v>
      </c>
      <c r="C2040" s="30" t="s">
        <v>22</v>
      </c>
      <c r="D2040" s="31" t="s">
        <v>2596</v>
      </c>
      <c r="E2040" s="51">
        <v>4.6500000000000004</v>
      </c>
      <c r="F2040" s="32" t="s">
        <v>15</v>
      </c>
      <c r="G2040" s="32">
        <v>0</v>
      </c>
      <c r="H2040" s="12"/>
      <c r="I2040" s="11">
        <f>Table1[[#This Row],[Qty]]*Table1[[#This Row],[Price]]</f>
        <v>0</v>
      </c>
    </row>
    <row r="2041" spans="1:9" x14ac:dyDescent="0.25">
      <c r="A2041" s="28">
        <v>6290362345794</v>
      </c>
      <c r="B2041" s="29" t="s">
        <v>2629</v>
      </c>
      <c r="C2041" s="33" t="s">
        <v>22</v>
      </c>
      <c r="D2041" s="31" t="s">
        <v>2630</v>
      </c>
      <c r="E2041" s="51">
        <v>20.11</v>
      </c>
      <c r="F2041" s="32" t="s">
        <v>15</v>
      </c>
      <c r="G2041" s="32" t="s">
        <v>6546</v>
      </c>
      <c r="H2041" s="22"/>
      <c r="I2041" s="11">
        <f>Table1[[#This Row],[Qty]]*Table1[[#This Row],[Price]]</f>
        <v>0</v>
      </c>
    </row>
    <row r="2042" spans="1:9" x14ac:dyDescent="0.25">
      <c r="A2042" s="28">
        <v>6290362349235</v>
      </c>
      <c r="B2042" s="29" t="s">
        <v>2675</v>
      </c>
      <c r="C2042" s="30" t="s">
        <v>22</v>
      </c>
      <c r="D2042" s="31" t="s">
        <v>2676</v>
      </c>
      <c r="E2042" s="51">
        <v>27.53</v>
      </c>
      <c r="F2042" s="32" t="s">
        <v>15</v>
      </c>
      <c r="G2042" s="32" t="s">
        <v>6566</v>
      </c>
      <c r="H2042" s="22"/>
      <c r="I2042" s="11">
        <f>Table1[[#This Row],[Qty]]*Table1[[#This Row],[Price]]</f>
        <v>0</v>
      </c>
    </row>
    <row r="2043" spans="1:9" x14ac:dyDescent="0.25">
      <c r="A2043" s="28">
        <v>6290362349372</v>
      </c>
      <c r="B2043" s="29" t="s">
        <v>2681</v>
      </c>
      <c r="C2043" s="33" t="s">
        <v>22</v>
      </c>
      <c r="D2043" s="31" t="s">
        <v>2682</v>
      </c>
      <c r="E2043" s="51">
        <v>28.5</v>
      </c>
      <c r="F2043" s="32" t="s">
        <v>15</v>
      </c>
      <c r="G2043" s="32" t="s">
        <v>6569</v>
      </c>
      <c r="H2043" s="22"/>
      <c r="I2043" s="11">
        <f>Table1[[#This Row],[Qty]]*Table1[[#This Row],[Price]]</f>
        <v>0</v>
      </c>
    </row>
    <row r="2044" spans="1:9" x14ac:dyDescent="0.25">
      <c r="A2044" s="28">
        <v>6290362349396</v>
      </c>
      <c r="B2044" s="29" t="s">
        <v>2683</v>
      </c>
      <c r="C2044" s="30" t="s">
        <v>22</v>
      </c>
      <c r="D2044" s="31" t="s">
        <v>2684</v>
      </c>
      <c r="E2044" s="51">
        <v>28.68</v>
      </c>
      <c r="F2044" s="32" t="s">
        <v>15</v>
      </c>
      <c r="G2044" s="32" t="s">
        <v>6570</v>
      </c>
      <c r="H2044" s="22"/>
      <c r="I2044" s="11">
        <f>Table1[[#This Row],[Qty]]*Table1[[#This Row],[Price]]</f>
        <v>0</v>
      </c>
    </row>
    <row r="2045" spans="1:9" x14ac:dyDescent="0.25">
      <c r="A2045" s="28">
        <v>6290362349327</v>
      </c>
      <c r="B2045" s="29" t="s">
        <v>2691</v>
      </c>
      <c r="C2045" s="30" t="s">
        <v>22</v>
      </c>
      <c r="D2045" s="31" t="s">
        <v>2692</v>
      </c>
      <c r="E2045" s="51">
        <v>30.5</v>
      </c>
      <c r="F2045" s="32" t="s">
        <v>15</v>
      </c>
      <c r="G2045" s="32" t="s">
        <v>6574</v>
      </c>
      <c r="H2045" s="22"/>
      <c r="I2045" s="11">
        <f>Table1[[#This Row],[Qty]]*Table1[[#This Row],[Price]]</f>
        <v>0</v>
      </c>
    </row>
    <row r="2046" spans="1:9" x14ac:dyDescent="0.25">
      <c r="A2046" s="28">
        <v>6291108738481</v>
      </c>
      <c r="B2046" s="29" t="s">
        <v>2707</v>
      </c>
      <c r="C2046" s="30" t="s">
        <v>22</v>
      </c>
      <c r="D2046" s="31" t="s">
        <v>2708</v>
      </c>
      <c r="E2046" s="51">
        <v>15.5</v>
      </c>
      <c r="F2046" s="32" t="s">
        <v>15</v>
      </c>
      <c r="G2046" s="32" t="s">
        <v>6581</v>
      </c>
      <c r="H2046" s="12"/>
      <c r="I2046" s="11">
        <f>Table1[[#This Row],[Qty]]*Table1[[#This Row],[Price]]</f>
        <v>0</v>
      </c>
    </row>
    <row r="2047" spans="1:9" x14ac:dyDescent="0.25">
      <c r="A2047" s="28">
        <v>6291108738269</v>
      </c>
      <c r="B2047" s="29" t="s">
        <v>2877</v>
      </c>
      <c r="C2047" s="30" t="s">
        <v>22</v>
      </c>
      <c r="D2047" s="31" t="s">
        <v>2878</v>
      </c>
      <c r="E2047" s="51">
        <v>20.260000000000002</v>
      </c>
      <c r="F2047" s="32" t="s">
        <v>15</v>
      </c>
      <c r="G2047" s="32">
        <v>0</v>
      </c>
      <c r="H2047" s="12"/>
      <c r="I2047" s="11">
        <f>Table1[[#This Row],[Qty]]*Table1[[#This Row],[Price]]</f>
        <v>0</v>
      </c>
    </row>
    <row r="2048" spans="1:9" x14ac:dyDescent="0.25">
      <c r="A2048" s="28">
        <v>6291106060546</v>
      </c>
      <c r="B2048" s="29" t="s">
        <v>2879</v>
      </c>
      <c r="C2048" s="30" t="s">
        <v>22</v>
      </c>
      <c r="D2048" s="31" t="s">
        <v>2880</v>
      </c>
      <c r="E2048" s="51">
        <v>10.8</v>
      </c>
      <c r="F2048" s="32" t="s">
        <v>15</v>
      </c>
      <c r="G2048" s="32">
        <v>0</v>
      </c>
      <c r="H2048" s="22"/>
      <c r="I2048" s="11">
        <f>Table1[[#This Row],[Qty]]*Table1[[#This Row],[Price]]</f>
        <v>0</v>
      </c>
    </row>
    <row r="2049" spans="1:9" x14ac:dyDescent="0.25">
      <c r="A2049" s="28">
        <v>6291106065114</v>
      </c>
      <c r="B2049" s="29" t="s">
        <v>2881</v>
      </c>
      <c r="C2049" s="30" t="s">
        <v>22</v>
      </c>
      <c r="D2049" s="31" t="s">
        <v>2882</v>
      </c>
      <c r="E2049" s="51">
        <v>11.81</v>
      </c>
      <c r="F2049" s="32" t="s">
        <v>15</v>
      </c>
      <c r="G2049" s="32">
        <v>0</v>
      </c>
      <c r="H2049" s="14"/>
      <c r="I2049" s="11">
        <f>Table1[[#This Row],[Qty]]*Table1[[#This Row],[Price]]</f>
        <v>0</v>
      </c>
    </row>
    <row r="2050" spans="1:9" x14ac:dyDescent="0.25">
      <c r="A2050" s="28">
        <v>6291107456072</v>
      </c>
      <c r="B2050" s="29" t="s">
        <v>2883</v>
      </c>
      <c r="C2050" s="30" t="s">
        <v>22</v>
      </c>
      <c r="D2050" s="31" t="s">
        <v>2884</v>
      </c>
      <c r="E2050" s="51">
        <v>13.5</v>
      </c>
      <c r="F2050" s="32" t="s">
        <v>15</v>
      </c>
      <c r="G2050" s="32" t="s">
        <v>6639</v>
      </c>
      <c r="H2050" s="12"/>
      <c r="I2050" s="11">
        <f>Table1[[#This Row],[Qty]]*Table1[[#This Row],[Price]]</f>
        <v>0</v>
      </c>
    </row>
    <row r="2051" spans="1:9" x14ac:dyDescent="0.25">
      <c r="A2051" s="28">
        <v>6290360599991</v>
      </c>
      <c r="B2051" s="29" t="s">
        <v>3124</v>
      </c>
      <c r="C2051" s="30" t="s">
        <v>22</v>
      </c>
      <c r="D2051" s="31" t="s">
        <v>3125</v>
      </c>
      <c r="E2051" s="51">
        <v>22.45</v>
      </c>
      <c r="F2051" s="32" t="s">
        <v>15</v>
      </c>
      <c r="G2051" s="32" t="s">
        <v>6706</v>
      </c>
      <c r="H2051" s="12"/>
      <c r="I2051" s="11">
        <f>Table1[[#This Row],[Qty]]*Table1[[#This Row],[Price]]</f>
        <v>0</v>
      </c>
    </row>
    <row r="2052" spans="1:9" x14ac:dyDescent="0.25">
      <c r="A2052" s="28">
        <v>6290362345527</v>
      </c>
      <c r="B2052" s="29" t="s">
        <v>3136</v>
      </c>
      <c r="C2052" s="30" t="s">
        <v>22</v>
      </c>
      <c r="D2052" s="31" t="s">
        <v>3137</v>
      </c>
      <c r="E2052" s="51">
        <v>31.97</v>
      </c>
      <c r="F2052" s="32" t="s">
        <v>15</v>
      </c>
      <c r="G2052" s="32" t="s">
        <v>6712</v>
      </c>
      <c r="H2052" s="12"/>
      <c r="I2052" s="11">
        <f>Table1[[#This Row],[Qty]]*Table1[[#This Row],[Price]]</f>
        <v>0</v>
      </c>
    </row>
    <row r="2053" spans="1:9" x14ac:dyDescent="0.25">
      <c r="A2053" s="28">
        <v>6290362349273</v>
      </c>
      <c r="B2053" s="29" t="s">
        <v>3184</v>
      </c>
      <c r="C2053" s="33" t="s">
        <v>22</v>
      </c>
      <c r="D2053" s="31" t="s">
        <v>3185</v>
      </c>
      <c r="E2053" s="51">
        <v>30.5</v>
      </c>
      <c r="F2053" s="32" t="s">
        <v>15</v>
      </c>
      <c r="G2053" s="32" t="s">
        <v>6729</v>
      </c>
      <c r="H2053" s="22"/>
      <c r="I2053" s="11">
        <f>Table1[[#This Row],[Qty]]*Table1[[#This Row],[Price]]</f>
        <v>0</v>
      </c>
    </row>
    <row r="2054" spans="1:9" x14ac:dyDescent="0.25">
      <c r="A2054" s="28">
        <v>6291106063998</v>
      </c>
      <c r="B2054" s="29" t="s">
        <v>5502</v>
      </c>
      <c r="C2054" s="33" t="s">
        <v>22</v>
      </c>
      <c r="D2054" s="31" t="s">
        <v>5503</v>
      </c>
      <c r="E2054" s="51">
        <v>10.5</v>
      </c>
      <c r="F2054" s="32" t="s">
        <v>15</v>
      </c>
      <c r="G2054" s="32" t="s">
        <v>6971</v>
      </c>
      <c r="H2054" s="22"/>
      <c r="I2054" s="11">
        <f>Table1[[#This Row],[Qty]]*Table1[[#This Row],[Price]]</f>
        <v>0</v>
      </c>
    </row>
    <row r="2055" spans="1:9" x14ac:dyDescent="0.25">
      <c r="A2055" s="28">
        <v>6290360591490</v>
      </c>
      <c r="B2055" s="29" t="s">
        <v>5506</v>
      </c>
      <c r="C2055" s="30" t="s">
        <v>22</v>
      </c>
      <c r="D2055" s="31" t="s">
        <v>5507</v>
      </c>
      <c r="E2055" s="51">
        <v>9.58</v>
      </c>
      <c r="F2055" s="32" t="s">
        <v>15</v>
      </c>
      <c r="G2055" s="32" t="s">
        <v>6973</v>
      </c>
      <c r="H2055" s="22"/>
      <c r="I2055" s="11">
        <f>Table1[[#This Row],[Qty]]*Table1[[#This Row],[Price]]</f>
        <v>0</v>
      </c>
    </row>
    <row r="2056" spans="1:9" x14ac:dyDescent="0.25">
      <c r="A2056" s="28">
        <v>6290360598321</v>
      </c>
      <c r="B2056" s="29" t="s">
        <v>5508</v>
      </c>
      <c r="C2056" s="30" t="s">
        <v>22</v>
      </c>
      <c r="D2056" s="31" t="s">
        <v>5509</v>
      </c>
      <c r="E2056" s="51">
        <v>11</v>
      </c>
      <c r="F2056" s="32" t="s">
        <v>15</v>
      </c>
      <c r="G2056" s="32" t="s">
        <v>6974</v>
      </c>
      <c r="H2056" s="22"/>
      <c r="I2056" s="11">
        <f>Table1[[#This Row],[Qty]]*Table1[[#This Row],[Price]]</f>
        <v>0</v>
      </c>
    </row>
    <row r="2057" spans="1:9" x14ac:dyDescent="0.25">
      <c r="A2057" s="28">
        <v>6291108737927</v>
      </c>
      <c r="B2057" s="29" t="s">
        <v>5510</v>
      </c>
      <c r="C2057" s="30" t="s">
        <v>22</v>
      </c>
      <c r="D2057" s="31" t="s">
        <v>5511</v>
      </c>
      <c r="E2057" s="51">
        <v>9.5</v>
      </c>
      <c r="F2057" s="32" t="s">
        <v>15</v>
      </c>
      <c r="G2057" s="32" t="s">
        <v>6975</v>
      </c>
      <c r="H2057" s="12"/>
      <c r="I2057" s="11">
        <f>Table1[[#This Row],[Qty]]*Table1[[#This Row],[Price]]</f>
        <v>0</v>
      </c>
    </row>
    <row r="2058" spans="1:9" x14ac:dyDescent="0.25">
      <c r="A2058" s="28">
        <v>6291108730065</v>
      </c>
      <c r="B2058" s="29" t="s">
        <v>3700</v>
      </c>
      <c r="C2058" s="30" t="s">
        <v>22</v>
      </c>
      <c r="D2058" s="31" t="s">
        <v>3701</v>
      </c>
      <c r="E2058" s="51">
        <v>12</v>
      </c>
      <c r="F2058" s="32" t="s">
        <v>15</v>
      </c>
      <c r="G2058" s="32" t="s">
        <v>7022</v>
      </c>
      <c r="H2058" s="22"/>
      <c r="I2058" s="11">
        <f>Table1[[#This Row],[Qty]]*Table1[[#This Row],[Price]]</f>
        <v>0</v>
      </c>
    </row>
    <row r="2059" spans="1:9" x14ac:dyDescent="0.25">
      <c r="A2059" s="28">
        <v>6291108738689</v>
      </c>
      <c r="B2059" s="29" t="s">
        <v>3712</v>
      </c>
      <c r="C2059" s="33" t="s">
        <v>22</v>
      </c>
      <c r="D2059" s="31" t="s">
        <v>3713</v>
      </c>
      <c r="E2059" s="51">
        <v>16.07</v>
      </c>
      <c r="F2059" s="32" t="s">
        <v>15</v>
      </c>
      <c r="G2059" s="32" t="s">
        <v>7028</v>
      </c>
      <c r="H2059" s="22"/>
      <c r="I2059" s="11">
        <f>Table1[[#This Row],[Qty]]*Table1[[#This Row],[Price]]</f>
        <v>0</v>
      </c>
    </row>
    <row r="2060" spans="1:9" x14ac:dyDescent="0.25">
      <c r="A2060" s="28">
        <v>6291106064841</v>
      </c>
      <c r="B2060" s="29" t="s">
        <v>3716</v>
      </c>
      <c r="C2060" s="30" t="s">
        <v>22</v>
      </c>
      <c r="D2060" s="31" t="s">
        <v>3717</v>
      </c>
      <c r="E2060" s="51">
        <v>8.74</v>
      </c>
      <c r="F2060" s="32" t="s">
        <v>15</v>
      </c>
      <c r="G2060" s="32" t="s">
        <v>7030</v>
      </c>
      <c r="H2060" s="12"/>
      <c r="I2060" s="11">
        <f>Table1[[#This Row],[Qty]]*Table1[[#This Row],[Price]]</f>
        <v>0</v>
      </c>
    </row>
    <row r="2061" spans="1:9" x14ac:dyDescent="0.25">
      <c r="A2061" s="28">
        <v>6291107457062</v>
      </c>
      <c r="B2061" s="29" t="s">
        <v>3722</v>
      </c>
      <c r="C2061" s="30" t="s">
        <v>22</v>
      </c>
      <c r="D2061" s="31" t="s">
        <v>3723</v>
      </c>
      <c r="E2061" s="51">
        <v>12.5</v>
      </c>
      <c r="F2061" s="32" t="s">
        <v>15</v>
      </c>
      <c r="G2061" s="32" t="s">
        <v>7033</v>
      </c>
      <c r="H2061" s="22"/>
      <c r="I2061" s="11">
        <f>Table1[[#This Row],[Qty]]*Table1[[#This Row],[Price]]</f>
        <v>0</v>
      </c>
    </row>
    <row r="2062" spans="1:9" x14ac:dyDescent="0.25">
      <c r="A2062" s="28">
        <v>6291108738078</v>
      </c>
      <c r="B2062" s="29" t="s">
        <v>3726</v>
      </c>
      <c r="C2062" s="30" t="s">
        <v>22</v>
      </c>
      <c r="D2062" s="31" t="s">
        <v>3727</v>
      </c>
      <c r="E2062" s="51">
        <v>15.71</v>
      </c>
      <c r="F2062" s="32" t="s">
        <v>15</v>
      </c>
      <c r="G2062" s="32" t="s">
        <v>7035</v>
      </c>
      <c r="H2062" s="22"/>
      <c r="I2062" s="11">
        <f>Table1[[#This Row],[Qty]]*Table1[[#This Row],[Price]]</f>
        <v>0</v>
      </c>
    </row>
    <row r="2063" spans="1:9" x14ac:dyDescent="0.25">
      <c r="A2063" s="28">
        <v>6291107450414</v>
      </c>
      <c r="B2063" s="29" t="s">
        <v>3732</v>
      </c>
      <c r="C2063" s="30" t="s">
        <v>22</v>
      </c>
      <c r="D2063" s="31" t="s">
        <v>3733</v>
      </c>
      <c r="E2063" s="51">
        <v>12</v>
      </c>
      <c r="F2063" s="32" t="s">
        <v>15</v>
      </c>
      <c r="G2063" s="32" t="s">
        <v>7038</v>
      </c>
      <c r="H2063" s="22"/>
      <c r="I2063" s="11">
        <f>Table1[[#This Row],[Qty]]*Table1[[#This Row],[Price]]</f>
        <v>0</v>
      </c>
    </row>
    <row r="2064" spans="1:9" x14ac:dyDescent="0.25">
      <c r="A2064" s="28">
        <v>6290360599427</v>
      </c>
      <c r="B2064" s="29" t="s">
        <v>3786</v>
      </c>
      <c r="C2064" s="30" t="s">
        <v>22</v>
      </c>
      <c r="D2064" s="31" t="s">
        <v>3787</v>
      </c>
      <c r="E2064" s="51">
        <v>2.5</v>
      </c>
      <c r="F2064" s="32" t="s">
        <v>15</v>
      </c>
      <c r="G2064" s="32">
        <v>0</v>
      </c>
      <c r="H2064" s="22"/>
      <c r="I2064" s="11">
        <f>Table1[[#This Row],[Qty]]*Table1[[#This Row],[Price]]</f>
        <v>0</v>
      </c>
    </row>
    <row r="2065" spans="1:9" x14ac:dyDescent="0.25">
      <c r="A2065" s="28">
        <v>6290362341444</v>
      </c>
      <c r="B2065" s="29" t="s">
        <v>3788</v>
      </c>
      <c r="C2065" s="30" t="s">
        <v>22</v>
      </c>
      <c r="D2065" s="31" t="s">
        <v>3789</v>
      </c>
      <c r="E2065" s="51">
        <v>2.5</v>
      </c>
      <c r="F2065" s="32" t="s">
        <v>15</v>
      </c>
      <c r="G2065" s="32" t="s">
        <v>7065</v>
      </c>
      <c r="H2065" s="14"/>
      <c r="I2065" s="11">
        <f>Table1[[#This Row],[Qty]]*Table1[[#This Row],[Price]]</f>
        <v>0</v>
      </c>
    </row>
    <row r="2066" spans="1:9" x14ac:dyDescent="0.25">
      <c r="A2066" s="28">
        <v>6290362345480</v>
      </c>
      <c r="B2066" s="29" t="s">
        <v>3790</v>
      </c>
      <c r="C2066" s="30" t="s">
        <v>22</v>
      </c>
      <c r="D2066" s="31" t="s">
        <v>3791</v>
      </c>
      <c r="E2066" s="51">
        <v>2.5</v>
      </c>
      <c r="F2066" s="32" t="s">
        <v>15</v>
      </c>
      <c r="G2066" s="32" t="s">
        <v>7066</v>
      </c>
      <c r="H2066" s="22"/>
      <c r="I2066" s="11">
        <f>Table1[[#This Row],[Qty]]*Table1[[#This Row],[Price]]</f>
        <v>0</v>
      </c>
    </row>
    <row r="2067" spans="1:9" x14ac:dyDescent="0.25">
      <c r="A2067" s="28">
        <v>6291107454412</v>
      </c>
      <c r="B2067" s="29" t="s">
        <v>3794</v>
      </c>
      <c r="C2067" s="30" t="s">
        <v>22</v>
      </c>
      <c r="D2067" s="31" t="s">
        <v>3795</v>
      </c>
      <c r="E2067" s="51">
        <v>8.5</v>
      </c>
      <c r="F2067" s="32" t="s">
        <v>15</v>
      </c>
      <c r="G2067" s="32" t="s">
        <v>7068</v>
      </c>
      <c r="H2067" s="12"/>
      <c r="I2067" s="11">
        <f>Table1[[#This Row],[Qty]]*Table1[[#This Row],[Price]]</f>
        <v>0</v>
      </c>
    </row>
    <row r="2068" spans="1:9" x14ac:dyDescent="0.25">
      <c r="A2068" s="28">
        <v>6290362345688</v>
      </c>
      <c r="B2068" s="29" t="s">
        <v>3806</v>
      </c>
      <c r="C2068" s="30" t="s">
        <v>22</v>
      </c>
      <c r="D2068" s="31" t="s">
        <v>3807</v>
      </c>
      <c r="E2068" s="51">
        <v>11.5</v>
      </c>
      <c r="F2068" s="32" t="s">
        <v>15</v>
      </c>
      <c r="G2068" s="32" t="s">
        <v>7074</v>
      </c>
      <c r="H2068" s="12"/>
      <c r="I2068" s="11">
        <f>Table1[[#This Row],[Qty]]*Table1[[#This Row],[Price]]</f>
        <v>0</v>
      </c>
    </row>
    <row r="2069" spans="1:9" x14ac:dyDescent="0.25">
      <c r="A2069" s="48">
        <v>6290360591872</v>
      </c>
      <c r="B2069" s="41" t="s">
        <v>3824</v>
      </c>
      <c r="C2069" s="6" t="s">
        <v>22</v>
      </c>
      <c r="D2069" t="s">
        <v>3825</v>
      </c>
      <c r="E2069" s="47">
        <v>2.67</v>
      </c>
      <c r="F2069" s="6" t="s">
        <v>15</v>
      </c>
      <c r="G2069" s="6" t="s">
        <v>7083</v>
      </c>
      <c r="H2069" s="22"/>
      <c r="I2069" s="11">
        <f>Table1[[#This Row],[Qty]]*Table1[[#This Row],[Price]]</f>
        <v>0</v>
      </c>
    </row>
    <row r="2070" spans="1:9" x14ac:dyDescent="0.25">
      <c r="A2070" s="28">
        <v>6291108734889</v>
      </c>
      <c r="B2070" s="29" t="s">
        <v>3848</v>
      </c>
      <c r="C2070" s="30" t="s">
        <v>22</v>
      </c>
      <c r="D2070" s="31" t="s">
        <v>3849</v>
      </c>
      <c r="E2070" s="51">
        <v>2.5</v>
      </c>
      <c r="F2070" s="32" t="s">
        <v>15</v>
      </c>
      <c r="G2070" s="32" t="s">
        <v>7095</v>
      </c>
      <c r="H2070" s="22"/>
      <c r="I2070" s="11">
        <f>Table1[[#This Row],[Qty]]*Table1[[#This Row],[Price]]</f>
        <v>0</v>
      </c>
    </row>
    <row r="2071" spans="1:9" x14ac:dyDescent="0.25">
      <c r="A2071" s="28">
        <v>6291108738184</v>
      </c>
      <c r="B2071" s="29" t="s">
        <v>3852</v>
      </c>
      <c r="C2071" s="30" t="s">
        <v>22</v>
      </c>
      <c r="D2071" s="31" t="s">
        <v>3853</v>
      </c>
      <c r="E2071" s="51">
        <v>15.5</v>
      </c>
      <c r="F2071" s="32" t="s">
        <v>15</v>
      </c>
      <c r="G2071" s="32" t="s">
        <v>7097</v>
      </c>
      <c r="H2071" s="12"/>
      <c r="I2071" s="11">
        <f>Table1[[#This Row],[Qty]]*Table1[[#This Row],[Price]]</f>
        <v>0</v>
      </c>
    </row>
    <row r="2072" spans="1:9" x14ac:dyDescent="0.25">
      <c r="A2072" s="28">
        <v>6291108738108</v>
      </c>
      <c r="B2072" s="29" t="s">
        <v>3898</v>
      </c>
      <c r="C2072" s="30" t="s">
        <v>22</v>
      </c>
      <c r="D2072" s="31" t="s">
        <v>3899</v>
      </c>
      <c r="E2072" s="51">
        <v>26</v>
      </c>
      <c r="F2072" s="32" t="s">
        <v>15</v>
      </c>
      <c r="G2072" s="32" t="s">
        <v>7118</v>
      </c>
      <c r="H2072" s="12"/>
      <c r="I2072" s="11">
        <f>Table1[[#This Row],[Qty]]*Table1[[#This Row],[Price]]</f>
        <v>0</v>
      </c>
    </row>
    <row r="2073" spans="1:9" x14ac:dyDescent="0.25">
      <c r="A2073" s="28">
        <v>6290362349105</v>
      </c>
      <c r="B2073" s="29" t="s">
        <v>4011</v>
      </c>
      <c r="C2073" s="30" t="s">
        <v>22</v>
      </c>
      <c r="D2073" s="31" t="s">
        <v>4012</v>
      </c>
      <c r="E2073" s="51">
        <v>18.5</v>
      </c>
      <c r="F2073" s="32" t="s">
        <v>15</v>
      </c>
      <c r="G2073" s="32" t="s">
        <v>7164</v>
      </c>
      <c r="H2073" s="22"/>
      <c r="I2073" s="11">
        <f>Table1[[#This Row],[Qty]]*Table1[[#This Row],[Price]]</f>
        <v>0</v>
      </c>
    </row>
    <row r="2074" spans="1:9" x14ac:dyDescent="0.25">
      <c r="A2074" s="28">
        <v>6290362340010</v>
      </c>
      <c r="B2074" s="29" t="s">
        <v>4015</v>
      </c>
      <c r="C2074" s="30" t="s">
        <v>22</v>
      </c>
      <c r="D2074" s="31" t="s">
        <v>4016</v>
      </c>
      <c r="E2074" s="51">
        <v>20.13</v>
      </c>
      <c r="F2074" s="32" t="s">
        <v>15</v>
      </c>
      <c r="G2074" s="32" t="s">
        <v>7166</v>
      </c>
      <c r="H2074" s="22"/>
      <c r="I2074" s="11">
        <f>Table1[[#This Row],[Qty]]*Table1[[#This Row],[Price]]</f>
        <v>0</v>
      </c>
    </row>
    <row r="2075" spans="1:9" x14ac:dyDescent="0.25">
      <c r="A2075" s="28">
        <v>6291108733226</v>
      </c>
      <c r="B2075" s="29" t="s">
        <v>4030</v>
      </c>
      <c r="C2075" s="30" t="s">
        <v>22</v>
      </c>
      <c r="D2075" s="31" t="s">
        <v>4031</v>
      </c>
      <c r="E2075" s="51">
        <v>9.5</v>
      </c>
      <c r="F2075" s="32" t="s">
        <v>15</v>
      </c>
      <c r="G2075" s="32" t="s">
        <v>7174</v>
      </c>
      <c r="H2075" s="12"/>
      <c r="I2075" s="11">
        <f>Table1[[#This Row],[Qty]]*Table1[[#This Row],[Price]]</f>
        <v>0</v>
      </c>
    </row>
    <row r="2076" spans="1:9" x14ac:dyDescent="0.25">
      <c r="A2076" s="48">
        <v>6290362349679</v>
      </c>
      <c r="B2076" s="41" t="s">
        <v>4032</v>
      </c>
      <c r="C2076" s="6" t="s">
        <v>22</v>
      </c>
      <c r="D2076" t="s">
        <v>4033</v>
      </c>
      <c r="E2076" s="47">
        <v>24.58</v>
      </c>
      <c r="F2076" s="6" t="s">
        <v>15</v>
      </c>
      <c r="G2076" s="6" t="s">
        <v>7175</v>
      </c>
      <c r="H2076" s="22"/>
      <c r="I2076" s="11">
        <f>Table1[[#This Row],[Qty]]*Table1[[#This Row],[Price]]</f>
        <v>0</v>
      </c>
    </row>
    <row r="2077" spans="1:9" x14ac:dyDescent="0.25">
      <c r="A2077" s="28">
        <v>6290362349662</v>
      </c>
      <c r="B2077" s="29" t="s">
        <v>4034</v>
      </c>
      <c r="C2077" s="30" t="s">
        <v>22</v>
      </c>
      <c r="D2077" s="31" t="s">
        <v>4035</v>
      </c>
      <c r="E2077" s="51">
        <v>24.53</v>
      </c>
      <c r="F2077" s="32" t="s">
        <v>15</v>
      </c>
      <c r="G2077" s="32" t="s">
        <v>7176</v>
      </c>
      <c r="H2077" s="12"/>
      <c r="I2077" s="11">
        <f>Table1[[#This Row],[Qty]]*Table1[[#This Row],[Price]]</f>
        <v>0</v>
      </c>
    </row>
    <row r="2078" spans="1:9" x14ac:dyDescent="0.25">
      <c r="A2078" s="28">
        <v>6290362348054</v>
      </c>
      <c r="B2078" s="29" t="s">
        <v>4059</v>
      </c>
      <c r="C2078" s="30" t="s">
        <v>22</v>
      </c>
      <c r="D2078" s="31" t="s">
        <v>4060</v>
      </c>
      <c r="E2078" s="51">
        <v>24.5</v>
      </c>
      <c r="F2078" s="32" t="s">
        <v>15</v>
      </c>
      <c r="G2078" s="32" t="s">
        <v>7187</v>
      </c>
      <c r="H2078" s="22"/>
      <c r="I2078" s="11">
        <f>Table1[[#This Row],[Qty]]*Table1[[#This Row],[Price]]</f>
        <v>0</v>
      </c>
    </row>
    <row r="2079" spans="1:9" x14ac:dyDescent="0.25">
      <c r="A2079" s="28">
        <v>6290360595771</v>
      </c>
      <c r="B2079" s="29" t="s">
        <v>4069</v>
      </c>
      <c r="C2079" s="30" t="s">
        <v>22</v>
      </c>
      <c r="D2079" s="31" t="s">
        <v>4070</v>
      </c>
      <c r="E2079" s="51">
        <v>20.53</v>
      </c>
      <c r="F2079" s="32" t="s">
        <v>15</v>
      </c>
      <c r="G2079" s="32" t="s">
        <v>7192</v>
      </c>
      <c r="H2079" s="12"/>
      <c r="I2079" s="11">
        <f>Table1[[#This Row],[Qty]]*Table1[[#This Row],[Price]]</f>
        <v>0</v>
      </c>
    </row>
    <row r="2080" spans="1:9" x14ac:dyDescent="0.25">
      <c r="A2080" s="28">
        <v>6290362340089</v>
      </c>
      <c r="B2080" s="29" t="s">
        <v>4089</v>
      </c>
      <c r="C2080" s="30" t="s">
        <v>22</v>
      </c>
      <c r="D2080" s="31" t="s">
        <v>4090</v>
      </c>
      <c r="E2080" s="51">
        <v>22.29</v>
      </c>
      <c r="F2080" s="32" t="s">
        <v>15</v>
      </c>
      <c r="G2080" s="32" t="s">
        <v>7197</v>
      </c>
      <c r="H2080" s="12"/>
      <c r="I2080" s="11">
        <f>Table1[[#This Row],[Qty]]*Table1[[#This Row],[Price]]</f>
        <v>0</v>
      </c>
    </row>
    <row r="2081" spans="1:9" x14ac:dyDescent="0.25">
      <c r="A2081" s="28">
        <v>6291108739020</v>
      </c>
      <c r="B2081" s="29" t="s">
        <v>4133</v>
      </c>
      <c r="C2081" s="30" t="s">
        <v>22</v>
      </c>
      <c r="D2081" s="31" t="s">
        <v>4134</v>
      </c>
      <c r="E2081" s="51">
        <v>9.41</v>
      </c>
      <c r="F2081" s="32" t="s">
        <v>15</v>
      </c>
      <c r="G2081" s="32" t="s">
        <v>7215</v>
      </c>
      <c r="H2081" s="13"/>
      <c r="I2081" s="11">
        <f>Table1[[#This Row],[Qty]]*Table1[[#This Row],[Price]]</f>
        <v>0</v>
      </c>
    </row>
    <row r="2082" spans="1:9" x14ac:dyDescent="0.25">
      <c r="A2082" s="28">
        <v>6290362349099</v>
      </c>
      <c r="B2082" s="29" t="s">
        <v>4155</v>
      </c>
      <c r="C2082" s="30" t="s">
        <v>22</v>
      </c>
      <c r="D2082" s="31" t="s">
        <v>4156</v>
      </c>
      <c r="E2082" s="51">
        <v>18.28</v>
      </c>
      <c r="F2082" s="32" t="s">
        <v>15</v>
      </c>
      <c r="G2082" s="32" t="s">
        <v>7223</v>
      </c>
      <c r="H2082" s="22"/>
      <c r="I2082" s="11">
        <f>Table1[[#This Row],[Qty]]*Table1[[#This Row],[Price]]</f>
        <v>0</v>
      </c>
    </row>
    <row r="2083" spans="1:9" x14ac:dyDescent="0.25">
      <c r="A2083" s="28">
        <v>6290362349655</v>
      </c>
      <c r="B2083" s="29" t="s">
        <v>4173</v>
      </c>
      <c r="C2083" s="30" t="s">
        <v>22</v>
      </c>
      <c r="D2083" s="31" t="s">
        <v>4174</v>
      </c>
      <c r="E2083" s="51">
        <v>24.53</v>
      </c>
      <c r="F2083" s="32" t="s">
        <v>15</v>
      </c>
      <c r="G2083" s="32" t="s">
        <v>7230</v>
      </c>
      <c r="H2083" s="22"/>
      <c r="I2083" s="11">
        <f>Table1[[#This Row],[Qty]]*Table1[[#This Row],[Price]]</f>
        <v>0</v>
      </c>
    </row>
    <row r="2084" spans="1:9" x14ac:dyDescent="0.25">
      <c r="A2084" s="28">
        <v>6290360593098</v>
      </c>
      <c r="B2084" s="29" t="s">
        <v>4535</v>
      </c>
      <c r="C2084" s="30" t="s">
        <v>4465</v>
      </c>
      <c r="D2084" s="31" t="s">
        <v>4536</v>
      </c>
      <c r="E2084" s="51">
        <v>35</v>
      </c>
      <c r="F2084" s="32" t="s">
        <v>15</v>
      </c>
      <c r="G2084" s="32"/>
      <c r="H2084" s="22"/>
      <c r="I2084" s="11">
        <f>Table1[[#This Row],[Qty]]*Table1[[#This Row],[Price]]</f>
        <v>0</v>
      </c>
    </row>
    <row r="2085" spans="1:9" x14ac:dyDescent="0.25">
      <c r="A2085" s="48">
        <v>6290362346111</v>
      </c>
      <c r="B2085" s="41" t="s">
        <v>4539</v>
      </c>
      <c r="C2085" s="6" t="s">
        <v>22</v>
      </c>
      <c r="D2085" t="s">
        <v>4540</v>
      </c>
      <c r="E2085" s="47">
        <v>32</v>
      </c>
      <c r="F2085" s="6" t="s">
        <v>15</v>
      </c>
      <c r="G2085" s="6" t="s">
        <v>7396</v>
      </c>
      <c r="H2085" s="22"/>
      <c r="I2085" s="11">
        <f>Table1[[#This Row],[Qty]]*Table1[[#This Row],[Price]]</f>
        <v>0</v>
      </c>
    </row>
    <row r="2086" spans="1:9" x14ac:dyDescent="0.25">
      <c r="A2086" s="28">
        <v>6456874097129</v>
      </c>
      <c r="B2086" s="29" t="s">
        <v>4464</v>
      </c>
      <c r="C2086" s="30" t="s">
        <v>4465</v>
      </c>
      <c r="D2086" s="31" t="s">
        <v>4466</v>
      </c>
      <c r="E2086" s="51">
        <v>30</v>
      </c>
      <c r="F2086" s="32" t="s">
        <v>15</v>
      </c>
      <c r="G2086" s="32"/>
      <c r="H2086" s="22"/>
      <c r="I2086" s="11">
        <f>Table1[[#This Row],[Qty]]*Table1[[#This Row],[Price]]</f>
        <v>0</v>
      </c>
    </row>
    <row r="2087" spans="1:9" x14ac:dyDescent="0.25">
      <c r="A2087" s="28">
        <v>6290360592961</v>
      </c>
      <c r="B2087" s="29" t="s">
        <v>4706</v>
      </c>
      <c r="C2087" s="30" t="s">
        <v>4465</v>
      </c>
      <c r="D2087" s="31" t="s">
        <v>4707</v>
      </c>
      <c r="E2087" s="51">
        <v>29.5</v>
      </c>
      <c r="F2087" s="32" t="s">
        <v>15</v>
      </c>
      <c r="G2087" s="32"/>
      <c r="H2087" s="12"/>
      <c r="I2087" s="11">
        <f>Table1[[#This Row],[Qty]]*Table1[[#This Row],[Price]]</f>
        <v>0</v>
      </c>
    </row>
    <row r="2088" spans="1:9" x14ac:dyDescent="0.25">
      <c r="A2088" s="28">
        <v>6290360592930</v>
      </c>
      <c r="B2088" s="29" t="s">
        <v>4708</v>
      </c>
      <c r="C2088" s="30" t="s">
        <v>22</v>
      </c>
      <c r="D2088" s="31" t="s">
        <v>4709</v>
      </c>
      <c r="E2088" s="51">
        <v>29.5</v>
      </c>
      <c r="F2088" s="32" t="s">
        <v>15</v>
      </c>
      <c r="G2088" s="32">
        <v>0</v>
      </c>
      <c r="H2088" s="22"/>
      <c r="I2088" s="11">
        <f>Table1[[#This Row],[Qty]]*Table1[[#This Row],[Price]]</f>
        <v>0</v>
      </c>
    </row>
    <row r="2089" spans="1:9" x14ac:dyDescent="0.25">
      <c r="A2089" s="28">
        <v>6290360593043</v>
      </c>
      <c r="B2089" s="29" t="s">
        <v>4712</v>
      </c>
      <c r="C2089" s="30" t="s">
        <v>4465</v>
      </c>
      <c r="D2089" s="31" t="s">
        <v>4713</v>
      </c>
      <c r="E2089" s="51">
        <v>29.5</v>
      </c>
      <c r="F2089" s="32" t="s">
        <v>15</v>
      </c>
      <c r="G2089" s="32"/>
      <c r="H2089" s="12"/>
      <c r="I2089" s="11">
        <f>Table1[[#This Row],[Qty]]*Table1[[#This Row],[Price]]</f>
        <v>0</v>
      </c>
    </row>
    <row r="2090" spans="1:9" x14ac:dyDescent="0.25">
      <c r="A2090" s="28">
        <v>6290360593104</v>
      </c>
      <c r="B2090" s="29" t="s">
        <v>4716</v>
      </c>
      <c r="C2090" s="30" t="s">
        <v>4465</v>
      </c>
      <c r="D2090" s="31" t="s">
        <v>4717</v>
      </c>
      <c r="E2090" s="51">
        <v>29.5</v>
      </c>
      <c r="F2090" s="32" t="s">
        <v>15</v>
      </c>
      <c r="G2090" s="32"/>
      <c r="H2090" s="12"/>
      <c r="I2090" s="11">
        <f>Table1[[#This Row],[Qty]]*Table1[[#This Row],[Price]]</f>
        <v>0</v>
      </c>
    </row>
    <row r="2091" spans="1:9" x14ac:dyDescent="0.25">
      <c r="A2091" s="28">
        <v>6290362340201</v>
      </c>
      <c r="B2091" s="29" t="s">
        <v>4714</v>
      </c>
      <c r="C2091" s="30" t="s">
        <v>4465</v>
      </c>
      <c r="D2091" s="31" t="s">
        <v>4715</v>
      </c>
      <c r="E2091" s="51">
        <v>28.5</v>
      </c>
      <c r="F2091" s="32" t="s">
        <v>15</v>
      </c>
      <c r="G2091" s="32"/>
      <c r="H2091" s="12"/>
      <c r="I2091" s="11">
        <f>Table1[[#This Row],[Qty]]*Table1[[#This Row],[Price]]</f>
        <v>0</v>
      </c>
    </row>
    <row r="2092" spans="1:9" x14ac:dyDescent="0.25">
      <c r="A2092" s="28">
        <v>6290360592169</v>
      </c>
      <c r="B2092" s="29" t="s">
        <v>4710</v>
      </c>
      <c r="C2092" s="30" t="s">
        <v>22</v>
      </c>
      <c r="D2092" s="31" t="s">
        <v>4711</v>
      </c>
      <c r="E2092" s="51">
        <v>26.5</v>
      </c>
      <c r="F2092" s="32" t="s">
        <v>15</v>
      </c>
      <c r="G2092" s="32">
        <v>0</v>
      </c>
      <c r="H2092" s="12"/>
      <c r="I2092" s="11">
        <f>Table1[[#This Row],[Qty]]*Table1[[#This Row],[Price]]</f>
        <v>0</v>
      </c>
    </row>
    <row r="2093" spans="1:9" x14ac:dyDescent="0.25">
      <c r="A2093" s="28">
        <v>6290360593081</v>
      </c>
      <c r="B2093" s="29" t="s">
        <v>5189</v>
      </c>
      <c r="C2093" s="30" t="s">
        <v>22</v>
      </c>
      <c r="D2093" s="31" t="s">
        <v>5190</v>
      </c>
      <c r="E2093" s="51">
        <v>24.5</v>
      </c>
      <c r="F2093" s="32" t="s">
        <v>15</v>
      </c>
      <c r="G2093" s="32">
        <v>0</v>
      </c>
      <c r="H2093" s="12"/>
      <c r="I2093" s="11">
        <f>Table1[[#This Row],[Qty]]*Table1[[#This Row],[Price]]</f>
        <v>0</v>
      </c>
    </row>
    <row r="2094" spans="1:9" x14ac:dyDescent="0.25">
      <c r="A2094" s="28">
        <v>6290362341246</v>
      </c>
      <c r="B2094" s="29" t="s">
        <v>4702</v>
      </c>
      <c r="C2094" s="30" t="s">
        <v>4465</v>
      </c>
      <c r="D2094" s="31" t="s">
        <v>4703</v>
      </c>
      <c r="E2094" s="51">
        <v>22.5</v>
      </c>
      <c r="F2094" s="32" t="s">
        <v>15</v>
      </c>
      <c r="G2094" s="32"/>
      <c r="H2094" s="12"/>
      <c r="I2094" s="11">
        <f>Table1[[#This Row],[Qty]]*Table1[[#This Row],[Price]]</f>
        <v>0</v>
      </c>
    </row>
    <row r="2095" spans="1:9" x14ac:dyDescent="0.25">
      <c r="A2095" s="28">
        <v>6290362341260</v>
      </c>
      <c r="B2095" s="29" t="s">
        <v>4704</v>
      </c>
      <c r="C2095" s="30" t="s">
        <v>4465</v>
      </c>
      <c r="D2095" s="31" t="s">
        <v>4705</v>
      </c>
      <c r="E2095" s="51">
        <v>22.5</v>
      </c>
      <c r="F2095" s="32" t="s">
        <v>15</v>
      </c>
      <c r="G2095" s="32"/>
      <c r="H2095" s="22"/>
      <c r="I2095" s="11">
        <f>Table1[[#This Row],[Qty]]*Table1[[#This Row],[Price]]</f>
        <v>0</v>
      </c>
    </row>
    <row r="2096" spans="1:9" x14ac:dyDescent="0.25">
      <c r="A2096" s="28">
        <v>6290362346104</v>
      </c>
      <c r="B2096" s="29" t="s">
        <v>5357</v>
      </c>
      <c r="C2096" s="33" t="s">
        <v>4465</v>
      </c>
      <c r="D2096" s="31" t="s">
        <v>5358</v>
      </c>
      <c r="E2096" s="51">
        <v>22.45</v>
      </c>
      <c r="F2096" s="32" t="s">
        <v>15</v>
      </c>
      <c r="G2096" s="32"/>
      <c r="H2096" s="22"/>
      <c r="I2096" s="11">
        <f>Table1[[#This Row],[Qty]]*Table1[[#This Row],[Price]]</f>
        <v>0</v>
      </c>
    </row>
    <row r="2097" spans="1:9" x14ac:dyDescent="0.25">
      <c r="A2097" s="28">
        <v>6290360592985</v>
      </c>
      <c r="B2097" s="29" t="s">
        <v>5194</v>
      </c>
      <c r="C2097" s="30" t="s">
        <v>22</v>
      </c>
      <c r="D2097" s="31" t="s">
        <v>5195</v>
      </c>
      <c r="E2097" s="51">
        <v>22.25</v>
      </c>
      <c r="F2097" s="32" t="s">
        <v>15</v>
      </c>
      <c r="G2097" s="32">
        <v>0</v>
      </c>
      <c r="H2097" s="22"/>
      <c r="I2097" s="11">
        <f>Table1[[#This Row],[Qty]]*Table1[[#This Row],[Price]]</f>
        <v>0</v>
      </c>
    </row>
    <row r="2098" spans="1:9" x14ac:dyDescent="0.25">
      <c r="A2098" s="28">
        <v>6290360591995</v>
      </c>
      <c r="B2098" s="29" t="s">
        <v>5157</v>
      </c>
      <c r="C2098" s="30" t="s">
        <v>22</v>
      </c>
      <c r="D2098" s="31" t="s">
        <v>5158</v>
      </c>
      <c r="E2098" s="51">
        <v>21.5</v>
      </c>
      <c r="F2098" s="32" t="s">
        <v>15</v>
      </c>
      <c r="G2098" s="32">
        <v>0</v>
      </c>
      <c r="H2098" s="12"/>
      <c r="I2098" s="11">
        <f>Table1[[#This Row],[Qty]]*Table1[[#This Row],[Price]]</f>
        <v>0</v>
      </c>
    </row>
    <row r="2099" spans="1:9" x14ac:dyDescent="0.25">
      <c r="A2099" s="28">
        <v>6290362341253</v>
      </c>
      <c r="B2099" s="29" t="s">
        <v>5184</v>
      </c>
      <c r="C2099" s="30" t="s">
        <v>4465</v>
      </c>
      <c r="D2099" s="31" t="s">
        <v>5185</v>
      </c>
      <c r="E2099" s="51">
        <v>20.5</v>
      </c>
      <c r="F2099" s="32" t="s">
        <v>15</v>
      </c>
      <c r="G2099" s="32"/>
      <c r="H2099" s="12"/>
      <c r="I2099" s="11">
        <f>Table1[[#This Row],[Qty]]*Table1[[#This Row],[Price]]</f>
        <v>0</v>
      </c>
    </row>
    <row r="2100" spans="1:9" x14ac:dyDescent="0.25">
      <c r="A2100" s="28">
        <v>6290360593005</v>
      </c>
      <c r="B2100" s="29" t="s">
        <v>5170</v>
      </c>
      <c r="C2100" s="30" t="s">
        <v>22</v>
      </c>
      <c r="D2100" s="31" t="s">
        <v>5171</v>
      </c>
      <c r="E2100" s="51">
        <v>20.25</v>
      </c>
      <c r="F2100" s="32" t="s">
        <v>15</v>
      </c>
      <c r="G2100" s="32">
        <v>0</v>
      </c>
      <c r="H2100" s="22"/>
      <c r="I2100" s="11">
        <f>Table1[[#This Row],[Qty]]*Table1[[#This Row],[Price]]</f>
        <v>0</v>
      </c>
    </row>
    <row r="2101" spans="1:9" x14ac:dyDescent="0.25">
      <c r="A2101" s="28">
        <v>6290360590110</v>
      </c>
      <c r="B2101" s="29" t="s">
        <v>4855</v>
      </c>
      <c r="C2101" s="30" t="s">
        <v>4465</v>
      </c>
      <c r="D2101" s="31" t="s">
        <v>4856</v>
      </c>
      <c r="E2101" s="51">
        <v>19.95</v>
      </c>
      <c r="F2101" s="32" t="s">
        <v>15</v>
      </c>
      <c r="G2101" s="32"/>
      <c r="H2101" s="12"/>
      <c r="I2101" s="11">
        <f>Table1[[#This Row],[Qty]]*Table1[[#This Row],[Price]]</f>
        <v>0</v>
      </c>
    </row>
    <row r="2102" spans="1:9" x14ac:dyDescent="0.25">
      <c r="A2102" s="28">
        <v>6290362341215</v>
      </c>
      <c r="B2102" s="29" t="s">
        <v>5182</v>
      </c>
      <c r="C2102" s="30" t="s">
        <v>4465</v>
      </c>
      <c r="D2102" s="31" t="s">
        <v>5183</v>
      </c>
      <c r="E2102" s="51">
        <v>19.25</v>
      </c>
      <c r="F2102" s="32" t="s">
        <v>15</v>
      </c>
      <c r="G2102" s="32"/>
      <c r="H2102" s="22"/>
      <c r="I2102" s="11">
        <f>Table1[[#This Row],[Qty]]*Table1[[#This Row],[Price]]</f>
        <v>0</v>
      </c>
    </row>
    <row r="2103" spans="1:9" x14ac:dyDescent="0.25">
      <c r="A2103" s="28">
        <v>6290362345718</v>
      </c>
      <c r="B2103" s="29" t="s">
        <v>4512</v>
      </c>
      <c r="C2103" s="30" t="s">
        <v>4465</v>
      </c>
      <c r="D2103" s="31" t="s">
        <v>4513</v>
      </c>
      <c r="E2103" s="51">
        <v>19</v>
      </c>
      <c r="F2103" s="32" t="s">
        <v>15</v>
      </c>
      <c r="G2103" s="32"/>
      <c r="H2103" s="22"/>
      <c r="I2103" s="11">
        <f>Table1[[#This Row],[Qty]]*Table1[[#This Row],[Price]]</f>
        <v>0</v>
      </c>
    </row>
    <row r="2104" spans="1:9" x14ac:dyDescent="0.25">
      <c r="A2104" s="28">
        <v>6290360594293</v>
      </c>
      <c r="B2104" s="29" t="s">
        <v>5196</v>
      </c>
      <c r="C2104" s="33" t="s">
        <v>22</v>
      </c>
      <c r="D2104" s="31" t="s">
        <v>5197</v>
      </c>
      <c r="E2104" s="51">
        <v>19</v>
      </c>
      <c r="F2104" s="32" t="s">
        <v>15</v>
      </c>
      <c r="G2104" s="32">
        <v>0</v>
      </c>
      <c r="H2104" s="22"/>
      <c r="I2104" s="11">
        <f>Table1[[#This Row],[Qty]]*Table1[[#This Row],[Price]]</f>
        <v>0</v>
      </c>
    </row>
    <row r="2105" spans="1:9" x14ac:dyDescent="0.25">
      <c r="A2105" s="28">
        <v>6290360592084</v>
      </c>
      <c r="B2105" s="29" t="s">
        <v>5172</v>
      </c>
      <c r="C2105" s="33" t="s">
        <v>22</v>
      </c>
      <c r="D2105" s="31" t="s">
        <v>5173</v>
      </c>
      <c r="E2105" s="51">
        <v>19</v>
      </c>
      <c r="F2105" s="32" t="s">
        <v>15</v>
      </c>
      <c r="G2105" s="32">
        <v>0</v>
      </c>
      <c r="H2105" s="22"/>
      <c r="I2105" s="11">
        <f>Table1[[#This Row],[Qty]]*Table1[[#This Row],[Price]]</f>
        <v>0</v>
      </c>
    </row>
    <row r="2106" spans="1:9" x14ac:dyDescent="0.25">
      <c r="A2106" s="28">
        <v>6290362340058</v>
      </c>
      <c r="B2106" s="29" t="s">
        <v>5149</v>
      </c>
      <c r="C2106" s="30" t="s">
        <v>4465</v>
      </c>
      <c r="D2106" s="31" t="s">
        <v>5150</v>
      </c>
      <c r="E2106" s="51">
        <v>17</v>
      </c>
      <c r="F2106" s="32" t="s">
        <v>15</v>
      </c>
      <c r="G2106" s="32"/>
      <c r="H2106" s="12"/>
      <c r="I2106" s="11">
        <f>Table1[[#This Row],[Qty]]*Table1[[#This Row],[Price]]</f>
        <v>0</v>
      </c>
    </row>
    <row r="2107" spans="1:9" x14ac:dyDescent="0.25">
      <c r="A2107" s="28">
        <v>6290360592794</v>
      </c>
      <c r="B2107" s="29" t="s">
        <v>5102</v>
      </c>
      <c r="C2107" s="30" t="s">
        <v>4465</v>
      </c>
      <c r="D2107" s="31" t="s">
        <v>5103</v>
      </c>
      <c r="E2107" s="51">
        <v>15.5</v>
      </c>
      <c r="F2107" s="32" t="s">
        <v>15</v>
      </c>
      <c r="G2107" s="32"/>
      <c r="H2107" s="22"/>
      <c r="I2107" s="11">
        <f>Table1[[#This Row],[Qty]]*Table1[[#This Row],[Price]]</f>
        <v>0</v>
      </c>
    </row>
    <row r="2108" spans="1:9" x14ac:dyDescent="0.25">
      <c r="A2108" s="28">
        <v>6290360590134</v>
      </c>
      <c r="B2108" s="29" t="s">
        <v>4746</v>
      </c>
      <c r="C2108" s="33" t="s">
        <v>4465</v>
      </c>
      <c r="D2108" s="31" t="s">
        <v>4747</v>
      </c>
      <c r="E2108" s="51">
        <v>15.5</v>
      </c>
      <c r="F2108" s="32" t="s">
        <v>15</v>
      </c>
      <c r="G2108" s="32"/>
      <c r="H2108" s="22"/>
      <c r="I2108" s="11">
        <f>Table1[[#This Row],[Qty]]*Table1[[#This Row],[Price]]</f>
        <v>0</v>
      </c>
    </row>
    <row r="2109" spans="1:9" x14ac:dyDescent="0.25">
      <c r="A2109" s="28">
        <v>6290360592756</v>
      </c>
      <c r="B2109" s="29" t="s">
        <v>5104</v>
      </c>
      <c r="C2109" s="30" t="s">
        <v>4465</v>
      </c>
      <c r="D2109" s="31" t="s">
        <v>5105</v>
      </c>
      <c r="E2109" s="51">
        <v>15.25</v>
      </c>
      <c r="F2109" s="32" t="s">
        <v>15</v>
      </c>
      <c r="G2109" s="32"/>
      <c r="H2109" s="12"/>
      <c r="I2109" s="11">
        <f>Table1[[#This Row],[Qty]]*Table1[[#This Row],[Price]]</f>
        <v>0</v>
      </c>
    </row>
    <row r="2110" spans="1:9" x14ac:dyDescent="0.25">
      <c r="A2110" s="28">
        <v>6290360598666</v>
      </c>
      <c r="B2110" s="29" t="s">
        <v>4829</v>
      </c>
      <c r="C2110" s="30" t="s">
        <v>4465</v>
      </c>
      <c r="D2110" s="31" t="s">
        <v>4830</v>
      </c>
      <c r="E2110" s="51">
        <v>15</v>
      </c>
      <c r="F2110" s="32" t="s">
        <v>15</v>
      </c>
      <c r="G2110" s="32"/>
      <c r="H2110" s="22"/>
      <c r="I2110" s="11">
        <f>Table1[[#This Row],[Qty]]*Table1[[#This Row],[Price]]</f>
        <v>0</v>
      </c>
    </row>
    <row r="2111" spans="1:9" x14ac:dyDescent="0.25">
      <c r="A2111" s="28">
        <v>6291108735770</v>
      </c>
      <c r="B2111" s="29" t="s">
        <v>4651</v>
      </c>
      <c r="C2111" s="30" t="s">
        <v>22</v>
      </c>
      <c r="D2111" s="31" t="s">
        <v>4652</v>
      </c>
      <c r="E2111" s="51">
        <v>15</v>
      </c>
      <c r="F2111" s="32" t="s">
        <v>15</v>
      </c>
      <c r="G2111" s="32" t="s">
        <v>7423</v>
      </c>
      <c r="H2111" s="12"/>
      <c r="I2111" s="11">
        <f>Table1[[#This Row],[Qty]]*Table1[[#This Row],[Price]]</f>
        <v>0</v>
      </c>
    </row>
    <row r="2112" spans="1:9" x14ac:dyDescent="0.25">
      <c r="A2112" s="28">
        <v>6290360592725</v>
      </c>
      <c r="B2112" s="29" t="s">
        <v>5098</v>
      </c>
      <c r="C2112" s="30" t="s">
        <v>4465</v>
      </c>
      <c r="D2112" s="31" t="s">
        <v>5099</v>
      </c>
      <c r="E2112" s="51">
        <v>14.25</v>
      </c>
      <c r="F2112" s="32" t="s">
        <v>15</v>
      </c>
      <c r="G2112" s="32"/>
      <c r="H2112" s="22"/>
      <c r="I2112" s="11">
        <f>Table1[[#This Row],[Qty]]*Table1[[#This Row],[Price]]</f>
        <v>0</v>
      </c>
    </row>
    <row r="2113" spans="1:9" x14ac:dyDescent="0.25">
      <c r="A2113" s="28">
        <v>6290360599625</v>
      </c>
      <c r="B2113" s="29" t="s">
        <v>4504</v>
      </c>
      <c r="C2113" s="30" t="s">
        <v>4465</v>
      </c>
      <c r="D2113" s="31" t="s">
        <v>4505</v>
      </c>
      <c r="E2113" s="51">
        <v>14.25</v>
      </c>
      <c r="F2113" s="32" t="s">
        <v>15</v>
      </c>
      <c r="G2113" s="32"/>
      <c r="H2113" s="12"/>
      <c r="I2113" s="11">
        <f>Table1[[#This Row],[Qty]]*Table1[[#This Row],[Price]]</f>
        <v>0</v>
      </c>
    </row>
    <row r="2114" spans="1:9" x14ac:dyDescent="0.25">
      <c r="A2114" s="28">
        <v>6290360599663</v>
      </c>
      <c r="B2114" s="29" t="s">
        <v>4506</v>
      </c>
      <c r="C2114" s="30" t="s">
        <v>4465</v>
      </c>
      <c r="D2114" s="31" t="s">
        <v>4507</v>
      </c>
      <c r="E2114" s="51">
        <v>14.25</v>
      </c>
      <c r="F2114" s="32" t="s">
        <v>15</v>
      </c>
      <c r="G2114" s="32"/>
      <c r="H2114" s="22"/>
      <c r="I2114" s="11">
        <f>Table1[[#This Row],[Qty]]*Table1[[#This Row],[Price]]</f>
        <v>0</v>
      </c>
    </row>
    <row r="2115" spans="1:9" x14ac:dyDescent="0.25">
      <c r="A2115" s="28">
        <v>6290362345695</v>
      </c>
      <c r="B2115" s="29" t="s">
        <v>4748</v>
      </c>
      <c r="C2115" s="30" t="s">
        <v>4465</v>
      </c>
      <c r="D2115" s="31" t="s">
        <v>4749</v>
      </c>
      <c r="E2115" s="51">
        <v>13.25</v>
      </c>
      <c r="F2115" s="32" t="s">
        <v>15</v>
      </c>
      <c r="G2115" s="32"/>
      <c r="H2115" s="12"/>
      <c r="I2115" s="11">
        <f>Table1[[#This Row],[Qty]]*Table1[[#This Row],[Price]]</f>
        <v>0</v>
      </c>
    </row>
    <row r="2116" spans="1:9" x14ac:dyDescent="0.25">
      <c r="A2116" s="28">
        <v>6291108735275</v>
      </c>
      <c r="B2116" s="29" t="s">
        <v>5301</v>
      </c>
      <c r="C2116" s="30" t="s">
        <v>22</v>
      </c>
      <c r="D2116" s="31" t="s">
        <v>5302</v>
      </c>
      <c r="E2116" s="51">
        <v>13.2</v>
      </c>
      <c r="F2116" s="32" t="s">
        <v>15</v>
      </c>
      <c r="G2116" s="32">
        <v>0</v>
      </c>
      <c r="H2116" s="12"/>
      <c r="I2116" s="11">
        <f>Table1[[#This Row],[Qty]]*Table1[[#This Row],[Price]]</f>
        <v>0</v>
      </c>
    </row>
    <row r="2117" spans="1:9" x14ac:dyDescent="0.25">
      <c r="A2117" s="28">
        <v>6290362345831</v>
      </c>
      <c r="B2117" s="29" t="s">
        <v>4486</v>
      </c>
      <c r="C2117" s="30" t="s">
        <v>4465</v>
      </c>
      <c r="D2117" s="31" t="s">
        <v>4487</v>
      </c>
      <c r="E2117" s="51">
        <v>13</v>
      </c>
      <c r="F2117" s="32" t="s">
        <v>15</v>
      </c>
      <c r="G2117" s="32"/>
      <c r="H2117" s="22"/>
      <c r="I2117" s="11">
        <f>Table1[[#This Row],[Qty]]*Table1[[#This Row],[Price]]</f>
        <v>0</v>
      </c>
    </row>
    <row r="2118" spans="1:9" x14ac:dyDescent="0.25">
      <c r="A2118" s="28">
        <v>6291106064834</v>
      </c>
      <c r="B2118" s="29" t="s">
        <v>4469</v>
      </c>
      <c r="C2118" s="30" t="s">
        <v>22</v>
      </c>
      <c r="D2118" s="31" t="s">
        <v>4470</v>
      </c>
      <c r="E2118" s="51">
        <v>13</v>
      </c>
      <c r="F2118" s="32" t="s">
        <v>15</v>
      </c>
      <c r="G2118" s="32">
        <v>0</v>
      </c>
      <c r="H2118" s="22"/>
      <c r="I2118" s="11">
        <f>Table1[[#This Row],[Qty]]*Table1[[#This Row],[Price]]</f>
        <v>0</v>
      </c>
    </row>
    <row r="2119" spans="1:9" x14ac:dyDescent="0.25">
      <c r="A2119" s="28">
        <v>6291107453422</v>
      </c>
      <c r="B2119" s="29" t="s">
        <v>4980</v>
      </c>
      <c r="C2119" s="30" t="s">
        <v>4465</v>
      </c>
      <c r="D2119" s="31" t="s">
        <v>4981</v>
      </c>
      <c r="E2119" s="51">
        <v>12.5</v>
      </c>
      <c r="F2119" s="32" t="s">
        <v>15</v>
      </c>
      <c r="G2119" s="32"/>
      <c r="H2119" s="22"/>
      <c r="I2119" s="11">
        <f>Table1[[#This Row],[Qty]]*Table1[[#This Row],[Price]]</f>
        <v>0</v>
      </c>
    </row>
    <row r="2120" spans="1:9" x14ac:dyDescent="0.25">
      <c r="A2120" s="28">
        <v>6225709773235</v>
      </c>
      <c r="B2120" s="29" t="s">
        <v>4734</v>
      </c>
      <c r="C2120" s="30" t="s">
        <v>4465</v>
      </c>
      <c r="D2120" s="31" t="s">
        <v>4735</v>
      </c>
      <c r="E2120" s="51">
        <v>12.5</v>
      </c>
      <c r="F2120" s="32" t="s">
        <v>15</v>
      </c>
      <c r="G2120" s="32"/>
      <c r="H2120" s="22"/>
      <c r="I2120" s="11">
        <f>Table1[[#This Row],[Qty]]*Table1[[#This Row],[Price]]</f>
        <v>0</v>
      </c>
    </row>
    <row r="2121" spans="1:9" x14ac:dyDescent="0.25">
      <c r="A2121" s="28">
        <v>6291106068146</v>
      </c>
      <c r="B2121" s="29" t="s">
        <v>5075</v>
      </c>
      <c r="C2121" s="30" t="s">
        <v>4465</v>
      </c>
      <c r="D2121" s="31" t="s">
        <v>5076</v>
      </c>
      <c r="E2121" s="51">
        <v>12.45</v>
      </c>
      <c r="F2121" s="32" t="s">
        <v>15</v>
      </c>
      <c r="G2121" s="32"/>
      <c r="H2121" s="12"/>
      <c r="I2121" s="11">
        <f>Table1[[#This Row],[Qty]]*Table1[[#This Row],[Price]]</f>
        <v>0</v>
      </c>
    </row>
    <row r="2122" spans="1:9" x14ac:dyDescent="0.25">
      <c r="A2122" s="28">
        <v>6291108734506</v>
      </c>
      <c r="B2122" s="29" t="s">
        <v>5051</v>
      </c>
      <c r="C2122" s="30" t="s">
        <v>22</v>
      </c>
      <c r="D2122" s="31" t="s">
        <v>5052</v>
      </c>
      <c r="E2122" s="51">
        <v>12.25</v>
      </c>
      <c r="F2122" s="32" t="s">
        <v>15</v>
      </c>
      <c r="G2122" s="32">
        <v>0</v>
      </c>
      <c r="H2122" s="12"/>
      <c r="I2122" s="11">
        <f>Table1[[#This Row],[Qty]]*Table1[[#This Row],[Price]]</f>
        <v>0</v>
      </c>
    </row>
    <row r="2123" spans="1:9" x14ac:dyDescent="0.25">
      <c r="A2123" s="28">
        <v>6291106063707</v>
      </c>
      <c r="B2123" s="29" t="s">
        <v>5000</v>
      </c>
      <c r="C2123" s="30" t="s">
        <v>22</v>
      </c>
      <c r="D2123" s="31" t="s">
        <v>5001</v>
      </c>
      <c r="E2123" s="51">
        <v>11.25</v>
      </c>
      <c r="F2123" s="32" t="s">
        <v>15</v>
      </c>
      <c r="G2123" s="32">
        <v>0</v>
      </c>
      <c r="H2123" s="12"/>
      <c r="I2123" s="11">
        <f>Table1[[#This Row],[Qty]]*Table1[[#This Row],[Price]]</f>
        <v>0</v>
      </c>
    </row>
    <row r="2124" spans="1:9" x14ac:dyDescent="0.25">
      <c r="A2124" s="28">
        <v>6290360597294</v>
      </c>
      <c r="B2124" s="29" t="s">
        <v>5077</v>
      </c>
      <c r="C2124" s="30" t="s">
        <v>4465</v>
      </c>
      <c r="D2124" s="31" t="s">
        <v>5078</v>
      </c>
      <c r="E2124" s="51">
        <v>11.2</v>
      </c>
      <c r="F2124" s="32" t="s">
        <v>15</v>
      </c>
      <c r="G2124" s="32"/>
      <c r="H2124" s="12"/>
      <c r="I2124" s="11">
        <f>Table1[[#This Row],[Qty]]*Table1[[#This Row],[Price]]</f>
        <v>0</v>
      </c>
    </row>
    <row r="2125" spans="1:9" x14ac:dyDescent="0.25">
      <c r="A2125" s="28">
        <v>6291106069211</v>
      </c>
      <c r="B2125" s="29" t="s">
        <v>4488</v>
      </c>
      <c r="C2125" s="30" t="s">
        <v>4465</v>
      </c>
      <c r="D2125" s="31" t="s">
        <v>4489</v>
      </c>
      <c r="E2125" s="51">
        <v>11</v>
      </c>
      <c r="F2125" s="32" t="s">
        <v>15</v>
      </c>
      <c r="G2125" s="32"/>
      <c r="H2125" s="22"/>
      <c r="I2125" s="11">
        <f>Table1[[#This Row],[Qty]]*Table1[[#This Row],[Price]]</f>
        <v>0</v>
      </c>
    </row>
    <row r="2126" spans="1:9" x14ac:dyDescent="0.25">
      <c r="A2126" s="28">
        <v>6290360599762</v>
      </c>
      <c r="B2126" s="29" t="s">
        <v>4598</v>
      </c>
      <c r="C2126" s="30" t="s">
        <v>4465</v>
      </c>
      <c r="D2126" s="31" t="s">
        <v>4599</v>
      </c>
      <c r="E2126" s="51">
        <v>10.5</v>
      </c>
      <c r="F2126" s="32" t="s">
        <v>15</v>
      </c>
      <c r="G2126" s="32"/>
      <c r="H2126" s="12"/>
      <c r="I2126" s="11">
        <f>Table1[[#This Row],[Qty]]*Table1[[#This Row],[Price]]</f>
        <v>0</v>
      </c>
    </row>
    <row r="2127" spans="1:9" x14ac:dyDescent="0.25">
      <c r="A2127" s="28">
        <v>6291108736326</v>
      </c>
      <c r="B2127" s="29" t="s">
        <v>4969</v>
      </c>
      <c r="C2127" s="30" t="s">
        <v>22</v>
      </c>
      <c r="D2127" s="31" t="s">
        <v>4970</v>
      </c>
      <c r="E2127" s="51">
        <v>10.25</v>
      </c>
      <c r="F2127" s="32" t="s">
        <v>15</v>
      </c>
      <c r="G2127" s="32">
        <v>0</v>
      </c>
      <c r="H2127" s="12"/>
      <c r="I2127" s="11">
        <f>Table1[[#This Row],[Qty]]*Table1[[#This Row],[Price]]</f>
        <v>0</v>
      </c>
    </row>
    <row r="2128" spans="1:9" x14ac:dyDescent="0.25">
      <c r="A2128" s="28">
        <v>6291106065053</v>
      </c>
      <c r="B2128" s="29" t="s">
        <v>4971</v>
      </c>
      <c r="C2128" s="30" t="s">
        <v>22</v>
      </c>
      <c r="D2128" s="31" t="s">
        <v>4972</v>
      </c>
      <c r="E2128" s="51">
        <v>10</v>
      </c>
      <c r="F2128" s="32" t="s">
        <v>15</v>
      </c>
      <c r="G2128" s="32">
        <v>0</v>
      </c>
      <c r="H2128" s="22"/>
      <c r="I2128" s="11">
        <f>Table1[[#This Row],[Qty]]*Table1[[#This Row],[Price]]</f>
        <v>0</v>
      </c>
    </row>
    <row r="2129" spans="1:9" x14ac:dyDescent="0.25">
      <c r="A2129" s="28">
        <v>6291108735497</v>
      </c>
      <c r="B2129" s="29" t="s">
        <v>5026</v>
      </c>
      <c r="C2129" s="30" t="s">
        <v>22</v>
      </c>
      <c r="D2129" s="31" t="s">
        <v>5027</v>
      </c>
      <c r="E2129" s="51">
        <v>10</v>
      </c>
      <c r="F2129" s="32" t="s">
        <v>15</v>
      </c>
      <c r="G2129" s="32">
        <v>0</v>
      </c>
      <c r="H2129" s="12"/>
      <c r="I2129" s="11">
        <f>Table1[[#This Row],[Qty]]*Table1[[#This Row],[Price]]</f>
        <v>0</v>
      </c>
    </row>
    <row r="2130" spans="1:9" x14ac:dyDescent="0.25">
      <c r="A2130" s="28">
        <v>6291108730201</v>
      </c>
      <c r="B2130" s="29" t="s">
        <v>5032</v>
      </c>
      <c r="C2130" s="30" t="s">
        <v>22</v>
      </c>
      <c r="D2130" s="31" t="s">
        <v>5033</v>
      </c>
      <c r="E2130" s="51">
        <v>9.4499999999999993</v>
      </c>
      <c r="F2130" s="32" t="s">
        <v>15</v>
      </c>
      <c r="G2130" s="32">
        <v>0</v>
      </c>
      <c r="H2130" s="22"/>
      <c r="I2130" s="11">
        <f>Table1[[#This Row],[Qty]]*Table1[[#This Row],[Price]]</f>
        <v>0</v>
      </c>
    </row>
    <row r="2131" spans="1:9" x14ac:dyDescent="0.25">
      <c r="A2131" s="28">
        <v>6423080593851</v>
      </c>
      <c r="B2131" s="29" t="s">
        <v>4803</v>
      </c>
      <c r="C2131" s="33" t="s">
        <v>22</v>
      </c>
      <c r="D2131" s="31" t="s">
        <v>4804</v>
      </c>
      <c r="E2131" s="51">
        <v>9</v>
      </c>
      <c r="F2131" s="32" t="s">
        <v>15</v>
      </c>
      <c r="G2131" s="32">
        <v>0</v>
      </c>
      <c r="H2131" s="22"/>
      <c r="I2131" s="11">
        <f>Table1[[#This Row],[Qty]]*Table1[[#This Row],[Price]]</f>
        <v>0</v>
      </c>
    </row>
    <row r="2132" spans="1:9" x14ac:dyDescent="0.25">
      <c r="A2132" s="28">
        <v>6291108731192</v>
      </c>
      <c r="B2132" s="29" t="s">
        <v>4589</v>
      </c>
      <c r="C2132" s="30" t="s">
        <v>4465</v>
      </c>
      <c r="D2132" s="31" t="s">
        <v>4590</v>
      </c>
      <c r="E2132" s="51">
        <v>9</v>
      </c>
      <c r="F2132" s="32" t="s">
        <v>15</v>
      </c>
      <c r="G2132" s="32"/>
      <c r="H2132" s="12"/>
      <c r="I2132" s="11">
        <f>Table1[[#This Row],[Qty]]*Table1[[#This Row],[Price]]</f>
        <v>0</v>
      </c>
    </row>
    <row r="2133" spans="1:9" x14ac:dyDescent="0.25">
      <c r="A2133" s="28">
        <v>6291107458601</v>
      </c>
      <c r="B2133" s="29" t="s">
        <v>4587</v>
      </c>
      <c r="C2133" s="30" t="s">
        <v>4465</v>
      </c>
      <c r="D2133" s="31" t="s">
        <v>4588</v>
      </c>
      <c r="E2133" s="51">
        <v>8.5</v>
      </c>
      <c r="F2133" s="32" t="s">
        <v>15</v>
      </c>
      <c r="G2133" s="32"/>
      <c r="H2133" s="12"/>
      <c r="I2133" s="11">
        <f>Table1[[#This Row],[Qty]]*Table1[[#This Row],[Price]]</f>
        <v>0</v>
      </c>
    </row>
    <row r="2134" spans="1:9" x14ac:dyDescent="0.25">
      <c r="A2134" s="28">
        <v>6290362344933</v>
      </c>
      <c r="B2134" s="29" t="s">
        <v>4583</v>
      </c>
      <c r="C2134" s="30" t="s">
        <v>4465</v>
      </c>
      <c r="D2134" s="31" t="s">
        <v>4584</v>
      </c>
      <c r="E2134" s="51">
        <v>6</v>
      </c>
      <c r="F2134" s="32" t="s">
        <v>15</v>
      </c>
      <c r="G2134" s="32"/>
      <c r="H2134" s="22"/>
      <c r="I2134" s="11">
        <f>Table1[[#This Row],[Qty]]*Table1[[#This Row],[Price]]</f>
        <v>0</v>
      </c>
    </row>
    <row r="2135" spans="1:9" x14ac:dyDescent="0.25">
      <c r="A2135" s="28">
        <v>6290360596716</v>
      </c>
      <c r="B2135" s="29" t="s">
        <v>4591</v>
      </c>
      <c r="C2135" s="30" t="s">
        <v>4465</v>
      </c>
      <c r="D2135" s="31" t="s">
        <v>4592</v>
      </c>
      <c r="E2135" s="51">
        <v>5</v>
      </c>
      <c r="F2135" s="32" t="s">
        <v>15</v>
      </c>
      <c r="G2135" s="32"/>
      <c r="H2135" s="22"/>
      <c r="I2135" s="11">
        <f>Table1[[#This Row],[Qty]]*Table1[[#This Row],[Price]]</f>
        <v>0</v>
      </c>
    </row>
    <row r="2136" spans="1:9" x14ac:dyDescent="0.25">
      <c r="A2136" s="28">
        <v>6290362342496</v>
      </c>
      <c r="B2136" s="29" t="s">
        <v>4935</v>
      </c>
      <c r="C2136" s="30" t="s">
        <v>4465</v>
      </c>
      <c r="D2136" s="31" t="s">
        <v>4936</v>
      </c>
      <c r="E2136" s="51">
        <v>4.75</v>
      </c>
      <c r="F2136" s="32" t="s">
        <v>15</v>
      </c>
      <c r="G2136" s="32"/>
      <c r="H2136" s="22"/>
      <c r="I2136" s="11">
        <f>Table1[[#This Row],[Qty]]*Table1[[#This Row],[Price]]</f>
        <v>0</v>
      </c>
    </row>
    <row r="2137" spans="1:9" x14ac:dyDescent="0.25">
      <c r="A2137" s="28">
        <v>6291108527900</v>
      </c>
      <c r="B2137" s="29" t="s">
        <v>851</v>
      </c>
      <c r="C2137" s="30" t="s">
        <v>852</v>
      </c>
      <c r="D2137" s="31" t="s">
        <v>853</v>
      </c>
      <c r="E2137" s="51">
        <v>12.5</v>
      </c>
      <c r="F2137" s="32" t="s">
        <v>15</v>
      </c>
      <c r="G2137" s="32" t="s">
        <v>6016</v>
      </c>
      <c r="H2137" s="22"/>
      <c r="I2137" s="11">
        <f>Table1[[#This Row],[Qty]]*Table1[[#This Row],[Price]]</f>
        <v>0</v>
      </c>
    </row>
    <row r="2138" spans="1:9" x14ac:dyDescent="0.25">
      <c r="A2138" s="28">
        <v>6291108520338</v>
      </c>
      <c r="B2138" s="29" t="s">
        <v>1953</v>
      </c>
      <c r="C2138" s="33" t="s">
        <v>852</v>
      </c>
      <c r="D2138" s="31" t="s">
        <v>1954</v>
      </c>
      <c r="E2138" s="51">
        <v>15.5</v>
      </c>
      <c r="F2138" s="32" t="s">
        <v>15</v>
      </c>
      <c r="G2138" s="32">
        <v>0</v>
      </c>
      <c r="H2138" s="22"/>
      <c r="I2138" s="11">
        <f>Table1[[#This Row],[Qty]]*Table1[[#This Row],[Price]]</f>
        <v>0</v>
      </c>
    </row>
    <row r="2139" spans="1:9" x14ac:dyDescent="0.25">
      <c r="A2139" s="28">
        <v>6291103664938</v>
      </c>
      <c r="B2139" s="29" t="s">
        <v>3061</v>
      </c>
      <c r="C2139" s="30" t="s">
        <v>852</v>
      </c>
      <c r="D2139" s="31" t="s">
        <v>3062</v>
      </c>
      <c r="E2139" s="51">
        <v>20.5</v>
      </c>
      <c r="F2139" s="32" t="s">
        <v>15</v>
      </c>
      <c r="G2139" s="32" t="s">
        <v>6680</v>
      </c>
      <c r="H2139" s="12"/>
      <c r="I2139" s="11">
        <f>Table1[[#This Row],[Qty]]*Table1[[#This Row],[Price]]</f>
        <v>0</v>
      </c>
    </row>
    <row r="2140" spans="1:9" x14ac:dyDescent="0.25">
      <c r="A2140" s="28">
        <v>98691021770</v>
      </c>
      <c r="B2140" s="29" t="s">
        <v>5406</v>
      </c>
      <c r="C2140" s="33" t="s">
        <v>4740</v>
      </c>
      <c r="D2140" s="31" t="s">
        <v>5407</v>
      </c>
      <c r="E2140" s="51">
        <v>66.25</v>
      </c>
      <c r="F2140" s="32" t="s">
        <v>15</v>
      </c>
      <c r="G2140" s="32" t="s">
        <v>7384</v>
      </c>
      <c r="H2140" s="22"/>
      <c r="I2140" s="11">
        <f>Table1[[#This Row],[Qty]]*Table1[[#This Row],[Price]]</f>
        <v>0</v>
      </c>
    </row>
    <row r="2141" spans="1:9" x14ac:dyDescent="0.25">
      <c r="A2141" s="28">
        <v>98691037603</v>
      </c>
      <c r="B2141" s="29" t="s">
        <v>4739</v>
      </c>
      <c r="C2141" s="30" t="s">
        <v>4740</v>
      </c>
      <c r="D2141" s="31" t="s">
        <v>4741</v>
      </c>
      <c r="E2141" s="51">
        <v>47.97</v>
      </c>
      <c r="F2141" s="32" t="s">
        <v>15</v>
      </c>
      <c r="G2141" s="32">
        <v>0</v>
      </c>
      <c r="H2141" s="12"/>
      <c r="I2141" s="11">
        <f>Table1[[#This Row],[Qty]]*Table1[[#This Row],[Price]]</f>
        <v>0</v>
      </c>
    </row>
    <row r="2142" spans="1:9" x14ac:dyDescent="0.25">
      <c r="A2142" s="28">
        <v>719346134866</v>
      </c>
      <c r="B2142" s="29" t="s">
        <v>5315</v>
      </c>
      <c r="C2142" s="30" t="s">
        <v>4740</v>
      </c>
      <c r="D2142" s="31" t="s">
        <v>5316</v>
      </c>
      <c r="E2142" s="51">
        <v>44.26</v>
      </c>
      <c r="F2142" s="32" t="s">
        <v>15</v>
      </c>
      <c r="G2142" s="32">
        <v>0</v>
      </c>
      <c r="H2142" s="22"/>
      <c r="I2142" s="11">
        <f>Table1[[#This Row],[Qty]]*Table1[[#This Row],[Price]]</f>
        <v>0</v>
      </c>
    </row>
    <row r="2143" spans="1:9" x14ac:dyDescent="0.25">
      <c r="A2143" s="28">
        <v>719346180726</v>
      </c>
      <c r="B2143" s="29" t="s">
        <v>5289</v>
      </c>
      <c r="C2143" s="30" t="s">
        <v>4740</v>
      </c>
      <c r="D2143" s="31" t="s">
        <v>5290</v>
      </c>
      <c r="E2143" s="51">
        <v>16.25</v>
      </c>
      <c r="F2143" s="32" t="s">
        <v>15</v>
      </c>
      <c r="G2143" s="32" t="s">
        <v>7421</v>
      </c>
      <c r="H2143" s="12"/>
      <c r="I2143" s="11">
        <f>Table1[[#This Row],[Qty]]*Table1[[#This Row],[Price]]</f>
        <v>0</v>
      </c>
    </row>
    <row r="2144" spans="1:9" x14ac:dyDescent="0.25">
      <c r="A2144" s="28">
        <v>98691005046</v>
      </c>
      <c r="B2144" s="29" t="s">
        <v>5417</v>
      </c>
      <c r="C2144" s="30" t="s">
        <v>4740</v>
      </c>
      <c r="D2144" s="31" t="s">
        <v>5418</v>
      </c>
      <c r="E2144" s="51">
        <v>14.95</v>
      </c>
      <c r="F2144" s="32" t="s">
        <v>15</v>
      </c>
      <c r="G2144" s="32">
        <v>0</v>
      </c>
      <c r="H2144" s="12"/>
      <c r="I2144" s="11">
        <f>Table1[[#This Row],[Qty]]*Table1[[#This Row],[Price]]</f>
        <v>0</v>
      </c>
    </row>
    <row r="2145" spans="1:9" x14ac:dyDescent="0.25">
      <c r="A2145" s="28">
        <v>98691021701</v>
      </c>
      <c r="B2145" s="29" t="s">
        <v>5030</v>
      </c>
      <c r="C2145" s="30" t="s">
        <v>4740</v>
      </c>
      <c r="D2145" s="31" t="s">
        <v>5031</v>
      </c>
      <c r="E2145" s="51">
        <v>13.45</v>
      </c>
      <c r="F2145" s="32" t="s">
        <v>15</v>
      </c>
      <c r="G2145" s="32">
        <v>0</v>
      </c>
      <c r="H2145" s="12"/>
      <c r="I2145" s="11">
        <f>Table1[[#This Row],[Qty]]*Table1[[#This Row],[Price]]</f>
        <v>0</v>
      </c>
    </row>
    <row r="2146" spans="1:9" x14ac:dyDescent="0.25">
      <c r="A2146" s="28">
        <v>98691030482</v>
      </c>
      <c r="B2146" s="29" t="s">
        <v>5004</v>
      </c>
      <c r="C2146" s="30" t="s">
        <v>4740</v>
      </c>
      <c r="D2146" s="31" t="s">
        <v>5005</v>
      </c>
      <c r="E2146" s="51">
        <v>11.5</v>
      </c>
      <c r="F2146" s="32" t="s">
        <v>15</v>
      </c>
      <c r="G2146" s="32">
        <v>0</v>
      </c>
      <c r="H2146" s="12"/>
      <c r="I2146" s="11">
        <f>Table1[[#This Row],[Qty]]*Table1[[#This Row],[Price]]</f>
        <v>0</v>
      </c>
    </row>
    <row r="2147" spans="1:9" x14ac:dyDescent="0.25">
      <c r="A2147" s="28">
        <v>98691026249</v>
      </c>
      <c r="B2147" s="29" t="s">
        <v>5287</v>
      </c>
      <c r="C2147" s="30" t="s">
        <v>4740</v>
      </c>
      <c r="D2147" s="31" t="s">
        <v>5288</v>
      </c>
      <c r="E2147" s="51">
        <v>10.25</v>
      </c>
      <c r="F2147" s="32" t="s">
        <v>15</v>
      </c>
      <c r="G2147" s="32">
        <v>0</v>
      </c>
      <c r="H2147" s="22"/>
      <c r="I2147" s="11">
        <f>Table1[[#This Row],[Qty]]*Table1[[#This Row],[Price]]</f>
        <v>0</v>
      </c>
    </row>
    <row r="2148" spans="1:9" x14ac:dyDescent="0.25">
      <c r="A2148" s="28">
        <v>98691030475</v>
      </c>
      <c r="B2148" s="29" t="s">
        <v>5257</v>
      </c>
      <c r="C2148" s="30" t="s">
        <v>4740</v>
      </c>
      <c r="D2148" s="31" t="s">
        <v>5258</v>
      </c>
      <c r="E2148" s="51">
        <v>8.1</v>
      </c>
      <c r="F2148" s="32" t="s">
        <v>15</v>
      </c>
      <c r="G2148" s="32">
        <v>0</v>
      </c>
      <c r="H2148" s="12"/>
      <c r="I2148" s="11">
        <f>Table1[[#This Row],[Qty]]*Table1[[#This Row],[Price]]</f>
        <v>0</v>
      </c>
    </row>
    <row r="2149" spans="1:9" x14ac:dyDescent="0.25">
      <c r="A2149" s="28">
        <v>98691046223</v>
      </c>
      <c r="B2149" s="29" t="s">
        <v>5265</v>
      </c>
      <c r="C2149" s="30" t="s">
        <v>4740</v>
      </c>
      <c r="D2149" s="31" t="s">
        <v>5266</v>
      </c>
      <c r="E2149" s="51">
        <v>8</v>
      </c>
      <c r="F2149" s="32" t="s">
        <v>15</v>
      </c>
      <c r="G2149" s="32" t="s">
        <v>7434</v>
      </c>
      <c r="H2149" s="12"/>
      <c r="I2149" s="11">
        <f>Table1[[#This Row],[Qty]]*Table1[[#This Row],[Price]]</f>
        <v>0</v>
      </c>
    </row>
    <row r="2150" spans="1:9" x14ac:dyDescent="0.25">
      <c r="A2150" s="28">
        <v>98691026201</v>
      </c>
      <c r="B2150" s="29" t="s">
        <v>5283</v>
      </c>
      <c r="C2150" s="30" t="s">
        <v>4740</v>
      </c>
      <c r="D2150" s="31" t="s">
        <v>5284</v>
      </c>
      <c r="E2150" s="51">
        <v>8</v>
      </c>
      <c r="F2150" s="32" t="s">
        <v>15</v>
      </c>
      <c r="G2150" s="32" t="s">
        <v>7435</v>
      </c>
      <c r="H2150" s="22"/>
      <c r="I2150" s="11">
        <f>Table1[[#This Row],[Qty]]*Table1[[#This Row],[Price]]</f>
        <v>0</v>
      </c>
    </row>
    <row r="2151" spans="1:9" x14ac:dyDescent="0.25">
      <c r="A2151" s="28">
        <v>98691046254</v>
      </c>
      <c r="B2151" s="29" t="s">
        <v>5263</v>
      </c>
      <c r="C2151" s="30" t="s">
        <v>4740</v>
      </c>
      <c r="D2151" s="31" t="s">
        <v>5264</v>
      </c>
      <c r="E2151" s="51">
        <v>7.5</v>
      </c>
      <c r="F2151" s="32" t="s">
        <v>15</v>
      </c>
      <c r="G2151" s="32">
        <v>0</v>
      </c>
      <c r="H2151" s="22"/>
      <c r="I2151" s="11">
        <f>Table1[[#This Row],[Qty]]*Table1[[#This Row],[Price]]</f>
        <v>0</v>
      </c>
    </row>
    <row r="2152" spans="1:9" x14ac:dyDescent="0.25">
      <c r="A2152" s="28">
        <v>98691018251</v>
      </c>
      <c r="B2152" s="29" t="s">
        <v>5267</v>
      </c>
      <c r="C2152" s="30" t="s">
        <v>4740</v>
      </c>
      <c r="D2152" s="31" t="s">
        <v>5268</v>
      </c>
      <c r="E2152" s="51">
        <v>7</v>
      </c>
      <c r="F2152" s="32" t="s">
        <v>15</v>
      </c>
      <c r="G2152" s="32">
        <v>0</v>
      </c>
      <c r="H2152" s="22"/>
      <c r="I2152" s="11">
        <f>Table1[[#This Row],[Qty]]*Table1[[#This Row],[Price]]</f>
        <v>0</v>
      </c>
    </row>
    <row r="2153" spans="1:9" x14ac:dyDescent="0.25">
      <c r="A2153" s="28">
        <v>8426017059541</v>
      </c>
      <c r="B2153" s="29" t="s">
        <v>1559</v>
      </c>
      <c r="C2153" s="30" t="s">
        <v>1560</v>
      </c>
      <c r="D2153" s="31" t="s">
        <v>1561</v>
      </c>
      <c r="E2153" s="51">
        <v>30.5</v>
      </c>
      <c r="F2153" s="32" t="s">
        <v>15</v>
      </c>
      <c r="G2153" s="32">
        <v>0</v>
      </c>
      <c r="H2153" s="22"/>
      <c r="I2153" s="11">
        <f>Table1[[#This Row],[Qty]]*Table1[[#This Row],[Price]]</f>
        <v>0</v>
      </c>
    </row>
    <row r="2154" spans="1:9" x14ac:dyDescent="0.25">
      <c r="A2154" s="48">
        <v>3760269849303</v>
      </c>
      <c r="B2154" s="41" t="s">
        <v>3065</v>
      </c>
      <c r="C2154" s="6" t="s">
        <v>3066</v>
      </c>
      <c r="D2154" t="s">
        <v>3067</v>
      </c>
      <c r="E2154" s="52">
        <v>26.5</v>
      </c>
      <c r="F2154" s="49" t="s">
        <v>15</v>
      </c>
      <c r="G2154" s="49" t="s">
        <v>6681</v>
      </c>
      <c r="H2154" s="22"/>
      <c r="I2154" s="11">
        <f>Table1[[#This Row],[Qty]]*Table1[[#This Row],[Price]]</f>
        <v>0</v>
      </c>
    </row>
    <row r="2155" spans="1:9" x14ac:dyDescent="0.25">
      <c r="A2155" s="28">
        <v>3760269841895</v>
      </c>
      <c r="B2155" s="29" t="s">
        <v>5200</v>
      </c>
      <c r="C2155" s="30" t="s">
        <v>3066</v>
      </c>
      <c r="D2155" s="31" t="s">
        <v>5201</v>
      </c>
      <c r="E2155" s="51">
        <v>27.5</v>
      </c>
      <c r="F2155" s="32" t="s">
        <v>15</v>
      </c>
      <c r="G2155" s="32" t="s">
        <v>7543</v>
      </c>
      <c r="H2155" s="22"/>
      <c r="I2155" s="11">
        <f>Table1[[#This Row],[Qty]]*Table1[[#This Row],[Price]]</f>
        <v>0</v>
      </c>
    </row>
    <row r="2156" spans="1:9" x14ac:dyDescent="0.25">
      <c r="A2156" s="28">
        <v>3610400037246</v>
      </c>
      <c r="B2156" s="29" t="s">
        <v>2163</v>
      </c>
      <c r="C2156" s="30" t="s">
        <v>2164</v>
      </c>
      <c r="D2156" s="31" t="s">
        <v>2165</v>
      </c>
      <c r="E2156" s="51">
        <v>10.42</v>
      </c>
      <c r="F2156" s="32" t="s">
        <v>15</v>
      </c>
      <c r="G2156" s="32">
        <v>0</v>
      </c>
      <c r="H2156" s="14"/>
      <c r="I2156" s="11">
        <f>Table1[[#This Row],[Qty]]*Table1[[#This Row],[Price]]</f>
        <v>0</v>
      </c>
    </row>
    <row r="2157" spans="1:9" x14ac:dyDescent="0.25">
      <c r="A2157" s="28">
        <v>3610400036621</v>
      </c>
      <c r="B2157" s="29" t="s">
        <v>5049</v>
      </c>
      <c r="C2157" s="30" t="s">
        <v>2164</v>
      </c>
      <c r="D2157" s="31" t="s">
        <v>5050</v>
      </c>
      <c r="E2157" s="51">
        <v>12.5</v>
      </c>
      <c r="F2157" s="32" t="s">
        <v>15</v>
      </c>
      <c r="G2157" s="32">
        <v>0</v>
      </c>
      <c r="H2157" s="22"/>
      <c r="I2157" s="11">
        <f>Table1[[#This Row],[Qty]]*Table1[[#This Row],[Price]]</f>
        <v>0</v>
      </c>
    </row>
    <row r="2158" spans="1:9" x14ac:dyDescent="0.25">
      <c r="A2158" s="28">
        <v>3610400000813</v>
      </c>
      <c r="B2158" s="29" t="s">
        <v>5255</v>
      </c>
      <c r="C2158" s="30" t="s">
        <v>2164</v>
      </c>
      <c r="D2158" s="31" t="s">
        <v>5256</v>
      </c>
      <c r="E2158" s="51">
        <v>10.5</v>
      </c>
      <c r="F2158" s="32" t="s">
        <v>15</v>
      </c>
      <c r="G2158" s="32">
        <v>0</v>
      </c>
      <c r="H2158" s="12"/>
      <c r="I2158" s="11">
        <f>Table1[[#This Row],[Qty]]*Table1[[#This Row],[Price]]</f>
        <v>0</v>
      </c>
    </row>
    <row r="2159" spans="1:9" x14ac:dyDescent="0.25">
      <c r="A2159" s="28">
        <v>6291108735565</v>
      </c>
      <c r="B2159" s="29" t="s">
        <v>45</v>
      </c>
      <c r="C2159" s="33" t="s">
        <v>46</v>
      </c>
      <c r="D2159" s="31" t="s">
        <v>47</v>
      </c>
      <c r="E2159" s="51">
        <v>9</v>
      </c>
      <c r="F2159" s="32" t="s">
        <v>15</v>
      </c>
      <c r="G2159" s="32" t="s">
        <v>5619</v>
      </c>
      <c r="H2159" s="22"/>
      <c r="I2159" s="11">
        <f>Table1[[#This Row],[Qty]]*Table1[[#This Row],[Price]]</f>
        <v>0</v>
      </c>
    </row>
    <row r="2160" spans="1:9" x14ac:dyDescent="0.25">
      <c r="A2160" s="28">
        <v>6290360590639</v>
      </c>
      <c r="B2160" s="29" t="s">
        <v>174</v>
      </c>
      <c r="C2160" s="30" t="s">
        <v>46</v>
      </c>
      <c r="D2160" s="31" t="s">
        <v>175</v>
      </c>
      <c r="E2160" s="51">
        <v>9</v>
      </c>
      <c r="F2160" s="32" t="s">
        <v>15</v>
      </c>
      <c r="G2160" s="32" t="s">
        <v>5671</v>
      </c>
      <c r="H2160" s="22"/>
      <c r="I2160" s="11">
        <f>Table1[[#This Row],[Qty]]*Table1[[#This Row],[Price]]</f>
        <v>0</v>
      </c>
    </row>
    <row r="2161" spans="1:9" x14ac:dyDescent="0.25">
      <c r="A2161" s="28">
        <v>6291107459257</v>
      </c>
      <c r="B2161" s="29" t="s">
        <v>231</v>
      </c>
      <c r="C2161" s="30" t="s">
        <v>46</v>
      </c>
      <c r="D2161" s="31" t="s">
        <v>232</v>
      </c>
      <c r="E2161" s="51">
        <v>10.45</v>
      </c>
      <c r="F2161" s="32" t="s">
        <v>15</v>
      </c>
      <c r="G2161" s="32" t="s">
        <v>5697</v>
      </c>
      <c r="H2161" s="22"/>
      <c r="I2161" s="11">
        <f>Table1[[#This Row],[Qty]]*Table1[[#This Row],[Price]]</f>
        <v>0</v>
      </c>
    </row>
    <row r="2162" spans="1:9" x14ac:dyDescent="0.25">
      <c r="A2162" s="28">
        <v>6291108735794</v>
      </c>
      <c r="B2162" s="29" t="s">
        <v>339</v>
      </c>
      <c r="C2162" s="30" t="s">
        <v>46</v>
      </c>
      <c r="D2162" s="31" t="s">
        <v>340</v>
      </c>
      <c r="E2162" s="51">
        <v>15.38</v>
      </c>
      <c r="F2162" s="32" t="s">
        <v>15</v>
      </c>
      <c r="G2162" s="32" t="s">
        <v>5782</v>
      </c>
      <c r="H2162" s="14"/>
      <c r="I2162" s="11">
        <f>Table1[[#This Row],[Qty]]*Table1[[#This Row],[Price]]</f>
        <v>0</v>
      </c>
    </row>
    <row r="2163" spans="1:9" x14ac:dyDescent="0.25">
      <c r="A2163" s="28">
        <v>6290360590615</v>
      </c>
      <c r="B2163" s="29" t="s">
        <v>389</v>
      </c>
      <c r="C2163" s="30" t="s">
        <v>46</v>
      </c>
      <c r="D2163" s="31" t="s">
        <v>390</v>
      </c>
      <c r="E2163" s="51">
        <v>10.59</v>
      </c>
      <c r="F2163" s="32" t="s">
        <v>15</v>
      </c>
      <c r="G2163" s="32" t="s">
        <v>5807</v>
      </c>
      <c r="H2163" s="12"/>
      <c r="I2163" s="11">
        <f>Table1[[#This Row],[Qty]]*Table1[[#This Row],[Price]]</f>
        <v>0</v>
      </c>
    </row>
    <row r="2164" spans="1:9" x14ac:dyDescent="0.25">
      <c r="A2164" s="28">
        <v>6290360590752</v>
      </c>
      <c r="B2164" s="29" t="s">
        <v>456</v>
      </c>
      <c r="C2164" s="30" t="s">
        <v>46</v>
      </c>
      <c r="D2164" s="31" t="s">
        <v>457</v>
      </c>
      <c r="E2164" s="51">
        <v>12</v>
      </c>
      <c r="F2164" s="32" t="s">
        <v>15</v>
      </c>
      <c r="G2164" s="32" t="s">
        <v>5839</v>
      </c>
      <c r="H2164" s="22"/>
      <c r="I2164" s="11">
        <f>Table1[[#This Row],[Qty]]*Table1[[#This Row],[Price]]</f>
        <v>0</v>
      </c>
    </row>
    <row r="2165" spans="1:9" x14ac:dyDescent="0.25">
      <c r="A2165" s="28">
        <v>6290360591629</v>
      </c>
      <c r="B2165" s="29" t="s">
        <v>535</v>
      </c>
      <c r="C2165" s="33" t="s">
        <v>46</v>
      </c>
      <c r="D2165" s="31" t="s">
        <v>536</v>
      </c>
      <c r="E2165" s="51">
        <v>14.5</v>
      </c>
      <c r="F2165" s="32" t="s">
        <v>15</v>
      </c>
      <c r="G2165" s="32" t="s">
        <v>5875</v>
      </c>
      <c r="H2165" s="22"/>
      <c r="I2165" s="11">
        <f>Table1[[#This Row],[Qty]]*Table1[[#This Row],[Price]]</f>
        <v>0</v>
      </c>
    </row>
    <row r="2166" spans="1:9" x14ac:dyDescent="0.25">
      <c r="A2166" s="28">
        <v>6291107459325</v>
      </c>
      <c r="B2166" s="29" t="s">
        <v>537</v>
      </c>
      <c r="C2166" s="30" t="s">
        <v>46</v>
      </c>
      <c r="D2166" s="31" t="s">
        <v>538</v>
      </c>
      <c r="E2166" s="51">
        <v>9.23</v>
      </c>
      <c r="F2166" s="32" t="s">
        <v>15</v>
      </c>
      <c r="G2166" s="32" t="s">
        <v>5876</v>
      </c>
      <c r="H2166" s="22"/>
      <c r="I2166" s="11">
        <f>Table1[[#This Row],[Qty]]*Table1[[#This Row],[Price]]</f>
        <v>0</v>
      </c>
    </row>
    <row r="2167" spans="1:9" x14ac:dyDescent="0.25">
      <c r="A2167" s="28">
        <v>6290360599212</v>
      </c>
      <c r="B2167" s="29" t="s">
        <v>555</v>
      </c>
      <c r="C2167" s="30" t="s">
        <v>46</v>
      </c>
      <c r="D2167" s="31" t="s">
        <v>556</v>
      </c>
      <c r="E2167" s="51">
        <v>14.5</v>
      </c>
      <c r="F2167" s="32" t="s">
        <v>15</v>
      </c>
      <c r="G2167" s="32">
        <v>0</v>
      </c>
      <c r="H2167" s="22"/>
      <c r="I2167" s="11">
        <f>Table1[[#This Row],[Qty]]*Table1[[#This Row],[Price]]</f>
        <v>0</v>
      </c>
    </row>
    <row r="2168" spans="1:9" x14ac:dyDescent="0.25">
      <c r="A2168" s="28">
        <v>6290360599243</v>
      </c>
      <c r="B2168" s="29" t="s">
        <v>561</v>
      </c>
      <c r="C2168" s="30" t="s">
        <v>46</v>
      </c>
      <c r="D2168" s="31" t="s">
        <v>562</v>
      </c>
      <c r="E2168" s="51">
        <v>13.5</v>
      </c>
      <c r="F2168" s="32" t="s">
        <v>15</v>
      </c>
      <c r="G2168" s="32">
        <v>0</v>
      </c>
      <c r="H2168" s="12"/>
      <c r="I2168" s="11">
        <f>Table1[[#This Row],[Qty]]*Table1[[#This Row],[Price]]</f>
        <v>0</v>
      </c>
    </row>
    <row r="2169" spans="1:9" x14ac:dyDescent="0.25">
      <c r="A2169" s="28">
        <v>6291108730317</v>
      </c>
      <c r="B2169" s="29" t="s">
        <v>584</v>
      </c>
      <c r="C2169" s="30" t="s">
        <v>46</v>
      </c>
      <c r="D2169" s="31" t="s">
        <v>585</v>
      </c>
      <c r="E2169" s="51">
        <v>12.23</v>
      </c>
      <c r="F2169" s="32" t="s">
        <v>15</v>
      </c>
      <c r="G2169" s="32" t="s">
        <v>5896</v>
      </c>
      <c r="H2169" s="22"/>
      <c r="I2169" s="11">
        <f>Table1[[#This Row],[Qty]]*Table1[[#This Row],[Price]]</f>
        <v>0</v>
      </c>
    </row>
    <row r="2170" spans="1:9" x14ac:dyDescent="0.25">
      <c r="A2170" s="28">
        <v>6290360590721</v>
      </c>
      <c r="B2170" s="29" t="s">
        <v>612</v>
      </c>
      <c r="C2170" s="30" t="s">
        <v>46</v>
      </c>
      <c r="D2170" s="31" t="s">
        <v>613</v>
      </c>
      <c r="E2170" s="51">
        <v>13.05</v>
      </c>
      <c r="F2170" s="32" t="s">
        <v>15</v>
      </c>
      <c r="G2170" s="32" t="s">
        <v>5908</v>
      </c>
      <c r="H2170" s="22"/>
      <c r="I2170" s="11">
        <f>Table1[[#This Row],[Qty]]*Table1[[#This Row],[Price]]</f>
        <v>0</v>
      </c>
    </row>
    <row r="2171" spans="1:9" x14ac:dyDescent="0.25">
      <c r="A2171" s="28">
        <v>6290360590592</v>
      </c>
      <c r="B2171" s="29" t="s">
        <v>723</v>
      </c>
      <c r="C2171" s="30" t="s">
        <v>46</v>
      </c>
      <c r="D2171" s="31" t="s">
        <v>724</v>
      </c>
      <c r="E2171" s="51">
        <v>12</v>
      </c>
      <c r="F2171" s="32" t="s">
        <v>15</v>
      </c>
      <c r="G2171" s="32" t="s">
        <v>5959</v>
      </c>
      <c r="H2171" s="22"/>
      <c r="I2171" s="11">
        <f>Table1[[#This Row],[Qty]]*Table1[[#This Row],[Price]]</f>
        <v>0</v>
      </c>
    </row>
    <row r="2172" spans="1:9" x14ac:dyDescent="0.25">
      <c r="A2172" s="28">
        <v>6291108736579</v>
      </c>
      <c r="B2172" s="29" t="s">
        <v>981</v>
      </c>
      <c r="C2172" s="30" t="s">
        <v>46</v>
      </c>
      <c r="D2172" s="31" t="s">
        <v>982</v>
      </c>
      <c r="E2172" s="51">
        <v>14.65</v>
      </c>
      <c r="F2172" s="32" t="s">
        <v>15</v>
      </c>
      <c r="G2172" s="32" t="s">
        <v>6075</v>
      </c>
      <c r="H2172" s="12"/>
      <c r="I2172" s="11">
        <f>Table1[[#This Row],[Qty]]*Table1[[#This Row],[Price]]</f>
        <v>0</v>
      </c>
    </row>
    <row r="2173" spans="1:9" x14ac:dyDescent="0.25">
      <c r="A2173" s="28">
        <v>6291108730324</v>
      </c>
      <c r="B2173" s="29" t="s">
        <v>1033</v>
      </c>
      <c r="C2173" s="30" t="s">
        <v>46</v>
      </c>
      <c r="D2173" s="31" t="s">
        <v>1034</v>
      </c>
      <c r="E2173" s="51">
        <v>13.75</v>
      </c>
      <c r="F2173" s="32" t="s">
        <v>15</v>
      </c>
      <c r="G2173" s="32" t="s">
        <v>6099</v>
      </c>
      <c r="H2173" s="22"/>
      <c r="I2173" s="11">
        <f>Table1[[#This Row],[Qty]]*Table1[[#This Row],[Price]]</f>
        <v>0</v>
      </c>
    </row>
    <row r="2174" spans="1:9" x14ac:dyDescent="0.25">
      <c r="A2174" s="28">
        <v>6291107459141</v>
      </c>
      <c r="B2174" s="29" t="s">
        <v>1066</v>
      </c>
      <c r="C2174" s="30" t="s">
        <v>46</v>
      </c>
      <c r="D2174" s="31" t="s">
        <v>1067</v>
      </c>
      <c r="E2174" s="51">
        <v>10.58</v>
      </c>
      <c r="F2174" s="32" t="s">
        <v>15</v>
      </c>
      <c r="G2174" s="32" t="s">
        <v>6113</v>
      </c>
      <c r="H2174" s="12"/>
      <c r="I2174" s="11">
        <f>Table1[[#This Row],[Qty]]*Table1[[#This Row],[Price]]</f>
        <v>0</v>
      </c>
    </row>
    <row r="2175" spans="1:9" x14ac:dyDescent="0.25">
      <c r="A2175" s="28">
        <v>6290360590776</v>
      </c>
      <c r="B2175" s="29" t="s">
        <v>1156</v>
      </c>
      <c r="C2175" s="33" t="s">
        <v>46</v>
      </c>
      <c r="D2175" s="31" t="s">
        <v>1157</v>
      </c>
      <c r="E2175" s="51">
        <v>13.5</v>
      </c>
      <c r="F2175" s="32" t="s">
        <v>15</v>
      </c>
      <c r="G2175" s="32" t="s">
        <v>6152</v>
      </c>
      <c r="H2175" s="22"/>
      <c r="I2175" s="11">
        <f>Table1[[#This Row],[Qty]]*Table1[[#This Row],[Price]]</f>
        <v>0</v>
      </c>
    </row>
    <row r="2176" spans="1:9" x14ac:dyDescent="0.25">
      <c r="A2176" s="28">
        <v>6290362340553</v>
      </c>
      <c r="B2176" s="29" t="s">
        <v>1754</v>
      </c>
      <c r="C2176" s="30" t="s">
        <v>46</v>
      </c>
      <c r="D2176" s="31" t="s">
        <v>1755</v>
      </c>
      <c r="E2176" s="51">
        <v>20.49</v>
      </c>
      <c r="F2176" s="32" t="s">
        <v>15</v>
      </c>
      <c r="G2176" s="32" t="s">
        <v>6296</v>
      </c>
      <c r="H2176" s="12"/>
      <c r="I2176" s="11">
        <f>Table1[[#This Row],[Qty]]*Table1[[#This Row],[Price]]</f>
        <v>0</v>
      </c>
    </row>
    <row r="2177" spans="1:9" x14ac:dyDescent="0.25">
      <c r="A2177" s="28">
        <v>6291108735541</v>
      </c>
      <c r="B2177" s="29" t="s">
        <v>1864</v>
      </c>
      <c r="C2177" s="33" t="s">
        <v>46</v>
      </c>
      <c r="D2177" s="31" t="s">
        <v>1865</v>
      </c>
      <c r="E2177" s="51">
        <v>20.5</v>
      </c>
      <c r="F2177" s="32" t="s">
        <v>15</v>
      </c>
      <c r="G2177" s="32" t="s">
        <v>6317</v>
      </c>
      <c r="H2177" s="22"/>
      <c r="I2177" s="11">
        <f>Table1[[#This Row],[Qty]]*Table1[[#This Row],[Price]]</f>
        <v>0</v>
      </c>
    </row>
    <row r="2178" spans="1:9" x14ac:dyDescent="0.25">
      <c r="A2178" s="28">
        <v>6291108735602</v>
      </c>
      <c r="B2178" s="29" t="s">
        <v>1901</v>
      </c>
      <c r="C2178" s="30" t="s">
        <v>46</v>
      </c>
      <c r="D2178" s="31" t="s">
        <v>1902</v>
      </c>
      <c r="E2178" s="51">
        <v>16.5</v>
      </c>
      <c r="F2178" s="32" t="s">
        <v>15</v>
      </c>
      <c r="G2178" s="32">
        <v>0</v>
      </c>
      <c r="H2178" s="12"/>
      <c r="I2178" s="11">
        <f>Table1[[#This Row],[Qty]]*Table1[[#This Row],[Price]]</f>
        <v>0</v>
      </c>
    </row>
    <row r="2179" spans="1:9" x14ac:dyDescent="0.25">
      <c r="A2179" s="28">
        <v>6290360590585</v>
      </c>
      <c r="B2179" s="29" t="s">
        <v>1921</v>
      </c>
      <c r="C2179" s="30" t="s">
        <v>46</v>
      </c>
      <c r="D2179" s="31" t="s">
        <v>1922</v>
      </c>
      <c r="E2179" s="51">
        <v>16</v>
      </c>
      <c r="F2179" s="32" t="s">
        <v>15</v>
      </c>
      <c r="G2179" s="32">
        <v>0</v>
      </c>
      <c r="H2179" s="12"/>
      <c r="I2179" s="11">
        <f>Table1[[#This Row],[Qty]]*Table1[[#This Row],[Price]]</f>
        <v>0</v>
      </c>
    </row>
    <row r="2180" spans="1:9" x14ac:dyDescent="0.25">
      <c r="A2180" s="28">
        <v>6291108735534</v>
      </c>
      <c r="B2180" s="29" t="s">
        <v>1951</v>
      </c>
      <c r="C2180" s="30" t="s">
        <v>46</v>
      </c>
      <c r="D2180" s="31" t="s">
        <v>1952</v>
      </c>
      <c r="E2180" s="51">
        <v>15.5</v>
      </c>
      <c r="F2180" s="32" t="s">
        <v>15</v>
      </c>
      <c r="G2180" s="32" t="s">
        <v>6345</v>
      </c>
      <c r="H2180" s="22"/>
      <c r="I2180" s="11">
        <f>Table1[[#This Row],[Qty]]*Table1[[#This Row],[Price]]</f>
        <v>0</v>
      </c>
    </row>
    <row r="2181" spans="1:9" x14ac:dyDescent="0.25">
      <c r="A2181" s="28">
        <v>6291108735756</v>
      </c>
      <c r="B2181" s="29" t="s">
        <v>2017</v>
      </c>
      <c r="C2181" s="30" t="s">
        <v>46</v>
      </c>
      <c r="D2181" s="31" t="s">
        <v>2018</v>
      </c>
      <c r="E2181" s="51">
        <v>13.5</v>
      </c>
      <c r="F2181" s="32" t="s">
        <v>15</v>
      </c>
      <c r="G2181" s="32" t="s">
        <v>6362</v>
      </c>
      <c r="H2181" s="22"/>
      <c r="I2181" s="11">
        <f>Table1[[#This Row],[Qty]]*Table1[[#This Row],[Price]]</f>
        <v>0</v>
      </c>
    </row>
    <row r="2182" spans="1:9" x14ac:dyDescent="0.25">
      <c r="A2182" s="28">
        <v>6291107459127</v>
      </c>
      <c r="B2182" s="29" t="s">
        <v>2019</v>
      </c>
      <c r="C2182" s="30" t="s">
        <v>46</v>
      </c>
      <c r="D2182" s="31" t="s">
        <v>2020</v>
      </c>
      <c r="E2182" s="51">
        <v>11.5</v>
      </c>
      <c r="F2182" s="32" t="s">
        <v>15</v>
      </c>
      <c r="G2182" s="32" t="s">
        <v>6363</v>
      </c>
      <c r="H2182" s="14"/>
      <c r="I2182" s="11">
        <f>Table1[[#This Row],[Qty]]*Table1[[#This Row],[Price]]</f>
        <v>0</v>
      </c>
    </row>
    <row r="2183" spans="1:9" x14ac:dyDescent="0.25">
      <c r="A2183" s="28">
        <v>6290360590622</v>
      </c>
      <c r="B2183" s="29" t="s">
        <v>2038</v>
      </c>
      <c r="C2183" s="30" t="s">
        <v>46</v>
      </c>
      <c r="D2183" s="31" t="s">
        <v>2039</v>
      </c>
      <c r="E2183" s="51">
        <v>12.5</v>
      </c>
      <c r="F2183" s="32" t="s">
        <v>15</v>
      </c>
      <c r="G2183" s="32" t="s">
        <v>6366</v>
      </c>
      <c r="H2183" s="22"/>
      <c r="I2183" s="11">
        <f>Table1[[#This Row],[Qty]]*Table1[[#This Row],[Price]]</f>
        <v>0</v>
      </c>
    </row>
    <row r="2184" spans="1:9" x14ac:dyDescent="0.25">
      <c r="A2184" s="28">
        <v>6291108730188</v>
      </c>
      <c r="B2184" s="29" t="s">
        <v>2040</v>
      </c>
      <c r="C2184" s="30" t="s">
        <v>46</v>
      </c>
      <c r="D2184" s="31" t="s">
        <v>2041</v>
      </c>
      <c r="E2184" s="51">
        <v>13</v>
      </c>
      <c r="F2184" s="32" t="s">
        <v>15</v>
      </c>
      <c r="G2184" s="32">
        <v>0</v>
      </c>
      <c r="H2184" s="22"/>
      <c r="I2184" s="11">
        <f>Table1[[#This Row],[Qty]]*Table1[[#This Row],[Price]]</f>
        <v>0</v>
      </c>
    </row>
    <row r="2185" spans="1:9" x14ac:dyDescent="0.25">
      <c r="A2185" s="28">
        <v>6291107459370</v>
      </c>
      <c r="B2185" s="29" t="s">
        <v>2042</v>
      </c>
      <c r="C2185" s="33" t="s">
        <v>46</v>
      </c>
      <c r="D2185" s="31" t="s">
        <v>2043</v>
      </c>
      <c r="E2185" s="51">
        <v>13</v>
      </c>
      <c r="F2185" s="32" t="s">
        <v>15</v>
      </c>
      <c r="G2185" s="32">
        <v>0</v>
      </c>
      <c r="H2185" s="22"/>
      <c r="I2185" s="11">
        <f>Table1[[#This Row],[Qty]]*Table1[[#This Row],[Price]]</f>
        <v>0</v>
      </c>
    </row>
    <row r="2186" spans="1:9" x14ac:dyDescent="0.25">
      <c r="A2186" s="28">
        <v>6291108735978</v>
      </c>
      <c r="B2186" s="29" t="s">
        <v>2044</v>
      </c>
      <c r="C2186" s="30" t="s">
        <v>46</v>
      </c>
      <c r="D2186" s="31" t="s">
        <v>2045</v>
      </c>
      <c r="E2186" s="51">
        <v>13</v>
      </c>
      <c r="F2186" s="32" t="s">
        <v>15</v>
      </c>
      <c r="G2186" s="32">
        <v>0</v>
      </c>
      <c r="H2186" s="12"/>
      <c r="I2186" s="11">
        <f>Table1[[#This Row],[Qty]]*Table1[[#This Row],[Price]]</f>
        <v>0</v>
      </c>
    </row>
    <row r="2187" spans="1:9" x14ac:dyDescent="0.25">
      <c r="A2187" s="28">
        <v>6290360591131</v>
      </c>
      <c r="B2187" s="29" t="s">
        <v>2055</v>
      </c>
      <c r="C2187" s="30" t="s">
        <v>46</v>
      </c>
      <c r="D2187" s="31" t="s">
        <v>2056</v>
      </c>
      <c r="E2187" s="51">
        <v>12.84</v>
      </c>
      <c r="F2187" s="32" t="s">
        <v>15</v>
      </c>
      <c r="G2187" s="32" t="s">
        <v>6370</v>
      </c>
      <c r="H2187" s="12"/>
      <c r="I2187" s="11">
        <f>Table1[[#This Row],[Qty]]*Table1[[#This Row],[Price]]</f>
        <v>0</v>
      </c>
    </row>
    <row r="2188" spans="1:9" x14ac:dyDescent="0.25">
      <c r="A2188" s="28">
        <v>6291108735442</v>
      </c>
      <c r="B2188" s="29" t="s">
        <v>2068</v>
      </c>
      <c r="C2188" s="30" t="s">
        <v>46</v>
      </c>
      <c r="D2188" s="31" t="s">
        <v>2069</v>
      </c>
      <c r="E2188" s="51">
        <v>12.5</v>
      </c>
      <c r="F2188" s="32" t="s">
        <v>15</v>
      </c>
      <c r="G2188" s="32">
        <v>0</v>
      </c>
      <c r="H2188" s="22"/>
      <c r="I2188" s="11">
        <f>Table1[[#This Row],[Qty]]*Table1[[#This Row],[Price]]</f>
        <v>0</v>
      </c>
    </row>
    <row r="2189" spans="1:9" x14ac:dyDescent="0.25">
      <c r="A2189" s="28">
        <v>6290362340843</v>
      </c>
      <c r="B2189" s="29" t="s">
        <v>2074</v>
      </c>
      <c r="C2189" s="30" t="s">
        <v>46</v>
      </c>
      <c r="D2189" s="31" t="s">
        <v>2075</v>
      </c>
      <c r="E2189" s="51">
        <v>12.5</v>
      </c>
      <c r="F2189" s="32" t="s">
        <v>15</v>
      </c>
      <c r="G2189" s="32">
        <v>0</v>
      </c>
      <c r="H2189" s="22"/>
      <c r="I2189" s="11">
        <f>Table1[[#This Row],[Qty]]*Table1[[#This Row],[Price]]</f>
        <v>0</v>
      </c>
    </row>
    <row r="2190" spans="1:9" x14ac:dyDescent="0.25">
      <c r="A2190" s="28">
        <v>6291107459264</v>
      </c>
      <c r="B2190" s="29" t="s">
        <v>2078</v>
      </c>
      <c r="C2190" s="30" t="s">
        <v>46</v>
      </c>
      <c r="D2190" s="31" t="s">
        <v>2079</v>
      </c>
      <c r="E2190" s="51">
        <v>12.25</v>
      </c>
      <c r="F2190" s="32" t="s">
        <v>15</v>
      </c>
      <c r="G2190" s="32">
        <v>0</v>
      </c>
      <c r="H2190" s="22"/>
      <c r="I2190" s="11">
        <f>Table1[[#This Row],[Qty]]*Table1[[#This Row],[Price]]</f>
        <v>0</v>
      </c>
    </row>
    <row r="2191" spans="1:9" x14ac:dyDescent="0.25">
      <c r="A2191" s="28">
        <v>6291107459318</v>
      </c>
      <c r="B2191" s="29" t="s">
        <v>2092</v>
      </c>
      <c r="C2191" s="30" t="s">
        <v>46</v>
      </c>
      <c r="D2191" s="31" t="s">
        <v>2093</v>
      </c>
      <c r="E2191" s="51">
        <v>12</v>
      </c>
      <c r="F2191" s="32" t="s">
        <v>15</v>
      </c>
      <c r="G2191" s="32">
        <v>0</v>
      </c>
      <c r="H2191" s="22"/>
      <c r="I2191" s="11">
        <f>Table1[[#This Row],[Qty]]*Table1[[#This Row],[Price]]</f>
        <v>0</v>
      </c>
    </row>
    <row r="2192" spans="1:9" x14ac:dyDescent="0.25">
      <c r="A2192" s="28">
        <v>6291107459332</v>
      </c>
      <c r="B2192" s="29" t="s">
        <v>2094</v>
      </c>
      <c r="C2192" s="30" t="s">
        <v>46</v>
      </c>
      <c r="D2192" s="31" t="s">
        <v>2095</v>
      </c>
      <c r="E2192" s="51">
        <v>12</v>
      </c>
      <c r="F2192" s="32" t="s">
        <v>15</v>
      </c>
      <c r="G2192" s="32">
        <v>0</v>
      </c>
      <c r="H2192" s="22"/>
      <c r="I2192" s="11">
        <f>Table1[[#This Row],[Qty]]*Table1[[#This Row],[Price]]</f>
        <v>0</v>
      </c>
    </row>
    <row r="2193" spans="1:9" x14ac:dyDescent="0.25">
      <c r="A2193" s="28">
        <v>6291108737071</v>
      </c>
      <c r="B2193" s="29" t="s">
        <v>2102</v>
      </c>
      <c r="C2193" s="30" t="s">
        <v>46</v>
      </c>
      <c r="D2193" s="31" t="s">
        <v>2103</v>
      </c>
      <c r="E2193" s="51">
        <v>12</v>
      </c>
      <c r="F2193" s="32" t="s">
        <v>15</v>
      </c>
      <c r="G2193" s="32">
        <v>0</v>
      </c>
      <c r="H2193" s="22"/>
      <c r="I2193" s="11">
        <f>Table1[[#This Row],[Qty]]*Table1[[#This Row],[Price]]</f>
        <v>0</v>
      </c>
    </row>
    <row r="2194" spans="1:9" x14ac:dyDescent="0.25">
      <c r="A2194" s="28">
        <v>6290360590738</v>
      </c>
      <c r="B2194" s="29" t="s">
        <v>2104</v>
      </c>
      <c r="C2194" s="30" t="s">
        <v>46</v>
      </c>
      <c r="D2194" s="31" t="s">
        <v>2105</v>
      </c>
      <c r="E2194" s="51">
        <v>12</v>
      </c>
      <c r="F2194" s="32" t="s">
        <v>15</v>
      </c>
      <c r="G2194" s="32">
        <v>0</v>
      </c>
      <c r="H2194" s="12"/>
      <c r="I2194" s="11">
        <f>Table1[[#This Row],[Qty]]*Table1[[#This Row],[Price]]</f>
        <v>0</v>
      </c>
    </row>
    <row r="2195" spans="1:9" x14ac:dyDescent="0.25">
      <c r="A2195" s="28">
        <v>6290360590608</v>
      </c>
      <c r="B2195" s="29" t="s">
        <v>2112</v>
      </c>
      <c r="C2195" s="30" t="s">
        <v>46</v>
      </c>
      <c r="D2195" s="31" t="s">
        <v>2113</v>
      </c>
      <c r="E2195" s="51">
        <v>10.25</v>
      </c>
      <c r="F2195" s="32" t="s">
        <v>15</v>
      </c>
      <c r="G2195" s="32" t="s">
        <v>6379</v>
      </c>
      <c r="H2195" s="22"/>
      <c r="I2195" s="11">
        <f>Table1[[#This Row],[Qty]]*Table1[[#This Row],[Price]]</f>
        <v>0</v>
      </c>
    </row>
    <row r="2196" spans="1:9" x14ac:dyDescent="0.25">
      <c r="A2196" s="28">
        <v>6291107459196</v>
      </c>
      <c r="B2196" s="29" t="s">
        <v>2116</v>
      </c>
      <c r="C2196" s="33" t="s">
        <v>46</v>
      </c>
      <c r="D2196" s="31" t="s">
        <v>2117</v>
      </c>
      <c r="E2196" s="51">
        <v>13.25</v>
      </c>
      <c r="F2196" s="32" t="s">
        <v>15</v>
      </c>
      <c r="G2196" s="32" t="s">
        <v>6381</v>
      </c>
      <c r="H2196" s="22"/>
      <c r="I2196" s="11">
        <f>Table1[[#This Row],[Qty]]*Table1[[#This Row],[Price]]</f>
        <v>0</v>
      </c>
    </row>
    <row r="2197" spans="1:9" x14ac:dyDescent="0.25">
      <c r="A2197" s="28">
        <v>6291108735954</v>
      </c>
      <c r="B2197" s="29" t="s">
        <v>2127</v>
      </c>
      <c r="C2197" s="30" t="s">
        <v>46</v>
      </c>
      <c r="D2197" s="31" t="s">
        <v>2128</v>
      </c>
      <c r="E2197" s="51">
        <v>11.5</v>
      </c>
      <c r="F2197" s="32" t="s">
        <v>15</v>
      </c>
      <c r="G2197" s="32">
        <v>0</v>
      </c>
      <c r="H2197" s="22"/>
      <c r="I2197" s="11">
        <f>Table1[[#This Row],[Qty]]*Table1[[#This Row],[Price]]</f>
        <v>0</v>
      </c>
    </row>
    <row r="2198" spans="1:9" x14ac:dyDescent="0.25">
      <c r="A2198" s="28">
        <v>6291108735930</v>
      </c>
      <c r="B2198" s="29" t="s">
        <v>2161</v>
      </c>
      <c r="C2198" s="30" t="s">
        <v>46</v>
      </c>
      <c r="D2198" s="31" t="s">
        <v>2162</v>
      </c>
      <c r="E2198" s="51">
        <v>10.5</v>
      </c>
      <c r="F2198" s="32" t="s">
        <v>15</v>
      </c>
      <c r="G2198" s="32">
        <v>0</v>
      </c>
      <c r="H2198" s="12"/>
      <c r="I2198" s="11">
        <f>Table1[[#This Row],[Qty]]*Table1[[#This Row],[Price]]</f>
        <v>0</v>
      </c>
    </row>
    <row r="2199" spans="1:9" x14ac:dyDescent="0.25">
      <c r="A2199" s="28">
        <v>6291108730195</v>
      </c>
      <c r="B2199" s="29" t="s">
        <v>2169</v>
      </c>
      <c r="C2199" s="30" t="s">
        <v>46</v>
      </c>
      <c r="D2199" s="31" t="s">
        <v>2170</v>
      </c>
      <c r="E2199" s="51">
        <v>10.33</v>
      </c>
      <c r="F2199" s="32" t="s">
        <v>15</v>
      </c>
      <c r="G2199" s="32" t="s">
        <v>6390</v>
      </c>
      <c r="H2199" s="22"/>
      <c r="I2199" s="11">
        <f>Table1[[#This Row],[Qty]]*Table1[[#This Row],[Price]]</f>
        <v>0</v>
      </c>
    </row>
    <row r="2200" spans="1:9" x14ac:dyDescent="0.25">
      <c r="A2200" s="28">
        <v>6291108730157</v>
      </c>
      <c r="B2200" s="29" t="s">
        <v>2178</v>
      </c>
      <c r="C2200" s="30" t="s">
        <v>46</v>
      </c>
      <c r="D2200" s="31" t="s">
        <v>2179</v>
      </c>
      <c r="E2200" s="51">
        <v>9.9</v>
      </c>
      <c r="F2200" s="32" t="s">
        <v>15</v>
      </c>
      <c r="G2200" s="32">
        <v>0</v>
      </c>
      <c r="H2200" s="12"/>
      <c r="I2200" s="11">
        <f>Table1[[#This Row],[Qty]]*Table1[[#This Row],[Price]]</f>
        <v>0</v>
      </c>
    </row>
    <row r="2201" spans="1:9" x14ac:dyDescent="0.25">
      <c r="A2201" s="28">
        <v>6290362340980</v>
      </c>
      <c r="B2201" s="29" t="s">
        <v>2302</v>
      </c>
      <c r="C2201" s="30" t="s">
        <v>46</v>
      </c>
      <c r="D2201" s="31" t="s">
        <v>2303</v>
      </c>
      <c r="E2201" s="51">
        <v>12.25</v>
      </c>
      <c r="F2201" s="32" t="s">
        <v>15</v>
      </c>
      <c r="G2201" s="32" t="s">
        <v>6407</v>
      </c>
      <c r="H2201" s="14"/>
      <c r="I2201" s="11">
        <f>Table1[[#This Row],[Qty]]*Table1[[#This Row],[Price]]</f>
        <v>0</v>
      </c>
    </row>
    <row r="2202" spans="1:9" x14ac:dyDescent="0.25">
      <c r="A2202" s="28">
        <v>6291108735282</v>
      </c>
      <c r="B2202" s="29" t="s">
        <v>2304</v>
      </c>
      <c r="C2202" s="33" t="s">
        <v>46</v>
      </c>
      <c r="D2202" s="31" t="s">
        <v>2305</v>
      </c>
      <c r="E2202" s="51">
        <v>13.5</v>
      </c>
      <c r="F2202" s="32" t="s">
        <v>15</v>
      </c>
      <c r="G2202" s="32">
        <v>0</v>
      </c>
      <c r="H2202" s="22"/>
      <c r="I2202" s="11">
        <f>Table1[[#This Row],[Qty]]*Table1[[#This Row],[Price]]</f>
        <v>0</v>
      </c>
    </row>
    <row r="2203" spans="1:9" x14ac:dyDescent="0.25">
      <c r="A2203" s="28">
        <v>6291108735732</v>
      </c>
      <c r="B2203" s="29" t="s">
        <v>2306</v>
      </c>
      <c r="C2203" s="30" t="s">
        <v>46</v>
      </c>
      <c r="D2203" s="31" t="s">
        <v>2307</v>
      </c>
      <c r="E2203" s="51">
        <v>8.5</v>
      </c>
      <c r="F2203" s="32" t="s">
        <v>15</v>
      </c>
      <c r="G2203" s="32">
        <v>0</v>
      </c>
      <c r="H2203" s="22"/>
      <c r="I2203" s="11">
        <f>Table1[[#This Row],[Qty]]*Table1[[#This Row],[Price]]</f>
        <v>0</v>
      </c>
    </row>
    <row r="2204" spans="1:9" x14ac:dyDescent="0.25">
      <c r="A2204" s="28">
        <v>6291108735961</v>
      </c>
      <c r="B2204" s="29" t="s">
        <v>2329</v>
      </c>
      <c r="C2204" s="30" t="s">
        <v>46</v>
      </c>
      <c r="D2204" s="31" t="s">
        <v>2330</v>
      </c>
      <c r="E2204" s="51">
        <v>14.31</v>
      </c>
      <c r="F2204" s="32" t="s">
        <v>15</v>
      </c>
      <c r="G2204" s="32">
        <v>0</v>
      </c>
      <c r="H2204" s="14"/>
      <c r="I2204" s="11">
        <f>Table1[[#This Row],[Qty]]*Table1[[#This Row],[Price]]</f>
        <v>0</v>
      </c>
    </row>
    <row r="2205" spans="1:9" x14ac:dyDescent="0.25">
      <c r="A2205" s="28">
        <v>6291107459202</v>
      </c>
      <c r="B2205" s="29" t="s">
        <v>2356</v>
      </c>
      <c r="C2205" s="33" t="s">
        <v>46</v>
      </c>
      <c r="D2205" s="31" t="s">
        <v>2357</v>
      </c>
      <c r="E2205" s="51">
        <v>10.34</v>
      </c>
      <c r="F2205" s="32" t="s">
        <v>15</v>
      </c>
      <c r="G2205" s="32" t="s">
        <v>6425</v>
      </c>
      <c r="H2205" s="22"/>
      <c r="I2205" s="11">
        <f>Table1[[#This Row],[Qty]]*Table1[[#This Row],[Price]]</f>
        <v>0</v>
      </c>
    </row>
    <row r="2206" spans="1:9" x14ac:dyDescent="0.25">
      <c r="A2206" s="28">
        <v>6291107459233</v>
      </c>
      <c r="B2206" s="29" t="s">
        <v>2358</v>
      </c>
      <c r="C2206" s="30" t="s">
        <v>46</v>
      </c>
      <c r="D2206" s="31" t="s">
        <v>2359</v>
      </c>
      <c r="E2206" s="51">
        <v>12</v>
      </c>
      <c r="F2206" s="32" t="s">
        <v>15</v>
      </c>
      <c r="G2206" s="32" t="s">
        <v>6426</v>
      </c>
      <c r="H2206" s="12"/>
      <c r="I2206" s="11">
        <f>Table1[[#This Row],[Qty]]*Table1[[#This Row],[Price]]</f>
        <v>0</v>
      </c>
    </row>
    <row r="2207" spans="1:9" x14ac:dyDescent="0.25">
      <c r="A2207" s="28">
        <v>6290362341093</v>
      </c>
      <c r="B2207" s="29" t="s">
        <v>2363</v>
      </c>
      <c r="C2207" s="30" t="s">
        <v>46</v>
      </c>
      <c r="D2207" s="31" t="s">
        <v>2364</v>
      </c>
      <c r="E2207" s="51">
        <v>16.5</v>
      </c>
      <c r="F2207" s="32" t="s">
        <v>15</v>
      </c>
      <c r="G2207" s="32" t="s">
        <v>6428</v>
      </c>
      <c r="H2207" s="12"/>
      <c r="I2207" s="11">
        <f>Table1[[#This Row],[Qty]]*Table1[[#This Row],[Price]]</f>
        <v>0</v>
      </c>
    </row>
    <row r="2208" spans="1:9" x14ac:dyDescent="0.25">
      <c r="A2208" s="28">
        <v>6290360590745</v>
      </c>
      <c r="B2208" s="29" t="s">
        <v>2367</v>
      </c>
      <c r="C2208" s="30" t="s">
        <v>46</v>
      </c>
      <c r="D2208" s="31" t="s">
        <v>2368</v>
      </c>
      <c r="E2208" s="51">
        <v>12.25</v>
      </c>
      <c r="F2208" s="32" t="s">
        <v>15</v>
      </c>
      <c r="G2208" s="32" t="s">
        <v>6430</v>
      </c>
      <c r="H2208" s="22"/>
      <c r="I2208" s="11">
        <f>Table1[[#This Row],[Qty]]*Table1[[#This Row],[Price]]</f>
        <v>0</v>
      </c>
    </row>
    <row r="2209" spans="1:9" x14ac:dyDescent="0.25">
      <c r="A2209" s="28">
        <v>6290362340775</v>
      </c>
      <c r="B2209" s="29" t="s">
        <v>2369</v>
      </c>
      <c r="C2209" s="30" t="s">
        <v>46</v>
      </c>
      <c r="D2209" s="31" t="s">
        <v>2370</v>
      </c>
      <c r="E2209" s="51">
        <v>18.5</v>
      </c>
      <c r="F2209" s="32" t="s">
        <v>15</v>
      </c>
      <c r="G2209" s="32" t="s">
        <v>6431</v>
      </c>
      <c r="H2209" s="22"/>
      <c r="I2209" s="11">
        <f>Table1[[#This Row],[Qty]]*Table1[[#This Row],[Price]]</f>
        <v>0</v>
      </c>
    </row>
    <row r="2210" spans="1:9" x14ac:dyDescent="0.25">
      <c r="A2210" s="28">
        <v>6291108730089</v>
      </c>
      <c r="B2210" s="29" t="s">
        <v>2371</v>
      </c>
      <c r="C2210" s="30" t="s">
        <v>46</v>
      </c>
      <c r="D2210" s="31" t="s">
        <v>2372</v>
      </c>
      <c r="E2210" s="51">
        <v>11.5</v>
      </c>
      <c r="F2210" s="32" t="s">
        <v>15</v>
      </c>
      <c r="G2210" s="32" t="s">
        <v>6432</v>
      </c>
      <c r="H2210" s="12"/>
      <c r="I2210" s="11">
        <f>Table1[[#This Row],[Qty]]*Table1[[#This Row],[Price]]</f>
        <v>0</v>
      </c>
    </row>
    <row r="2211" spans="1:9" x14ac:dyDescent="0.25">
      <c r="A2211" s="28">
        <v>6291107459134</v>
      </c>
      <c r="B2211" s="29" t="s">
        <v>2556</v>
      </c>
      <c r="C2211" s="30" t="s">
        <v>46</v>
      </c>
      <c r="D2211" s="31" t="s">
        <v>2557</v>
      </c>
      <c r="E2211" s="51">
        <v>11.83</v>
      </c>
      <c r="F2211" s="32" t="s">
        <v>15</v>
      </c>
      <c r="G2211" s="32" t="s">
        <v>6517</v>
      </c>
      <c r="H2211" s="12"/>
      <c r="I2211" s="11">
        <f>Table1[[#This Row],[Qty]]*Table1[[#This Row],[Price]]</f>
        <v>0</v>
      </c>
    </row>
    <row r="2212" spans="1:9" x14ac:dyDescent="0.25">
      <c r="A2212" s="28">
        <v>6291108735749</v>
      </c>
      <c r="B2212" s="29" t="s">
        <v>2611</v>
      </c>
      <c r="C2212" s="30" t="s">
        <v>46</v>
      </c>
      <c r="D2212" s="31" t="s">
        <v>2612</v>
      </c>
      <c r="E2212" s="51">
        <v>11.01</v>
      </c>
      <c r="F2212" s="32" t="s">
        <v>15</v>
      </c>
      <c r="G2212" s="32" t="s">
        <v>6538</v>
      </c>
      <c r="H2212" s="12"/>
      <c r="I2212" s="11">
        <f>Table1[[#This Row],[Qty]]*Table1[[#This Row],[Price]]</f>
        <v>0</v>
      </c>
    </row>
    <row r="2213" spans="1:9" x14ac:dyDescent="0.25">
      <c r="A2213" s="28">
        <v>6291108735435</v>
      </c>
      <c r="B2213" s="29" t="s">
        <v>2887</v>
      </c>
      <c r="C2213" s="30" t="s">
        <v>46</v>
      </c>
      <c r="D2213" s="31" t="s">
        <v>2888</v>
      </c>
      <c r="E2213" s="51">
        <v>17.95</v>
      </c>
      <c r="F2213" s="32" t="s">
        <v>15</v>
      </c>
      <c r="G2213" s="32" t="s">
        <v>6641</v>
      </c>
      <c r="H2213" s="22"/>
      <c r="I2213" s="11">
        <f>Table1[[#This Row],[Qty]]*Table1[[#This Row],[Price]]</f>
        <v>0</v>
      </c>
    </row>
    <row r="2214" spans="1:9" x14ac:dyDescent="0.25">
      <c r="A2214" s="28">
        <v>6291108736050</v>
      </c>
      <c r="B2214" s="29" t="s">
        <v>2889</v>
      </c>
      <c r="C2214" s="30" t="s">
        <v>46</v>
      </c>
      <c r="D2214" s="31" t="s">
        <v>2890</v>
      </c>
      <c r="E2214" s="51">
        <v>12.35</v>
      </c>
      <c r="F2214" s="32" t="s">
        <v>15</v>
      </c>
      <c r="G2214" s="32" t="s">
        <v>6642</v>
      </c>
      <c r="H2214" s="22"/>
      <c r="I2214" s="11">
        <f>Table1[[#This Row],[Qty]]*Table1[[#This Row],[Price]]</f>
        <v>0</v>
      </c>
    </row>
    <row r="2215" spans="1:9" x14ac:dyDescent="0.25">
      <c r="A2215" s="28">
        <v>6290362340966</v>
      </c>
      <c r="B2215" s="29" t="s">
        <v>2891</v>
      </c>
      <c r="C2215" s="30" t="s">
        <v>46</v>
      </c>
      <c r="D2215" s="31" t="s">
        <v>2892</v>
      </c>
      <c r="E2215" s="51">
        <v>16.7</v>
      </c>
      <c r="F2215" s="32" t="s">
        <v>15</v>
      </c>
      <c r="G2215" s="32" t="s">
        <v>6643</v>
      </c>
      <c r="H2215" s="12"/>
      <c r="I2215" s="11">
        <f>Table1[[#This Row],[Qty]]*Table1[[#This Row],[Price]]</f>
        <v>0</v>
      </c>
    </row>
    <row r="2216" spans="1:9" x14ac:dyDescent="0.25">
      <c r="A2216" s="28">
        <v>6290362340676</v>
      </c>
      <c r="B2216" s="29" t="s">
        <v>3112</v>
      </c>
      <c r="C2216" s="30" t="s">
        <v>46</v>
      </c>
      <c r="D2216" s="31" t="s">
        <v>3113</v>
      </c>
      <c r="E2216" s="51">
        <v>19.5</v>
      </c>
      <c r="F2216" s="32" t="s">
        <v>15</v>
      </c>
      <c r="G2216" s="32" t="s">
        <v>6700</v>
      </c>
      <c r="H2216" s="14"/>
      <c r="I2216" s="11">
        <f>Table1[[#This Row],[Qty]]*Table1[[#This Row],[Price]]</f>
        <v>0</v>
      </c>
    </row>
    <row r="2217" spans="1:9" x14ac:dyDescent="0.25">
      <c r="A2217" s="48">
        <v>6291108735916</v>
      </c>
      <c r="B2217" s="41" t="s">
        <v>3604</v>
      </c>
      <c r="C2217" s="6" t="s">
        <v>46</v>
      </c>
      <c r="D2217" t="s">
        <v>3605</v>
      </c>
      <c r="E2217" s="47">
        <v>12.45</v>
      </c>
      <c r="F2217" s="6" t="s">
        <v>15</v>
      </c>
      <c r="G2217" s="6">
        <v>0</v>
      </c>
      <c r="H2217" s="22"/>
      <c r="I2217" s="11">
        <f>Table1[[#This Row],[Qty]]*Table1[[#This Row],[Price]]</f>
        <v>0</v>
      </c>
    </row>
    <row r="2218" spans="1:9" x14ac:dyDescent="0.25">
      <c r="A2218" s="28">
        <v>6290360591605</v>
      </c>
      <c r="B2218" s="29" t="s">
        <v>3760</v>
      </c>
      <c r="C2218" s="30" t="s">
        <v>46</v>
      </c>
      <c r="D2218" s="31" t="s">
        <v>3761</v>
      </c>
      <c r="E2218" s="51">
        <v>12.03</v>
      </c>
      <c r="F2218" s="32" t="s">
        <v>15</v>
      </c>
      <c r="G2218" s="32" t="s">
        <v>7052</v>
      </c>
      <c r="H2218" s="14"/>
      <c r="I2218" s="11">
        <f>Table1[[#This Row],[Qty]]*Table1[[#This Row],[Price]]</f>
        <v>0</v>
      </c>
    </row>
    <row r="2219" spans="1:9" x14ac:dyDescent="0.25">
      <c r="A2219" s="28">
        <v>6290360590646</v>
      </c>
      <c r="B2219" s="29" t="s">
        <v>4013</v>
      </c>
      <c r="C2219" s="30" t="s">
        <v>46</v>
      </c>
      <c r="D2219" s="31" t="s">
        <v>4014</v>
      </c>
      <c r="E2219" s="51">
        <v>10.66</v>
      </c>
      <c r="F2219" s="32" t="s">
        <v>15</v>
      </c>
      <c r="G2219" s="32" t="s">
        <v>7165</v>
      </c>
      <c r="H2219" s="26"/>
      <c r="I2219" s="11">
        <f>Table1[[#This Row],[Qty]]*Table1[[#This Row],[Price]]</f>
        <v>0</v>
      </c>
    </row>
    <row r="2220" spans="1:9" x14ac:dyDescent="0.25">
      <c r="A2220" s="28">
        <v>6291108735787</v>
      </c>
      <c r="B2220" s="29" t="s">
        <v>4024</v>
      </c>
      <c r="C2220" s="30" t="s">
        <v>46</v>
      </c>
      <c r="D2220" s="31" t="s">
        <v>4025</v>
      </c>
      <c r="E2220" s="51">
        <v>10.99</v>
      </c>
      <c r="F2220" s="32" t="s">
        <v>15</v>
      </c>
      <c r="G2220" s="32" t="s">
        <v>7171</v>
      </c>
      <c r="H2220" s="12"/>
      <c r="I2220" s="11">
        <f>Table1[[#This Row],[Qty]]*Table1[[#This Row],[Price]]</f>
        <v>0</v>
      </c>
    </row>
    <row r="2221" spans="1:9" x14ac:dyDescent="0.25">
      <c r="A2221" s="28">
        <v>6291108735527</v>
      </c>
      <c r="B2221" s="29" t="s">
        <v>4641</v>
      </c>
      <c r="C2221" s="30" t="s">
        <v>46</v>
      </c>
      <c r="D2221" s="31" t="s">
        <v>4642</v>
      </c>
      <c r="E2221" s="51">
        <v>26.5</v>
      </c>
      <c r="F2221" s="32" t="s">
        <v>15</v>
      </c>
      <c r="G2221" s="32"/>
      <c r="H2221" s="22"/>
      <c r="I2221" s="11">
        <f>Table1[[#This Row],[Qty]]*Table1[[#This Row],[Price]]</f>
        <v>0</v>
      </c>
    </row>
    <row r="2222" spans="1:9" x14ac:dyDescent="0.25">
      <c r="A2222" s="28">
        <v>6290362341123</v>
      </c>
      <c r="B2222" s="29" t="s">
        <v>5137</v>
      </c>
      <c r="C2222" s="30" t="s">
        <v>46</v>
      </c>
      <c r="D2222" s="31" t="s">
        <v>5138</v>
      </c>
      <c r="E2222" s="51">
        <v>16.5</v>
      </c>
      <c r="F2222" s="32" t="s">
        <v>15</v>
      </c>
      <c r="G2222" s="32"/>
      <c r="H2222" s="22"/>
      <c r="I2222" s="11">
        <f>Table1[[#This Row],[Qty]]*Table1[[#This Row],[Price]]</f>
        <v>0</v>
      </c>
    </row>
    <row r="2223" spans="1:9" x14ac:dyDescent="0.25">
      <c r="A2223" s="28">
        <v>6290360591612</v>
      </c>
      <c r="B2223" s="29" t="s">
        <v>4649</v>
      </c>
      <c r="C2223" s="30" t="s">
        <v>46</v>
      </c>
      <c r="D2223" s="31" t="s">
        <v>4650</v>
      </c>
      <c r="E2223" s="51">
        <v>16.5</v>
      </c>
      <c r="F2223" s="32" t="s">
        <v>15</v>
      </c>
      <c r="G2223" s="32"/>
      <c r="H2223" s="12"/>
      <c r="I2223" s="11">
        <f>Table1[[#This Row],[Qty]]*Table1[[#This Row],[Price]]</f>
        <v>0</v>
      </c>
    </row>
    <row r="2224" spans="1:9" x14ac:dyDescent="0.25">
      <c r="A2224" s="48">
        <v>6290362342533</v>
      </c>
      <c r="B2224" s="41" t="s">
        <v>4653</v>
      </c>
      <c r="C2224" s="6" t="s">
        <v>46</v>
      </c>
      <c r="D2224" t="s">
        <v>4654</v>
      </c>
      <c r="E2224" s="52">
        <v>16.5</v>
      </c>
      <c r="F2224" s="49" t="s">
        <v>15</v>
      </c>
      <c r="G2224" s="49"/>
      <c r="H2224" s="22"/>
      <c r="I2224" s="11">
        <f>Table1[[#This Row],[Qty]]*Table1[[#This Row],[Price]]</f>
        <v>0</v>
      </c>
    </row>
    <row r="2225" spans="1:9" x14ac:dyDescent="0.25">
      <c r="A2225" s="28">
        <v>6290362343202</v>
      </c>
      <c r="B2225" s="29" t="s">
        <v>5117</v>
      </c>
      <c r="C2225" s="30" t="s">
        <v>46</v>
      </c>
      <c r="D2225" s="31" t="s">
        <v>5118</v>
      </c>
      <c r="E2225" s="51">
        <v>16</v>
      </c>
      <c r="F2225" s="32" t="s">
        <v>15</v>
      </c>
      <c r="G2225" s="32"/>
      <c r="H2225" s="22"/>
      <c r="I2225" s="11">
        <f>Table1[[#This Row],[Qty]]*Table1[[#This Row],[Price]]</f>
        <v>0</v>
      </c>
    </row>
    <row r="2226" spans="1:9" x14ac:dyDescent="0.25">
      <c r="A2226" s="28">
        <v>6290360598697</v>
      </c>
      <c r="B2226" s="29" t="s">
        <v>4647</v>
      </c>
      <c r="C2226" s="30" t="s">
        <v>46</v>
      </c>
      <c r="D2226" s="31" t="s">
        <v>4648</v>
      </c>
      <c r="E2226" s="51">
        <v>15.5</v>
      </c>
      <c r="F2226" s="32" t="s">
        <v>15</v>
      </c>
      <c r="G2226" s="32"/>
      <c r="H2226" s="22"/>
      <c r="I2226" s="11">
        <f>Table1[[#This Row],[Qty]]*Table1[[#This Row],[Price]]</f>
        <v>0</v>
      </c>
    </row>
    <row r="2227" spans="1:9" x14ac:dyDescent="0.25">
      <c r="A2227" s="28">
        <v>6290360590684</v>
      </c>
      <c r="B2227" s="29" t="s">
        <v>5067</v>
      </c>
      <c r="C2227" s="33" t="s">
        <v>46</v>
      </c>
      <c r="D2227" s="31" t="s">
        <v>5068</v>
      </c>
      <c r="E2227" s="51">
        <v>14.75</v>
      </c>
      <c r="F2227" s="32" t="s">
        <v>15</v>
      </c>
      <c r="G2227" s="32"/>
      <c r="H2227" s="22"/>
      <c r="I2227" s="11">
        <f>Table1[[#This Row],[Qty]]*Table1[[#This Row],[Price]]</f>
        <v>0</v>
      </c>
    </row>
    <row r="2228" spans="1:9" x14ac:dyDescent="0.25">
      <c r="A2228" s="48">
        <v>6290362340928</v>
      </c>
      <c r="B2228" s="41" t="s">
        <v>4630</v>
      </c>
      <c r="C2228" s="6" t="s">
        <v>46</v>
      </c>
      <c r="D2228" t="s">
        <v>4631</v>
      </c>
      <c r="E2228" s="47">
        <v>14.5</v>
      </c>
      <c r="F2228" s="6" t="s">
        <v>15</v>
      </c>
      <c r="H2228" s="22"/>
      <c r="I2228" s="11">
        <f>Table1[[#This Row],[Qty]]*Table1[[#This Row],[Price]]</f>
        <v>0</v>
      </c>
    </row>
    <row r="2229" spans="1:9" x14ac:dyDescent="0.25">
      <c r="A2229" s="28">
        <v>6290362340584</v>
      </c>
      <c r="B2229" s="29" t="s">
        <v>4632</v>
      </c>
      <c r="C2229" s="30" t="s">
        <v>46</v>
      </c>
      <c r="D2229" s="31" t="s">
        <v>4633</v>
      </c>
      <c r="E2229" s="51">
        <v>14.5</v>
      </c>
      <c r="F2229" s="32" t="s">
        <v>15</v>
      </c>
      <c r="G2229" s="32"/>
      <c r="H2229" s="12"/>
      <c r="I2229" s="11">
        <f>Table1[[#This Row],[Qty]]*Table1[[#This Row],[Price]]</f>
        <v>0</v>
      </c>
    </row>
    <row r="2230" spans="1:9" x14ac:dyDescent="0.25">
      <c r="A2230" s="48">
        <v>6290362340720</v>
      </c>
      <c r="B2230" s="41" t="s">
        <v>5139</v>
      </c>
      <c r="C2230" s="6" t="s">
        <v>46</v>
      </c>
      <c r="D2230" t="s">
        <v>5140</v>
      </c>
      <c r="E2230" s="52">
        <v>14</v>
      </c>
      <c r="F2230" s="49" t="s">
        <v>15</v>
      </c>
      <c r="G2230" s="49"/>
      <c r="H2230" s="22"/>
      <c r="I2230" s="11">
        <f>Table1[[#This Row],[Qty]]*Table1[[#This Row],[Price]]</f>
        <v>0</v>
      </c>
    </row>
    <row r="2231" spans="1:9" x14ac:dyDescent="0.25">
      <c r="A2231" s="28">
        <v>6291108736562</v>
      </c>
      <c r="B2231" s="29" t="s">
        <v>5079</v>
      </c>
      <c r="C2231" s="30" t="s">
        <v>46</v>
      </c>
      <c r="D2231" s="31" t="s">
        <v>5080</v>
      </c>
      <c r="E2231" s="51">
        <v>13.95</v>
      </c>
      <c r="F2231" s="32" t="s">
        <v>15</v>
      </c>
      <c r="G2231" s="32"/>
      <c r="H2231" s="22"/>
      <c r="I2231" s="11">
        <f>Table1[[#This Row],[Qty]]*Table1[[#This Row],[Price]]</f>
        <v>0</v>
      </c>
    </row>
    <row r="2232" spans="1:9" x14ac:dyDescent="0.25">
      <c r="A2232" s="28">
        <v>6290362341000</v>
      </c>
      <c r="B2232" s="29" t="s">
        <v>4621</v>
      </c>
      <c r="C2232" s="30" t="s">
        <v>46</v>
      </c>
      <c r="D2232" s="31" t="s">
        <v>7544</v>
      </c>
      <c r="E2232" s="51">
        <v>13.5</v>
      </c>
      <c r="F2232" s="32" t="s">
        <v>15</v>
      </c>
      <c r="G2232" s="32">
        <v>0</v>
      </c>
      <c r="H2232" s="12"/>
      <c r="I2232" s="11">
        <f>Table1[[#This Row],[Qty]]*Table1[[#This Row],[Price]]</f>
        <v>0</v>
      </c>
    </row>
    <row r="2233" spans="1:9" x14ac:dyDescent="0.25">
      <c r="A2233" s="28">
        <v>6290362343189</v>
      </c>
      <c r="B2233" s="29" t="s">
        <v>4639</v>
      </c>
      <c r="C2233" s="30" t="s">
        <v>46</v>
      </c>
      <c r="D2233" s="31" t="s">
        <v>4640</v>
      </c>
      <c r="E2233" s="51">
        <v>12.95</v>
      </c>
      <c r="F2233" s="32" t="s">
        <v>15</v>
      </c>
      <c r="G2233" s="32"/>
      <c r="H2233" s="22"/>
      <c r="I2233" s="11">
        <f>Table1[[#This Row],[Qty]]*Table1[[#This Row],[Price]]</f>
        <v>0</v>
      </c>
    </row>
    <row r="2234" spans="1:9" x14ac:dyDescent="0.25">
      <c r="A2234" s="28">
        <v>6291108734193</v>
      </c>
      <c r="B2234" s="29" t="s">
        <v>5037</v>
      </c>
      <c r="C2234" s="30" t="s">
        <v>46</v>
      </c>
      <c r="D2234" s="31" t="s">
        <v>5038</v>
      </c>
      <c r="E2234" s="51">
        <v>12.5</v>
      </c>
      <c r="F2234" s="32" t="s">
        <v>15</v>
      </c>
      <c r="G2234" s="32"/>
      <c r="H2234" s="22"/>
      <c r="I2234" s="11">
        <f>Table1[[#This Row],[Qty]]*Table1[[#This Row],[Price]]</f>
        <v>0</v>
      </c>
    </row>
    <row r="2235" spans="1:9" x14ac:dyDescent="0.25">
      <c r="A2235" s="28">
        <v>6290362340942</v>
      </c>
      <c r="B2235" s="29" t="s">
        <v>4608</v>
      </c>
      <c r="C2235" s="30" t="s">
        <v>46</v>
      </c>
      <c r="D2235" s="31" t="s">
        <v>4609</v>
      </c>
      <c r="E2235" s="51">
        <v>12.5</v>
      </c>
      <c r="F2235" s="32" t="s">
        <v>15</v>
      </c>
      <c r="G2235" s="32"/>
      <c r="H2235" s="12"/>
      <c r="I2235" s="11">
        <f>Table1[[#This Row],[Qty]]*Table1[[#This Row],[Price]]</f>
        <v>0</v>
      </c>
    </row>
    <row r="2236" spans="1:9" x14ac:dyDescent="0.25">
      <c r="A2236" s="28">
        <v>6290362340768</v>
      </c>
      <c r="B2236" s="29" t="s">
        <v>4628</v>
      </c>
      <c r="C2236" s="30" t="s">
        <v>46</v>
      </c>
      <c r="D2236" s="31" t="s">
        <v>4629</v>
      </c>
      <c r="E2236" s="51">
        <v>12.45</v>
      </c>
      <c r="F2236" s="32" t="s">
        <v>15</v>
      </c>
      <c r="G2236" s="32"/>
      <c r="H2236" s="12"/>
      <c r="I2236" s="11">
        <f>Table1[[#This Row],[Qty]]*Table1[[#This Row],[Price]]</f>
        <v>0</v>
      </c>
    </row>
    <row r="2237" spans="1:9" x14ac:dyDescent="0.25">
      <c r="A2237" s="28">
        <v>6290360598673</v>
      </c>
      <c r="B2237" s="29" t="s">
        <v>4643</v>
      </c>
      <c r="C2237" s="30" t="s">
        <v>46</v>
      </c>
      <c r="D2237" s="31" t="s">
        <v>4644</v>
      </c>
      <c r="E2237" s="51">
        <v>12.45</v>
      </c>
      <c r="F2237" s="32" t="s">
        <v>15</v>
      </c>
      <c r="G2237" s="32"/>
      <c r="H2237" s="22"/>
      <c r="I2237" s="11">
        <f>Table1[[#This Row],[Qty]]*Table1[[#This Row],[Price]]</f>
        <v>0</v>
      </c>
    </row>
    <row r="2238" spans="1:9" x14ac:dyDescent="0.25">
      <c r="A2238" s="28">
        <v>6290360598680</v>
      </c>
      <c r="B2238" s="29" t="s">
        <v>4645</v>
      </c>
      <c r="C2238" s="30" t="s">
        <v>46</v>
      </c>
      <c r="D2238" s="31" t="s">
        <v>4646</v>
      </c>
      <c r="E2238" s="51">
        <v>12.45</v>
      </c>
      <c r="F2238" s="32" t="s">
        <v>15</v>
      </c>
      <c r="G2238" s="32"/>
      <c r="H2238" s="22"/>
      <c r="I2238" s="11">
        <f>Table1[[#This Row],[Qty]]*Table1[[#This Row],[Price]]</f>
        <v>0</v>
      </c>
    </row>
    <row r="2239" spans="1:9" x14ac:dyDescent="0.25">
      <c r="A2239" s="28">
        <v>6290362343226</v>
      </c>
      <c r="B2239" s="29" t="s">
        <v>7545</v>
      </c>
      <c r="C2239" s="30" t="s">
        <v>46</v>
      </c>
      <c r="D2239" s="31" t="s">
        <v>7546</v>
      </c>
      <c r="E2239" s="51">
        <v>12.25</v>
      </c>
      <c r="F2239" s="32" t="s">
        <v>15</v>
      </c>
      <c r="G2239" s="32">
        <v>0</v>
      </c>
      <c r="H2239" s="12"/>
      <c r="I2239" s="11">
        <f>Table1[[#This Row],[Qty]]*Table1[[#This Row],[Price]]</f>
        <v>0</v>
      </c>
    </row>
    <row r="2240" spans="1:9" x14ac:dyDescent="0.25">
      <c r="A2240" s="28">
        <v>6291107459240</v>
      </c>
      <c r="B2240" s="29" t="s">
        <v>5028</v>
      </c>
      <c r="C2240" s="30" t="s">
        <v>46</v>
      </c>
      <c r="D2240" s="31" t="s">
        <v>5029</v>
      </c>
      <c r="E2240" s="51">
        <v>11.95</v>
      </c>
      <c r="F2240" s="32" t="s">
        <v>15</v>
      </c>
      <c r="G2240" s="32">
        <v>0</v>
      </c>
      <c r="H2240" s="12"/>
      <c r="I2240" s="11">
        <f>Table1[[#This Row],[Qty]]*Table1[[#This Row],[Price]]</f>
        <v>0</v>
      </c>
    </row>
    <row r="2241" spans="1:9" x14ac:dyDescent="0.25">
      <c r="A2241" s="28">
        <v>6290360599205</v>
      </c>
      <c r="B2241" s="29" t="s">
        <v>5088</v>
      </c>
      <c r="C2241" s="30" t="s">
        <v>46</v>
      </c>
      <c r="D2241" s="31" t="s">
        <v>5089</v>
      </c>
      <c r="E2241" s="51">
        <v>11.75</v>
      </c>
      <c r="F2241" s="32" t="s">
        <v>15</v>
      </c>
      <c r="G2241" s="32"/>
      <c r="H2241" s="12"/>
      <c r="I2241" s="11">
        <f>Table1[[#This Row],[Qty]]*Table1[[#This Row],[Price]]</f>
        <v>0</v>
      </c>
    </row>
    <row r="2242" spans="1:9" x14ac:dyDescent="0.25">
      <c r="A2242" s="28">
        <v>6291107459271</v>
      </c>
      <c r="B2242" s="29" t="s">
        <v>4998</v>
      </c>
      <c r="C2242" s="30" t="s">
        <v>46</v>
      </c>
      <c r="D2242" s="31" t="s">
        <v>4999</v>
      </c>
      <c r="E2242" s="51">
        <v>11.5</v>
      </c>
      <c r="F2242" s="32" t="s">
        <v>15</v>
      </c>
      <c r="G2242" s="32"/>
      <c r="H2242" s="14"/>
      <c r="I2242" s="11">
        <f>Table1[[#This Row],[Qty]]*Table1[[#This Row],[Price]]</f>
        <v>0</v>
      </c>
    </row>
    <row r="2243" spans="1:9" x14ac:dyDescent="0.25">
      <c r="A2243" s="28">
        <v>6290360590844</v>
      </c>
      <c r="B2243" s="29" t="s">
        <v>5022</v>
      </c>
      <c r="C2243" s="30" t="s">
        <v>46</v>
      </c>
      <c r="D2243" s="31" t="s">
        <v>5023</v>
      </c>
      <c r="E2243" s="51">
        <v>11.5</v>
      </c>
      <c r="F2243" s="32" t="s">
        <v>15</v>
      </c>
      <c r="G2243" s="32">
        <v>0</v>
      </c>
      <c r="H2243" s="22"/>
      <c r="I2243" s="11">
        <f>Table1[[#This Row],[Qty]]*Table1[[#This Row],[Price]]</f>
        <v>0</v>
      </c>
    </row>
    <row r="2244" spans="1:9" x14ac:dyDescent="0.25">
      <c r="A2244" s="28">
        <v>6290360599175</v>
      </c>
      <c r="B2244" s="29" t="s">
        <v>5069</v>
      </c>
      <c r="C2244" s="30" t="s">
        <v>46</v>
      </c>
      <c r="D2244" s="31" t="s">
        <v>5070</v>
      </c>
      <c r="E2244" s="51">
        <v>11.45</v>
      </c>
      <c r="F2244" s="32" t="s">
        <v>15</v>
      </c>
      <c r="G2244" s="32"/>
      <c r="H2244" s="22"/>
      <c r="I2244" s="11">
        <f>Table1[[#This Row],[Qty]]*Table1[[#This Row],[Price]]</f>
        <v>0</v>
      </c>
    </row>
    <row r="2245" spans="1:9" x14ac:dyDescent="0.25">
      <c r="A2245" s="28">
        <v>6291107459080</v>
      </c>
      <c r="B2245" s="29" t="s">
        <v>5020</v>
      </c>
      <c r="C2245" s="30" t="s">
        <v>46</v>
      </c>
      <c r="D2245" s="31" t="s">
        <v>5021</v>
      </c>
      <c r="E2245" s="51">
        <v>11.15</v>
      </c>
      <c r="F2245" s="32" t="s">
        <v>15</v>
      </c>
      <c r="G2245" s="32"/>
      <c r="H2245" s="12"/>
      <c r="I2245" s="11">
        <f>Table1[[#This Row],[Qty]]*Table1[[#This Row],[Price]]</f>
        <v>0</v>
      </c>
    </row>
    <row r="2246" spans="1:9" x14ac:dyDescent="0.25">
      <c r="A2246" s="28">
        <v>6290362340829</v>
      </c>
      <c r="B2246" s="29" t="s">
        <v>4744</v>
      </c>
      <c r="C2246" s="30" t="s">
        <v>46</v>
      </c>
      <c r="D2246" s="31" t="s">
        <v>4745</v>
      </c>
      <c r="E2246" s="51">
        <v>11</v>
      </c>
      <c r="F2246" s="32" t="s">
        <v>15</v>
      </c>
      <c r="G2246" s="32"/>
      <c r="H2246" s="12"/>
      <c r="I2246" s="11">
        <f>Table1[[#This Row],[Qty]]*Table1[[#This Row],[Price]]</f>
        <v>0</v>
      </c>
    </row>
    <row r="2247" spans="1:9" x14ac:dyDescent="0.25">
      <c r="A2247" s="28">
        <v>6290362343233</v>
      </c>
      <c r="B2247" s="29" t="s">
        <v>5115</v>
      </c>
      <c r="C2247" s="30" t="s">
        <v>46</v>
      </c>
      <c r="D2247" s="31" t="s">
        <v>5116</v>
      </c>
      <c r="E2247" s="51">
        <v>10.95</v>
      </c>
      <c r="F2247" s="32" t="s">
        <v>15</v>
      </c>
      <c r="G2247" s="32"/>
      <c r="H2247" s="12"/>
      <c r="I2247" s="11">
        <f>Table1[[#This Row],[Qty]]*Table1[[#This Row],[Price]]</f>
        <v>0</v>
      </c>
    </row>
    <row r="2248" spans="1:9" x14ac:dyDescent="0.25">
      <c r="A2248" s="28">
        <v>6291108730225</v>
      </c>
      <c r="B2248" s="29" t="s">
        <v>4794</v>
      </c>
      <c r="C2248" s="33" t="s">
        <v>46</v>
      </c>
      <c r="D2248" s="31" t="s">
        <v>4795</v>
      </c>
      <c r="E2248" s="51">
        <v>10.45</v>
      </c>
      <c r="F2248" s="32" t="s">
        <v>15</v>
      </c>
      <c r="G2248" s="32"/>
      <c r="H2248" s="22"/>
      <c r="I2248" s="11">
        <f>Table1[[#This Row],[Qty]]*Table1[[#This Row],[Price]]</f>
        <v>0</v>
      </c>
    </row>
    <row r="2249" spans="1:9" x14ac:dyDescent="0.25">
      <c r="A2249" s="28">
        <v>6291107459165</v>
      </c>
      <c r="B2249" s="29" t="s">
        <v>4801</v>
      </c>
      <c r="C2249" s="30" t="s">
        <v>46</v>
      </c>
      <c r="D2249" s="31" t="s">
        <v>4802</v>
      </c>
      <c r="E2249" s="51">
        <v>10.45</v>
      </c>
      <c r="F2249" s="32" t="s">
        <v>15</v>
      </c>
      <c r="G2249" s="32"/>
      <c r="H2249" s="12"/>
      <c r="I2249" s="11">
        <f>Table1[[#This Row],[Qty]]*Table1[[#This Row],[Price]]</f>
        <v>0</v>
      </c>
    </row>
    <row r="2250" spans="1:9" x14ac:dyDescent="0.25">
      <c r="A2250" s="28">
        <v>6290362340874</v>
      </c>
      <c r="B2250" s="29" t="s">
        <v>5092</v>
      </c>
      <c r="C2250" s="33" t="s">
        <v>46</v>
      </c>
      <c r="D2250" s="31" t="s">
        <v>5093</v>
      </c>
      <c r="E2250" s="51">
        <v>10</v>
      </c>
      <c r="F2250" s="32" t="s">
        <v>15</v>
      </c>
      <c r="G2250" s="32"/>
      <c r="H2250" s="22"/>
      <c r="I2250" s="11">
        <f>Table1[[#This Row],[Qty]]*Table1[[#This Row],[Price]]</f>
        <v>0</v>
      </c>
    </row>
    <row r="2251" spans="1:9" x14ac:dyDescent="0.25">
      <c r="A2251" s="28">
        <v>6291108737057</v>
      </c>
      <c r="B2251" s="29" t="s">
        <v>5002</v>
      </c>
      <c r="C2251" s="30" t="s">
        <v>46</v>
      </c>
      <c r="D2251" s="31" t="s">
        <v>5003</v>
      </c>
      <c r="E2251" s="51">
        <v>9.9499999999999993</v>
      </c>
      <c r="F2251" s="32" t="s">
        <v>15</v>
      </c>
      <c r="G2251" s="32"/>
      <c r="H2251" s="12"/>
      <c r="I2251" s="11">
        <f>Table1[[#This Row],[Qty]]*Table1[[#This Row],[Price]]</f>
        <v>0</v>
      </c>
    </row>
    <row r="2252" spans="1:9" x14ac:dyDescent="0.25">
      <c r="A2252" s="28">
        <v>6291107459387</v>
      </c>
      <c r="B2252" s="29" t="s">
        <v>5039</v>
      </c>
      <c r="C2252" s="30" t="s">
        <v>46</v>
      </c>
      <c r="D2252" s="31" t="s">
        <v>5040</v>
      </c>
      <c r="E2252" s="51">
        <v>9.9499999999999993</v>
      </c>
      <c r="F2252" s="32" t="s">
        <v>15</v>
      </c>
      <c r="G2252" s="32"/>
      <c r="H2252" s="12"/>
      <c r="I2252" s="11">
        <f>Table1[[#This Row],[Qty]]*Table1[[#This Row],[Price]]</f>
        <v>0</v>
      </c>
    </row>
    <row r="2253" spans="1:9" x14ac:dyDescent="0.25">
      <c r="A2253" s="28">
        <v>6291108735473</v>
      </c>
      <c r="B2253" s="29" t="s">
        <v>5060</v>
      </c>
      <c r="C2253" s="30" t="s">
        <v>46</v>
      </c>
      <c r="D2253" s="31" t="s">
        <v>5061</v>
      </c>
      <c r="E2253" s="51">
        <v>9.5</v>
      </c>
      <c r="F2253" s="32" t="s">
        <v>15</v>
      </c>
      <c r="G2253" s="32"/>
      <c r="H2253" s="22"/>
      <c r="I2253" s="11">
        <f>Table1[[#This Row],[Qty]]*Table1[[#This Row],[Price]]</f>
        <v>0</v>
      </c>
    </row>
    <row r="2254" spans="1:9" x14ac:dyDescent="0.25">
      <c r="A2254" s="28">
        <v>6291107459356</v>
      </c>
      <c r="B2254" s="29" t="s">
        <v>4732</v>
      </c>
      <c r="C2254" s="30" t="s">
        <v>46</v>
      </c>
      <c r="D2254" s="31" t="s">
        <v>4733</v>
      </c>
      <c r="E2254" s="51">
        <v>9.5</v>
      </c>
      <c r="F2254" s="32" t="s">
        <v>15</v>
      </c>
      <c r="G2254" s="32"/>
      <c r="H2254" s="22"/>
      <c r="I2254" s="11">
        <f>Table1[[#This Row],[Qty]]*Table1[[#This Row],[Price]]</f>
        <v>0</v>
      </c>
    </row>
    <row r="2255" spans="1:9" x14ac:dyDescent="0.25">
      <c r="A2255" s="28">
        <v>6290360599267</v>
      </c>
      <c r="B2255" s="29" t="s">
        <v>4471</v>
      </c>
      <c r="C2255" s="30" t="s">
        <v>46</v>
      </c>
      <c r="D2255" s="31" t="s">
        <v>4472</v>
      </c>
      <c r="E2255" s="51">
        <v>9.4499999999999993</v>
      </c>
      <c r="F2255" s="32" t="s">
        <v>15</v>
      </c>
      <c r="G2255" s="32"/>
      <c r="H2255" s="12"/>
      <c r="I2255" s="11">
        <f>Table1[[#This Row],[Qty]]*Table1[[#This Row],[Price]]</f>
        <v>0</v>
      </c>
    </row>
    <row r="2256" spans="1:9" x14ac:dyDescent="0.25">
      <c r="A2256" s="28">
        <v>6291108732199</v>
      </c>
      <c r="B2256" s="29" t="s">
        <v>5014</v>
      </c>
      <c r="C2256" s="30" t="s">
        <v>46</v>
      </c>
      <c r="D2256" s="31" t="s">
        <v>5015</v>
      </c>
      <c r="E2256" s="51">
        <v>9.4499999999999993</v>
      </c>
      <c r="F2256" s="32" t="s">
        <v>15</v>
      </c>
      <c r="G2256" s="32"/>
      <c r="H2256" s="22"/>
      <c r="I2256" s="11">
        <f>Table1[[#This Row],[Qty]]*Table1[[#This Row],[Price]]</f>
        <v>0</v>
      </c>
    </row>
    <row r="2257" spans="1:9" x14ac:dyDescent="0.25">
      <c r="A2257" s="28">
        <v>6291108734179</v>
      </c>
      <c r="B2257" s="29" t="s">
        <v>4975</v>
      </c>
      <c r="C2257" s="30" t="s">
        <v>46</v>
      </c>
      <c r="D2257" s="31" t="s">
        <v>4976</v>
      </c>
      <c r="E2257" s="51">
        <v>7.75</v>
      </c>
      <c r="F2257" s="32" t="s">
        <v>15</v>
      </c>
      <c r="G2257" s="32"/>
      <c r="H2257" s="22"/>
      <c r="I2257" s="11">
        <f>Table1[[#This Row],[Qty]]*Table1[[#This Row],[Price]]</f>
        <v>0</v>
      </c>
    </row>
    <row r="2258" spans="1:9" x14ac:dyDescent="0.25">
      <c r="A2258" s="28">
        <v>6291108734209</v>
      </c>
      <c r="B2258" s="29" t="s">
        <v>5008</v>
      </c>
      <c r="C2258" s="30" t="s">
        <v>46</v>
      </c>
      <c r="D2258" s="31" t="s">
        <v>5009</v>
      </c>
      <c r="E2258" s="51">
        <v>7.75</v>
      </c>
      <c r="F2258" s="32" t="s">
        <v>15</v>
      </c>
      <c r="G2258" s="32"/>
      <c r="H2258" s="22"/>
      <c r="I2258" s="11">
        <f>Table1[[#This Row],[Qty]]*Table1[[#This Row],[Price]]</f>
        <v>0</v>
      </c>
    </row>
    <row r="2259" spans="1:9" x14ac:dyDescent="0.25">
      <c r="A2259" s="28">
        <v>6290362340812</v>
      </c>
      <c r="B2259" s="29" t="s">
        <v>5273</v>
      </c>
      <c r="C2259" s="30" t="s">
        <v>46</v>
      </c>
      <c r="D2259" s="31" t="s">
        <v>5274</v>
      </c>
      <c r="E2259" s="51">
        <v>7.25</v>
      </c>
      <c r="F2259" s="32" t="s">
        <v>15</v>
      </c>
      <c r="G2259" s="32"/>
      <c r="H2259" s="22"/>
      <c r="I2259" s="11">
        <f>Table1[[#This Row],[Qty]]*Table1[[#This Row],[Price]]</f>
        <v>0</v>
      </c>
    </row>
    <row r="2260" spans="1:9" x14ac:dyDescent="0.25">
      <c r="A2260" s="28">
        <v>6291108736067</v>
      </c>
      <c r="B2260" s="29" t="s">
        <v>2137</v>
      </c>
      <c r="C2260" s="30" t="s">
        <v>2138</v>
      </c>
      <c r="D2260" s="31" t="s">
        <v>2139</v>
      </c>
      <c r="E2260" s="51">
        <v>11</v>
      </c>
      <c r="F2260" s="32" t="s">
        <v>15</v>
      </c>
      <c r="G2260" s="32">
        <v>0</v>
      </c>
      <c r="H2260" s="22"/>
      <c r="I2260" s="11">
        <f>Table1[[#This Row],[Qty]]*Table1[[#This Row],[Price]]</f>
        <v>0</v>
      </c>
    </row>
    <row r="2261" spans="1:9" x14ac:dyDescent="0.25">
      <c r="A2261" s="28">
        <v>8439627624085</v>
      </c>
      <c r="B2261" s="29" t="s">
        <v>2733</v>
      </c>
      <c r="C2261" s="30" t="s">
        <v>2734</v>
      </c>
      <c r="D2261" s="31" t="s">
        <v>2735</v>
      </c>
      <c r="E2261" s="51">
        <v>13</v>
      </c>
      <c r="F2261" s="32" t="s">
        <v>15</v>
      </c>
      <c r="G2261" s="32" t="s">
        <v>6592</v>
      </c>
      <c r="H2261" s="22"/>
      <c r="I2261" s="11">
        <f>Table1[[#This Row],[Qty]]*Table1[[#This Row],[Price]]</f>
        <v>0</v>
      </c>
    </row>
    <row r="2262" spans="1:9" x14ac:dyDescent="0.25">
      <c r="A2262" s="28">
        <v>3700559609160</v>
      </c>
      <c r="B2262" s="29" t="s">
        <v>1158</v>
      </c>
      <c r="C2262" s="30" t="s">
        <v>1159</v>
      </c>
      <c r="D2262" s="31" t="s">
        <v>1160</v>
      </c>
      <c r="E2262" s="51">
        <v>605</v>
      </c>
      <c r="F2262" s="32" t="s">
        <v>15</v>
      </c>
      <c r="G2262" s="32">
        <v>0</v>
      </c>
      <c r="H2262" s="14"/>
      <c r="I2262" s="11">
        <f>Table1[[#This Row],[Qty]]*Table1[[#This Row],[Price]]</f>
        <v>0</v>
      </c>
    </row>
    <row r="2263" spans="1:9" x14ac:dyDescent="0.25">
      <c r="A2263" s="48">
        <v>3700559616178</v>
      </c>
      <c r="B2263" s="41" t="s">
        <v>1189</v>
      </c>
      <c r="C2263" s="6" t="s">
        <v>1159</v>
      </c>
      <c r="D2263" t="s">
        <v>1190</v>
      </c>
      <c r="E2263" s="47">
        <v>104</v>
      </c>
      <c r="F2263" s="6" t="s">
        <v>15</v>
      </c>
      <c r="G2263" s="6" t="s">
        <v>6160</v>
      </c>
      <c r="H2263" s="22"/>
      <c r="I2263" s="11">
        <f>Table1[[#This Row],[Qty]]*Table1[[#This Row],[Price]]</f>
        <v>0</v>
      </c>
    </row>
    <row r="2264" spans="1:9" x14ac:dyDescent="0.25">
      <c r="A2264" s="28">
        <v>3605521932105</v>
      </c>
      <c r="B2264" s="29" t="s">
        <v>1256</v>
      </c>
      <c r="C2264" s="30" t="s">
        <v>1257</v>
      </c>
      <c r="D2264" s="31" t="s">
        <v>1258</v>
      </c>
      <c r="E2264" s="51">
        <v>67.84</v>
      </c>
      <c r="F2264" s="32" t="s">
        <v>15</v>
      </c>
      <c r="G2264" s="32">
        <v>0</v>
      </c>
      <c r="H2264" s="12"/>
      <c r="I2264" s="11">
        <f>Table1[[#This Row],[Qty]]*Table1[[#This Row],[Price]]</f>
        <v>0</v>
      </c>
    </row>
    <row r="2265" spans="1:9" x14ac:dyDescent="0.25">
      <c r="A2265" s="28">
        <v>3614273074186</v>
      </c>
      <c r="B2265" s="29" t="s">
        <v>2740</v>
      </c>
      <c r="C2265" s="30" t="s">
        <v>1257</v>
      </c>
      <c r="D2265" s="31" t="s">
        <v>2741</v>
      </c>
      <c r="E2265" s="51">
        <v>65.72</v>
      </c>
      <c r="F2265" s="32" t="s">
        <v>15</v>
      </c>
      <c r="G2265" s="32" t="s">
        <v>6595</v>
      </c>
      <c r="H2265" s="12"/>
      <c r="I2265" s="11">
        <f>Table1[[#This Row],[Qty]]*Table1[[#This Row],[Price]]</f>
        <v>0</v>
      </c>
    </row>
    <row r="2266" spans="1:9" x14ac:dyDescent="0.25">
      <c r="A2266" s="28">
        <v>3614273612678</v>
      </c>
      <c r="B2266" s="29" t="s">
        <v>2742</v>
      </c>
      <c r="C2266" s="30" t="s">
        <v>1257</v>
      </c>
      <c r="D2266" s="31" t="s">
        <v>2743</v>
      </c>
      <c r="E2266" s="51">
        <v>68.900000000000006</v>
      </c>
      <c r="F2266" s="32" t="s">
        <v>15</v>
      </c>
      <c r="G2266" s="32" t="s">
        <v>6596</v>
      </c>
      <c r="H2266" s="12"/>
      <c r="I2266" s="11">
        <f>Table1[[#This Row],[Qty]]*Table1[[#This Row],[Price]]</f>
        <v>0</v>
      </c>
    </row>
    <row r="2267" spans="1:9" x14ac:dyDescent="0.25">
      <c r="A2267" s="28">
        <v>3614272661264</v>
      </c>
      <c r="B2267" s="29" t="s">
        <v>3872</v>
      </c>
      <c r="C2267" s="30" t="s">
        <v>1257</v>
      </c>
      <c r="D2267" s="31" t="s">
        <v>3873</v>
      </c>
      <c r="E2267" s="51">
        <v>65</v>
      </c>
      <c r="F2267" s="32" t="s">
        <v>15</v>
      </c>
      <c r="G2267" s="32" t="s">
        <v>7106</v>
      </c>
      <c r="H2267" s="14"/>
      <c r="I2267" s="11">
        <f>Table1[[#This Row],[Qty]]*Table1[[#This Row],[Price]]</f>
        <v>0</v>
      </c>
    </row>
    <row r="2268" spans="1:9" x14ac:dyDescent="0.25">
      <c r="A2268" s="28">
        <v>3760265194032</v>
      </c>
      <c r="B2268" s="29" t="s">
        <v>290</v>
      </c>
      <c r="C2268" s="30" t="s">
        <v>291</v>
      </c>
      <c r="D2268" s="31" t="s">
        <v>292</v>
      </c>
      <c r="E2268" s="51">
        <v>68.7</v>
      </c>
      <c r="F2268" s="32" t="s">
        <v>15</v>
      </c>
      <c r="G2268" s="32" t="s">
        <v>5722</v>
      </c>
      <c r="H2268" s="14"/>
      <c r="I2268" s="11">
        <f>Table1[[#This Row],[Qty]]*Table1[[#This Row],[Price]]</f>
        <v>0</v>
      </c>
    </row>
    <row r="2269" spans="1:9" x14ac:dyDescent="0.25">
      <c r="A2269" s="28">
        <v>3760265190881</v>
      </c>
      <c r="B2269" s="29" t="s">
        <v>3696</v>
      </c>
      <c r="C2269" s="30" t="s">
        <v>291</v>
      </c>
      <c r="D2269" s="31" t="s">
        <v>3697</v>
      </c>
      <c r="E2269" s="51">
        <v>54</v>
      </c>
      <c r="F2269" s="32" t="s">
        <v>15</v>
      </c>
      <c r="G2269" s="32" t="s">
        <v>7020</v>
      </c>
      <c r="H2269" s="12"/>
      <c r="I2269" s="11">
        <f>Table1[[#This Row],[Qty]]*Table1[[#This Row],[Price]]</f>
        <v>0</v>
      </c>
    </row>
    <row r="2270" spans="1:9" x14ac:dyDescent="0.25">
      <c r="A2270" s="28">
        <v>3760265191826</v>
      </c>
      <c r="B2270" s="29" t="s">
        <v>3708</v>
      </c>
      <c r="C2270" s="33" t="s">
        <v>291</v>
      </c>
      <c r="D2270" s="31" t="s">
        <v>3709</v>
      </c>
      <c r="E2270" s="51">
        <v>50.5</v>
      </c>
      <c r="F2270" s="32" t="s">
        <v>15</v>
      </c>
      <c r="G2270" s="32" t="s">
        <v>7026</v>
      </c>
      <c r="H2270" s="22"/>
      <c r="I2270" s="11">
        <f>Table1[[#This Row],[Qty]]*Table1[[#This Row],[Price]]</f>
        <v>0</v>
      </c>
    </row>
    <row r="2271" spans="1:9" x14ac:dyDescent="0.25">
      <c r="A2271" s="28">
        <v>3760265190805</v>
      </c>
      <c r="B2271" s="29" t="s">
        <v>4912</v>
      </c>
      <c r="C2271" s="30" t="s">
        <v>291</v>
      </c>
      <c r="D2271" s="31" t="s">
        <v>4913</v>
      </c>
      <c r="E2271" s="51">
        <v>73.67</v>
      </c>
      <c r="F2271" s="32" t="s">
        <v>15</v>
      </c>
      <c r="G2271" s="32">
        <v>0</v>
      </c>
      <c r="H2271" s="22"/>
      <c r="I2271" s="11">
        <f>Table1[[#This Row],[Qty]]*Table1[[#This Row],[Price]]</f>
        <v>0</v>
      </c>
    </row>
    <row r="2272" spans="1:9" x14ac:dyDescent="0.25">
      <c r="A2272" s="28">
        <v>3760265192113</v>
      </c>
      <c r="B2272" s="29" t="s">
        <v>5231</v>
      </c>
      <c r="C2272" s="30" t="s">
        <v>291</v>
      </c>
      <c r="D2272" s="31" t="s">
        <v>5232</v>
      </c>
      <c r="E2272" s="51">
        <v>66.25</v>
      </c>
      <c r="F2272" s="32" t="s">
        <v>15</v>
      </c>
      <c r="G2272" s="32">
        <v>0</v>
      </c>
      <c r="H2272" s="22"/>
      <c r="I2272" s="11">
        <f>Table1[[#This Row],[Qty]]*Table1[[#This Row],[Price]]</f>
        <v>0</v>
      </c>
    </row>
    <row r="2273" spans="1:9" x14ac:dyDescent="0.25">
      <c r="A2273" s="28">
        <v>3760265190522</v>
      </c>
      <c r="B2273" s="29" t="s">
        <v>4904</v>
      </c>
      <c r="C2273" s="30" t="s">
        <v>291</v>
      </c>
      <c r="D2273" s="31" t="s">
        <v>4905</v>
      </c>
      <c r="E2273" s="51">
        <v>63.07</v>
      </c>
      <c r="F2273" s="32" t="s">
        <v>15</v>
      </c>
      <c r="G2273" s="32">
        <v>0</v>
      </c>
      <c r="H2273" s="22"/>
      <c r="I2273" s="11">
        <f>Table1[[#This Row],[Qty]]*Table1[[#This Row],[Price]]</f>
        <v>0</v>
      </c>
    </row>
    <row r="2274" spans="1:9" x14ac:dyDescent="0.25">
      <c r="A2274" s="28">
        <v>3760265190362</v>
      </c>
      <c r="B2274" s="29" t="s">
        <v>4900</v>
      </c>
      <c r="C2274" s="30" t="s">
        <v>291</v>
      </c>
      <c r="D2274" s="31" t="s">
        <v>4901</v>
      </c>
      <c r="E2274" s="51">
        <v>48.18</v>
      </c>
      <c r="F2274" s="32" t="s">
        <v>15</v>
      </c>
      <c r="G2274" s="32">
        <v>0</v>
      </c>
      <c r="H2274" s="12"/>
      <c r="I2274" s="11">
        <f>Table1[[#This Row],[Qty]]*Table1[[#This Row],[Price]]</f>
        <v>0</v>
      </c>
    </row>
    <row r="2275" spans="1:9" x14ac:dyDescent="0.25">
      <c r="A2275" s="28">
        <v>3614227086227</v>
      </c>
      <c r="B2275" s="29" t="s">
        <v>2314</v>
      </c>
      <c r="C2275" s="30" t="s">
        <v>2315</v>
      </c>
      <c r="D2275" s="31" t="s">
        <v>2316</v>
      </c>
      <c r="E2275" s="51">
        <v>55.01</v>
      </c>
      <c r="F2275" s="32" t="s">
        <v>15</v>
      </c>
      <c r="G2275" s="32" t="s">
        <v>6410</v>
      </c>
      <c r="H2275" s="22"/>
      <c r="I2275" s="11">
        <f>Table1[[#This Row],[Qty]]*Table1[[#This Row],[Price]]</f>
        <v>0</v>
      </c>
    </row>
    <row r="2276" spans="1:9" x14ac:dyDescent="0.25">
      <c r="A2276" s="28">
        <v>3616303461881</v>
      </c>
      <c r="B2276" s="29" t="s">
        <v>2350</v>
      </c>
      <c r="C2276" s="30" t="s">
        <v>2315</v>
      </c>
      <c r="D2276" s="31" t="s">
        <v>2351</v>
      </c>
      <c r="E2276" s="51">
        <v>46.25</v>
      </c>
      <c r="F2276" s="32" t="s">
        <v>15</v>
      </c>
      <c r="G2276" s="32" t="s">
        <v>6422</v>
      </c>
      <c r="H2276" s="12"/>
      <c r="I2276" s="11">
        <f>Table1[[#This Row],[Qty]]*Table1[[#This Row],[Price]]</f>
        <v>0</v>
      </c>
    </row>
    <row r="2277" spans="1:9" x14ac:dyDescent="0.25">
      <c r="A2277" s="28">
        <v>3607349764241</v>
      </c>
      <c r="B2277" s="29" t="s">
        <v>2736</v>
      </c>
      <c r="C2277" s="30" t="s">
        <v>2315</v>
      </c>
      <c r="D2277" s="31" t="s">
        <v>2737</v>
      </c>
      <c r="E2277" s="51">
        <v>38</v>
      </c>
      <c r="F2277" s="32" t="s">
        <v>15</v>
      </c>
      <c r="G2277" s="32" t="s">
        <v>6593</v>
      </c>
      <c r="H2277" s="22"/>
      <c r="I2277" s="11">
        <f>Table1[[#This Row],[Qty]]*Table1[[#This Row],[Price]]</f>
        <v>0</v>
      </c>
    </row>
    <row r="2278" spans="1:9" x14ac:dyDescent="0.25">
      <c r="A2278" s="28">
        <v>3616302779994</v>
      </c>
      <c r="B2278" s="29" t="s">
        <v>4573</v>
      </c>
      <c r="C2278" s="30" t="s">
        <v>2315</v>
      </c>
      <c r="D2278" s="31" t="s">
        <v>4574</v>
      </c>
      <c r="E2278" s="51">
        <v>71.55</v>
      </c>
      <c r="F2278" s="32" t="s">
        <v>15</v>
      </c>
      <c r="G2278" s="32">
        <v>0</v>
      </c>
      <c r="H2278" s="12"/>
      <c r="I2278" s="11">
        <f>Table1[[#This Row],[Qty]]*Table1[[#This Row],[Price]]</f>
        <v>0</v>
      </c>
    </row>
    <row r="2279" spans="1:9" x14ac:dyDescent="0.25">
      <c r="A2279" s="28">
        <v>3616302780037</v>
      </c>
      <c r="B2279" s="29" t="s">
        <v>5219</v>
      </c>
      <c r="C2279" s="30" t="s">
        <v>2315</v>
      </c>
      <c r="D2279" s="31" t="s">
        <v>5220</v>
      </c>
      <c r="E2279" s="51">
        <v>46.11</v>
      </c>
      <c r="F2279" s="32" t="s">
        <v>15</v>
      </c>
      <c r="G2279" s="32">
        <v>0</v>
      </c>
      <c r="H2279" s="22"/>
      <c r="I2279" s="11">
        <f>Table1[[#This Row],[Qty]]*Table1[[#This Row],[Price]]</f>
        <v>0</v>
      </c>
    </row>
    <row r="2280" spans="1:9" x14ac:dyDescent="0.25">
      <c r="A2280" s="28">
        <v>3614225452079</v>
      </c>
      <c r="B2280" s="29" t="s">
        <v>4892</v>
      </c>
      <c r="C2280" s="30" t="s">
        <v>2315</v>
      </c>
      <c r="D2280" s="31" t="s">
        <v>4893</v>
      </c>
      <c r="E2280" s="51">
        <v>38</v>
      </c>
      <c r="F2280" s="32" t="s">
        <v>15</v>
      </c>
      <c r="G2280" s="32">
        <v>0</v>
      </c>
      <c r="H2280" s="22"/>
      <c r="I2280" s="11">
        <f>Table1[[#This Row],[Qty]]*Table1[[#This Row],[Price]]</f>
        <v>0</v>
      </c>
    </row>
    <row r="2281" spans="1:9" x14ac:dyDescent="0.25">
      <c r="A2281" s="28">
        <v>3607349389062</v>
      </c>
      <c r="B2281" s="29" t="s">
        <v>5449</v>
      </c>
      <c r="C2281" s="30" t="s">
        <v>2315</v>
      </c>
      <c r="D2281" s="31" t="s">
        <v>5450</v>
      </c>
      <c r="E2281" s="51">
        <v>24.5</v>
      </c>
      <c r="F2281" s="32" t="s">
        <v>15</v>
      </c>
      <c r="G2281" s="32">
        <v>0</v>
      </c>
      <c r="H2281" s="14"/>
      <c r="I2281" s="11">
        <f>Table1[[#This Row],[Qty]]*Table1[[#This Row],[Price]]</f>
        <v>0</v>
      </c>
    </row>
    <row r="2282" spans="1:9" x14ac:dyDescent="0.25">
      <c r="A2282" s="28">
        <v>3607342221208</v>
      </c>
      <c r="B2282" s="29" t="s">
        <v>5388</v>
      </c>
      <c r="C2282" s="30" t="s">
        <v>2315</v>
      </c>
      <c r="D2282" s="31" t="s">
        <v>5389</v>
      </c>
      <c r="E2282" s="51">
        <v>8.1</v>
      </c>
      <c r="F2282" s="32" t="s">
        <v>15</v>
      </c>
      <c r="G2282" s="32" t="s">
        <v>7433</v>
      </c>
      <c r="H2282" s="12"/>
      <c r="I2282" s="11">
        <f>Table1[[#This Row],[Qty]]*Table1[[#This Row],[Price]]</f>
        <v>0</v>
      </c>
    </row>
    <row r="2283" spans="1:9" x14ac:dyDescent="0.25">
      <c r="A2283" s="28">
        <v>850050062851</v>
      </c>
      <c r="B2283" s="29" t="s">
        <v>7511</v>
      </c>
      <c r="C2283" s="33" t="s">
        <v>3419</v>
      </c>
      <c r="D2283" s="31" t="s">
        <v>7512</v>
      </c>
      <c r="E2283" s="51">
        <v>16.8</v>
      </c>
      <c r="F2283" s="32" t="s">
        <v>15</v>
      </c>
      <c r="G2283" s="32" t="s">
        <v>7513</v>
      </c>
      <c r="H2283" s="22"/>
      <c r="I2283" s="11">
        <f>Table1[[#This Row],[Qty]]*Table1[[#This Row],[Price]]</f>
        <v>0</v>
      </c>
    </row>
    <row r="2284" spans="1:9" x14ac:dyDescent="0.25">
      <c r="A2284" s="28">
        <v>3595471071125</v>
      </c>
      <c r="B2284" s="29" t="s">
        <v>1526</v>
      </c>
      <c r="C2284" s="30" t="s">
        <v>1527</v>
      </c>
      <c r="D2284" s="31" t="s">
        <v>1528</v>
      </c>
      <c r="E2284" s="51">
        <v>32.25</v>
      </c>
      <c r="F2284" s="32" t="s">
        <v>15</v>
      </c>
      <c r="G2284" s="32">
        <v>0</v>
      </c>
      <c r="H2284" s="12"/>
      <c r="I2284" s="11">
        <f>Table1[[#This Row],[Qty]]*Table1[[#This Row],[Price]]</f>
        <v>0</v>
      </c>
    </row>
    <row r="2285" spans="1:9" x14ac:dyDescent="0.25">
      <c r="A2285" s="48">
        <v>3595471041197</v>
      </c>
      <c r="B2285" s="41" t="s">
        <v>2300</v>
      </c>
      <c r="C2285" s="6" t="s">
        <v>1527</v>
      </c>
      <c r="D2285" t="s">
        <v>2301</v>
      </c>
      <c r="E2285" s="52">
        <v>32</v>
      </c>
      <c r="F2285" s="49" t="s">
        <v>15</v>
      </c>
      <c r="G2285" s="49" t="s">
        <v>6406</v>
      </c>
      <c r="H2285" s="22"/>
      <c r="I2285" s="11">
        <f>Table1[[#This Row],[Qty]]*Table1[[#This Row],[Price]]</f>
        <v>0</v>
      </c>
    </row>
    <row r="2286" spans="1:9" x14ac:dyDescent="0.25">
      <c r="A2286" s="28">
        <v>3595471041012</v>
      </c>
      <c r="B2286" s="29" t="s">
        <v>2746</v>
      </c>
      <c r="C2286" s="30" t="s">
        <v>1527</v>
      </c>
      <c r="D2286" s="31" t="s">
        <v>2747</v>
      </c>
      <c r="E2286" s="51">
        <v>26.5</v>
      </c>
      <c r="F2286" s="32" t="s">
        <v>15</v>
      </c>
      <c r="G2286" s="32" t="s">
        <v>6597</v>
      </c>
      <c r="H2286" s="22"/>
      <c r="I2286" s="11">
        <f>Table1[[#This Row],[Qty]]*Table1[[#This Row],[Price]]</f>
        <v>0</v>
      </c>
    </row>
    <row r="2287" spans="1:9" x14ac:dyDescent="0.25">
      <c r="A2287" s="28">
        <v>3595471061010</v>
      </c>
      <c r="B2287" s="29" t="s">
        <v>2748</v>
      </c>
      <c r="C2287" s="30" t="s">
        <v>1527</v>
      </c>
      <c r="D2287" s="31" t="s">
        <v>2749</v>
      </c>
      <c r="E2287" s="51">
        <v>28</v>
      </c>
      <c r="F2287" s="32" t="s">
        <v>15</v>
      </c>
      <c r="G2287" s="32" t="s">
        <v>6598</v>
      </c>
      <c r="H2287" s="22"/>
      <c r="I2287" s="11">
        <f>Table1[[#This Row],[Qty]]*Table1[[#This Row],[Price]]</f>
        <v>0</v>
      </c>
    </row>
    <row r="2288" spans="1:9" x14ac:dyDescent="0.25">
      <c r="A2288" s="28">
        <v>3595471061096</v>
      </c>
      <c r="B2288" s="29" t="s">
        <v>2750</v>
      </c>
      <c r="C2288" s="30" t="s">
        <v>1527</v>
      </c>
      <c r="D2288" s="31" t="s">
        <v>2751</v>
      </c>
      <c r="E2288" s="51">
        <v>33</v>
      </c>
      <c r="F2288" s="32" t="s">
        <v>15</v>
      </c>
      <c r="G2288" s="32" t="s">
        <v>6599</v>
      </c>
      <c r="H2288" s="12"/>
      <c r="I2288" s="11">
        <f>Table1[[#This Row],[Qty]]*Table1[[#This Row],[Price]]</f>
        <v>0</v>
      </c>
    </row>
    <row r="2289" spans="1:9" x14ac:dyDescent="0.25">
      <c r="A2289" s="28">
        <v>3595471081032</v>
      </c>
      <c r="B2289" s="29" t="s">
        <v>3702</v>
      </c>
      <c r="C2289" s="30" t="s">
        <v>1527</v>
      </c>
      <c r="D2289" s="31" t="s">
        <v>3703</v>
      </c>
      <c r="E2289" s="51">
        <v>32</v>
      </c>
      <c r="F2289" s="32" t="s">
        <v>15</v>
      </c>
      <c r="G2289" s="32" t="s">
        <v>7023</v>
      </c>
      <c r="H2289" s="22"/>
      <c r="I2289" s="11">
        <f>Table1[[#This Row],[Qty]]*Table1[[#This Row],[Price]]</f>
        <v>0</v>
      </c>
    </row>
    <row r="2290" spans="1:9" x14ac:dyDescent="0.25">
      <c r="A2290" s="28">
        <v>3595472061262</v>
      </c>
      <c r="B2290" s="29" t="s">
        <v>3718</v>
      </c>
      <c r="C2290" s="33" t="s">
        <v>1527</v>
      </c>
      <c r="D2290" s="31" t="s">
        <v>3719</v>
      </c>
      <c r="E2290" s="51">
        <v>27.25</v>
      </c>
      <c r="F2290" s="32" t="s">
        <v>15</v>
      </c>
      <c r="G2290" s="32" t="s">
        <v>7031</v>
      </c>
      <c r="H2290" s="22"/>
      <c r="I2290" s="11">
        <f>Table1[[#This Row],[Qty]]*Table1[[#This Row],[Price]]</f>
        <v>0</v>
      </c>
    </row>
    <row r="2291" spans="1:9" x14ac:dyDescent="0.25">
      <c r="A2291" s="28">
        <v>3595471111012</v>
      </c>
      <c r="B2291" s="29" t="s">
        <v>3720</v>
      </c>
      <c r="C2291" s="30" t="s">
        <v>1527</v>
      </c>
      <c r="D2291" s="31" t="s">
        <v>3721</v>
      </c>
      <c r="E2291" s="51">
        <v>29.5</v>
      </c>
      <c r="F2291" s="32" t="s">
        <v>15</v>
      </c>
      <c r="G2291" s="32" t="s">
        <v>7032</v>
      </c>
      <c r="H2291" s="12"/>
      <c r="I2291" s="11">
        <f>Table1[[#This Row],[Qty]]*Table1[[#This Row],[Price]]</f>
        <v>0</v>
      </c>
    </row>
    <row r="2292" spans="1:9" x14ac:dyDescent="0.25">
      <c r="A2292" s="28">
        <v>3595471085023</v>
      </c>
      <c r="B2292" s="29" t="s">
        <v>4198</v>
      </c>
      <c r="C2292" s="30" t="s">
        <v>1527</v>
      </c>
      <c r="D2292" s="31" t="s">
        <v>4199</v>
      </c>
      <c r="E2292" s="51">
        <v>18.5</v>
      </c>
      <c r="F2292" s="32" t="s">
        <v>15</v>
      </c>
      <c r="G2292" s="32" t="s">
        <v>7239</v>
      </c>
      <c r="H2292" s="12"/>
      <c r="I2292" s="11">
        <f>Table1[[#This Row],[Qty]]*Table1[[#This Row],[Price]]</f>
        <v>0</v>
      </c>
    </row>
    <row r="2293" spans="1:9" x14ac:dyDescent="0.25">
      <c r="A2293" s="28">
        <v>3595471024824</v>
      </c>
      <c r="B2293" s="29" t="s">
        <v>4531</v>
      </c>
      <c r="C2293" s="30" t="s">
        <v>1527</v>
      </c>
      <c r="D2293" s="31" t="s">
        <v>4532</v>
      </c>
      <c r="E2293" s="51">
        <v>32</v>
      </c>
      <c r="F2293" s="32" t="s">
        <v>15</v>
      </c>
      <c r="G2293" s="32">
        <v>0</v>
      </c>
      <c r="H2293" s="12"/>
      <c r="I2293" s="11">
        <f>Table1[[#This Row],[Qty]]*Table1[[#This Row],[Price]]</f>
        <v>0</v>
      </c>
    </row>
    <row r="2294" spans="1:9" x14ac:dyDescent="0.25">
      <c r="A2294" s="28">
        <v>3595471024787</v>
      </c>
      <c r="B2294" s="29" t="s">
        <v>4527</v>
      </c>
      <c r="C2294" s="30" t="s">
        <v>1527</v>
      </c>
      <c r="D2294" s="31" t="s">
        <v>4528</v>
      </c>
      <c r="E2294" s="51">
        <v>31.5</v>
      </c>
      <c r="F2294" s="32" t="s">
        <v>15</v>
      </c>
      <c r="G2294" s="32">
        <v>0</v>
      </c>
      <c r="H2294" s="22"/>
      <c r="I2294" s="11">
        <f>Table1[[#This Row],[Qty]]*Table1[[#This Row],[Price]]</f>
        <v>0</v>
      </c>
    </row>
    <row r="2295" spans="1:9" x14ac:dyDescent="0.25">
      <c r="A2295" s="28">
        <v>3595471081018</v>
      </c>
      <c r="B2295" s="29" t="s">
        <v>5174</v>
      </c>
      <c r="C2295" s="30" t="s">
        <v>1527</v>
      </c>
      <c r="D2295" s="31" t="s">
        <v>5175</v>
      </c>
      <c r="E2295" s="51">
        <v>27</v>
      </c>
      <c r="F2295" s="32" t="s">
        <v>15</v>
      </c>
      <c r="G2295" s="32">
        <v>0</v>
      </c>
      <c r="H2295" s="22"/>
      <c r="I2295" s="11">
        <f>Table1[[#This Row],[Qty]]*Table1[[#This Row],[Price]]</f>
        <v>0</v>
      </c>
    </row>
    <row r="2296" spans="1:9" x14ac:dyDescent="0.25">
      <c r="A2296" s="28">
        <v>3595471091031</v>
      </c>
      <c r="B2296" s="29" t="s">
        <v>5153</v>
      </c>
      <c r="C2296" s="30" t="s">
        <v>1527</v>
      </c>
      <c r="D2296" s="31" t="s">
        <v>5154</v>
      </c>
      <c r="E2296" s="51">
        <v>24.45</v>
      </c>
      <c r="F2296" s="32" t="s">
        <v>15</v>
      </c>
      <c r="G2296" s="32">
        <v>0</v>
      </c>
      <c r="H2296" s="22"/>
      <c r="I2296" s="11">
        <f>Table1[[#This Row],[Qty]]*Table1[[#This Row],[Price]]</f>
        <v>0</v>
      </c>
    </row>
    <row r="2297" spans="1:9" x14ac:dyDescent="0.25">
      <c r="A2297" s="28">
        <v>3595471024749</v>
      </c>
      <c r="B2297" s="29" t="s">
        <v>5111</v>
      </c>
      <c r="C2297" s="30" t="s">
        <v>1527</v>
      </c>
      <c r="D2297" s="31" t="s">
        <v>5112</v>
      </c>
      <c r="E2297" s="51">
        <v>22</v>
      </c>
      <c r="F2297" s="32" t="s">
        <v>15</v>
      </c>
      <c r="G2297" s="32">
        <v>0</v>
      </c>
      <c r="H2297" s="12"/>
      <c r="I2297" s="11">
        <f>Table1[[#This Row],[Qty]]*Table1[[#This Row],[Price]]</f>
        <v>0</v>
      </c>
    </row>
    <row r="2298" spans="1:9" x14ac:dyDescent="0.25">
      <c r="A2298" s="28">
        <v>3595471061171</v>
      </c>
      <c r="B2298" s="29" t="s">
        <v>5328</v>
      </c>
      <c r="C2298" s="30" t="s">
        <v>1527</v>
      </c>
      <c r="D2298" s="31" t="s">
        <v>5329</v>
      </c>
      <c r="E2298" s="51">
        <v>7</v>
      </c>
      <c r="F2298" s="32" t="s">
        <v>15</v>
      </c>
      <c r="G2298" s="32">
        <v>0</v>
      </c>
      <c r="H2298" s="22"/>
      <c r="I2298" s="11">
        <f>Table1[[#This Row],[Qty]]*Table1[[#This Row],[Price]]</f>
        <v>0</v>
      </c>
    </row>
    <row r="2299" spans="1:9" x14ac:dyDescent="0.25">
      <c r="A2299" s="28">
        <v>22548366455</v>
      </c>
      <c r="B2299" s="29" t="s">
        <v>1792</v>
      </c>
      <c r="C2299" s="30" t="s">
        <v>1793</v>
      </c>
      <c r="D2299" s="31" t="s">
        <v>1794</v>
      </c>
      <c r="E2299" s="51">
        <v>20.170000000000002</v>
      </c>
      <c r="F2299" s="32" t="s">
        <v>15</v>
      </c>
      <c r="G2299" s="32">
        <v>0</v>
      </c>
      <c r="H2299" s="12"/>
      <c r="I2299" s="11">
        <f>Table1[[#This Row],[Qty]]*Table1[[#This Row],[Price]]</f>
        <v>0</v>
      </c>
    </row>
    <row r="2300" spans="1:9" x14ac:dyDescent="0.25">
      <c r="A2300" s="28">
        <v>22548366448</v>
      </c>
      <c r="B2300" s="29" t="s">
        <v>2352</v>
      </c>
      <c r="C2300" s="30" t="s">
        <v>1793</v>
      </c>
      <c r="D2300" s="31" t="s">
        <v>2353</v>
      </c>
      <c r="E2300" s="51">
        <v>25.37</v>
      </c>
      <c r="F2300" s="32" t="s">
        <v>15</v>
      </c>
      <c r="G2300" s="32" t="s">
        <v>6423</v>
      </c>
      <c r="H2300" s="13"/>
      <c r="I2300" s="11">
        <f>Table1[[#This Row],[Qty]]*Table1[[#This Row],[Price]]</f>
        <v>0</v>
      </c>
    </row>
    <row r="2301" spans="1:9" x14ac:dyDescent="0.25">
      <c r="A2301" s="28">
        <v>22548289655</v>
      </c>
      <c r="B2301" s="29" t="s">
        <v>2738</v>
      </c>
      <c r="C2301" s="33" t="s">
        <v>1793</v>
      </c>
      <c r="D2301" s="31" t="s">
        <v>2739</v>
      </c>
      <c r="E2301" s="51">
        <v>29.5</v>
      </c>
      <c r="F2301" s="32" t="s">
        <v>15</v>
      </c>
      <c r="G2301" s="32" t="s">
        <v>6594</v>
      </c>
      <c r="H2301" s="22"/>
      <c r="I2301" s="11">
        <f>Table1[[#This Row],[Qty]]*Table1[[#This Row],[Price]]</f>
        <v>0</v>
      </c>
    </row>
    <row r="2302" spans="1:9" x14ac:dyDescent="0.25">
      <c r="A2302" s="28">
        <v>850049716444</v>
      </c>
      <c r="B2302" s="29" t="s">
        <v>5477</v>
      </c>
      <c r="C2302" s="30" t="s">
        <v>5478</v>
      </c>
      <c r="D2302" s="31" t="s">
        <v>5479</v>
      </c>
      <c r="E2302" s="51">
        <v>44</v>
      </c>
      <c r="F2302" s="32" t="s">
        <v>15</v>
      </c>
      <c r="G2302" s="32"/>
      <c r="H2302" s="12"/>
      <c r="I2302" s="11">
        <f>Table1[[#This Row],[Qty]]*Table1[[#This Row],[Price]]</f>
        <v>0</v>
      </c>
    </row>
    <row r="2303" spans="1:9" x14ac:dyDescent="0.25">
      <c r="A2303" s="28">
        <v>22548420010</v>
      </c>
      <c r="B2303" s="29" t="s">
        <v>4768</v>
      </c>
      <c r="C2303" s="30" t="s">
        <v>1793</v>
      </c>
      <c r="D2303" s="31" t="s">
        <v>4769</v>
      </c>
      <c r="E2303" s="51">
        <v>35</v>
      </c>
      <c r="F2303" s="32" t="s">
        <v>15</v>
      </c>
      <c r="G2303" s="32">
        <v>0</v>
      </c>
      <c r="H2303" s="22"/>
      <c r="I2303" s="11">
        <f>Table1[[#This Row],[Qty]]*Table1[[#This Row],[Price]]</f>
        <v>0</v>
      </c>
    </row>
    <row r="2304" spans="1:9" x14ac:dyDescent="0.25">
      <c r="A2304" s="28">
        <v>22548419953</v>
      </c>
      <c r="B2304" s="29" t="s">
        <v>5317</v>
      </c>
      <c r="C2304" s="30" t="s">
        <v>1793</v>
      </c>
      <c r="D2304" s="31" t="s">
        <v>5318</v>
      </c>
      <c r="E2304" s="51">
        <v>23.5</v>
      </c>
      <c r="F2304" s="32" t="s">
        <v>15</v>
      </c>
      <c r="G2304" s="32" t="s">
        <v>7404</v>
      </c>
      <c r="H2304" s="22"/>
      <c r="I2304" s="11">
        <f>Table1[[#This Row],[Qty]]*Table1[[#This Row],[Price]]</f>
        <v>0</v>
      </c>
    </row>
    <row r="2305" spans="1:9" x14ac:dyDescent="0.25">
      <c r="A2305" s="28">
        <v>22548419960</v>
      </c>
      <c r="B2305" s="29" t="s">
        <v>5305</v>
      </c>
      <c r="C2305" s="30" t="s">
        <v>1793</v>
      </c>
      <c r="D2305" s="31" t="s">
        <v>5306</v>
      </c>
      <c r="E2305" s="51">
        <v>21</v>
      </c>
      <c r="F2305" s="32" t="s">
        <v>15</v>
      </c>
      <c r="G2305" s="32">
        <v>0</v>
      </c>
      <c r="H2305" s="22"/>
      <c r="I2305" s="11">
        <f>Table1[[#This Row],[Qty]]*Table1[[#This Row],[Price]]</f>
        <v>0</v>
      </c>
    </row>
    <row r="2306" spans="1:9" x14ac:dyDescent="0.25">
      <c r="A2306" s="28">
        <v>22548296462</v>
      </c>
      <c r="B2306" s="29" t="s">
        <v>5309</v>
      </c>
      <c r="C2306" s="30" t="s">
        <v>1793</v>
      </c>
      <c r="D2306" s="31" t="s">
        <v>5310</v>
      </c>
      <c r="E2306" s="51">
        <v>20.5</v>
      </c>
      <c r="F2306" s="32" t="s">
        <v>15</v>
      </c>
      <c r="G2306" s="32">
        <v>0</v>
      </c>
      <c r="H2306" s="14"/>
      <c r="I2306" s="11">
        <f>Table1[[#This Row],[Qty]]*Table1[[#This Row],[Price]]</f>
        <v>0</v>
      </c>
    </row>
    <row r="2307" spans="1:9" x14ac:dyDescent="0.25">
      <c r="A2307" s="28">
        <v>6432452223890</v>
      </c>
      <c r="B2307" s="29" t="s">
        <v>1683</v>
      </c>
      <c r="C2307" s="33" t="s">
        <v>1684</v>
      </c>
      <c r="D2307" s="31" t="s">
        <v>1685</v>
      </c>
      <c r="E2307" s="51">
        <v>25</v>
      </c>
      <c r="F2307" s="32" t="s">
        <v>15</v>
      </c>
      <c r="G2307" s="32">
        <v>0</v>
      </c>
      <c r="H2307" s="22"/>
      <c r="I2307" s="11">
        <f>Table1[[#This Row],[Qty]]*Table1[[#This Row],[Price]]</f>
        <v>0</v>
      </c>
    </row>
    <row r="2308" spans="1:9" x14ac:dyDescent="0.25">
      <c r="A2308" s="28">
        <v>3386460154420</v>
      </c>
      <c r="B2308" s="29" t="s">
        <v>215</v>
      </c>
      <c r="C2308" s="30" t="s">
        <v>109</v>
      </c>
      <c r="D2308" s="31" t="s">
        <v>216</v>
      </c>
      <c r="E2308" s="51">
        <v>36.200000000000003</v>
      </c>
      <c r="F2308" s="32" t="s">
        <v>15</v>
      </c>
      <c r="G2308" s="32" t="s">
        <v>5689</v>
      </c>
      <c r="H2308" s="22"/>
      <c r="I2308" s="11">
        <f>Table1[[#This Row],[Qty]]*Table1[[#This Row],[Price]]</f>
        <v>0</v>
      </c>
    </row>
    <row r="2309" spans="1:9" x14ac:dyDescent="0.25">
      <c r="A2309" s="28">
        <v>3386460113588</v>
      </c>
      <c r="B2309" s="29" t="s">
        <v>873</v>
      </c>
      <c r="C2309" s="30" t="s">
        <v>109</v>
      </c>
      <c r="D2309" s="31" t="s">
        <v>874</v>
      </c>
      <c r="E2309" s="51">
        <v>33.58</v>
      </c>
      <c r="F2309" s="32" t="s">
        <v>15</v>
      </c>
      <c r="G2309" s="32" t="s">
        <v>6026</v>
      </c>
      <c r="H2309" s="12"/>
      <c r="I2309" s="11">
        <f>Table1[[#This Row],[Qty]]*Table1[[#This Row],[Price]]</f>
        <v>0</v>
      </c>
    </row>
    <row r="2310" spans="1:9" x14ac:dyDescent="0.25">
      <c r="A2310" s="28">
        <v>3386460083287</v>
      </c>
      <c r="B2310" s="29" t="s">
        <v>1475</v>
      </c>
      <c r="C2310" s="30" t="s">
        <v>109</v>
      </c>
      <c r="D2310" s="31" t="s">
        <v>1476</v>
      </c>
      <c r="E2310" s="51">
        <v>37.5</v>
      </c>
      <c r="F2310" s="32" t="s">
        <v>15</v>
      </c>
      <c r="G2310" s="32">
        <v>0</v>
      </c>
      <c r="H2310" s="22"/>
      <c r="I2310" s="11">
        <f>Table1[[#This Row],[Qty]]*Table1[[#This Row],[Price]]</f>
        <v>0</v>
      </c>
    </row>
    <row r="2311" spans="1:9" x14ac:dyDescent="0.25">
      <c r="A2311" s="28">
        <v>3386460132763</v>
      </c>
      <c r="B2311" s="29" t="s">
        <v>1569</v>
      </c>
      <c r="C2311" s="30" t="s">
        <v>109</v>
      </c>
      <c r="D2311" s="31" t="s">
        <v>1570</v>
      </c>
      <c r="E2311" s="51">
        <v>29.5</v>
      </c>
      <c r="F2311" s="32" t="s">
        <v>15</v>
      </c>
      <c r="G2311" s="32">
        <v>0</v>
      </c>
      <c r="H2311" s="22"/>
      <c r="I2311" s="11">
        <f>Table1[[#This Row],[Qty]]*Table1[[#This Row],[Price]]</f>
        <v>0</v>
      </c>
    </row>
    <row r="2312" spans="1:9" x14ac:dyDescent="0.25">
      <c r="A2312" s="48">
        <v>3386460121514</v>
      </c>
      <c r="B2312" s="41" t="s">
        <v>1631</v>
      </c>
      <c r="C2312" s="6" t="s">
        <v>109</v>
      </c>
      <c r="D2312" t="s">
        <v>1632</v>
      </c>
      <c r="E2312" s="52">
        <v>30.57</v>
      </c>
      <c r="F2312" s="49" t="s">
        <v>15</v>
      </c>
      <c r="G2312" s="49" t="s">
        <v>6262</v>
      </c>
      <c r="H2312" s="22"/>
      <c r="I2312" s="11">
        <f>Table1[[#This Row],[Qty]]*Table1[[#This Row],[Price]]</f>
        <v>0</v>
      </c>
    </row>
    <row r="2313" spans="1:9" x14ac:dyDescent="0.25">
      <c r="A2313" s="28">
        <v>3386460028356</v>
      </c>
      <c r="B2313" s="29" t="s">
        <v>1781</v>
      </c>
      <c r="C2313" s="30" t="s">
        <v>109</v>
      </c>
      <c r="D2313" s="31" t="s">
        <v>1782</v>
      </c>
      <c r="E2313" s="51">
        <v>20.67</v>
      </c>
      <c r="F2313" s="32" t="s">
        <v>15</v>
      </c>
      <c r="G2313" s="32">
        <v>0</v>
      </c>
      <c r="H2313" s="22"/>
      <c r="I2313" s="11">
        <f>Table1[[#This Row],[Qty]]*Table1[[#This Row],[Price]]</f>
        <v>0</v>
      </c>
    </row>
    <row r="2314" spans="1:9" x14ac:dyDescent="0.25">
      <c r="A2314" s="28">
        <v>3386460101097</v>
      </c>
      <c r="B2314" s="29" t="s">
        <v>2308</v>
      </c>
      <c r="C2314" s="30" t="s">
        <v>109</v>
      </c>
      <c r="D2314" s="31" t="s">
        <v>2309</v>
      </c>
      <c r="E2314" s="51">
        <v>7.25</v>
      </c>
      <c r="F2314" s="32" t="s">
        <v>15</v>
      </c>
      <c r="G2314" s="32" t="s">
        <v>6408</v>
      </c>
      <c r="H2314" s="22"/>
      <c r="I2314" s="11">
        <f>Table1[[#This Row],[Qty]]*Table1[[#This Row],[Price]]</f>
        <v>0</v>
      </c>
    </row>
    <row r="2315" spans="1:9" x14ac:dyDescent="0.25">
      <c r="A2315" s="28">
        <v>3386460066181</v>
      </c>
      <c r="B2315" s="29" t="s">
        <v>2731</v>
      </c>
      <c r="C2315" s="30" t="s">
        <v>109</v>
      </c>
      <c r="D2315" s="31" t="s">
        <v>2732</v>
      </c>
      <c r="E2315" s="51">
        <v>21.01</v>
      </c>
      <c r="F2315" s="32" t="s">
        <v>15</v>
      </c>
      <c r="G2315" s="32" t="s">
        <v>6591</v>
      </c>
      <c r="H2315" s="12"/>
      <c r="I2315" s="11">
        <f>Table1[[#This Row],[Qty]]*Table1[[#This Row],[Price]]</f>
        <v>0</v>
      </c>
    </row>
    <row r="2316" spans="1:9" x14ac:dyDescent="0.25">
      <c r="A2316" s="28">
        <v>3386460081931</v>
      </c>
      <c r="B2316" s="29" t="s">
        <v>3608</v>
      </c>
      <c r="C2316" s="30" t="s">
        <v>109</v>
      </c>
      <c r="D2316" s="31" t="s">
        <v>3609</v>
      </c>
      <c r="E2316" s="51">
        <v>23.5</v>
      </c>
      <c r="F2316" s="32" t="s">
        <v>15</v>
      </c>
      <c r="G2316" s="32" t="s">
        <v>6929</v>
      </c>
      <c r="H2316" s="12"/>
      <c r="I2316" s="11">
        <f>Table1[[#This Row],[Qty]]*Table1[[#This Row],[Price]]</f>
        <v>0</v>
      </c>
    </row>
    <row r="2317" spans="1:9" x14ac:dyDescent="0.25">
      <c r="A2317" s="28">
        <v>3386460028325</v>
      </c>
      <c r="B2317" s="29" t="s">
        <v>3828</v>
      </c>
      <c r="C2317" s="30" t="s">
        <v>109</v>
      </c>
      <c r="D2317" s="31" t="s">
        <v>3829</v>
      </c>
      <c r="E2317" s="51">
        <v>18.25</v>
      </c>
      <c r="F2317" s="32" t="s">
        <v>15</v>
      </c>
      <c r="G2317" s="32" t="s">
        <v>7085</v>
      </c>
      <c r="H2317" s="22"/>
      <c r="I2317" s="11">
        <f>Table1[[#This Row],[Qty]]*Table1[[#This Row],[Price]]</f>
        <v>0</v>
      </c>
    </row>
    <row r="2318" spans="1:9" x14ac:dyDescent="0.25">
      <c r="A2318" s="28">
        <v>3386460128391</v>
      </c>
      <c r="B2318" s="29" t="s">
        <v>4191</v>
      </c>
      <c r="C2318" s="30" t="s">
        <v>109</v>
      </c>
      <c r="D2318" s="31" t="s">
        <v>4192</v>
      </c>
      <c r="E2318" s="51">
        <v>16.5</v>
      </c>
      <c r="F2318" s="32" t="s">
        <v>15</v>
      </c>
      <c r="G2318" s="32" t="s">
        <v>7237</v>
      </c>
      <c r="H2318" s="22"/>
      <c r="I2318" s="11">
        <f>Table1[[#This Row],[Qty]]*Table1[[#This Row],[Price]]</f>
        <v>0</v>
      </c>
    </row>
    <row r="2319" spans="1:9" x14ac:dyDescent="0.25">
      <c r="A2319" s="28">
        <v>3760260457354</v>
      </c>
      <c r="B2319" s="29" t="s">
        <v>1261</v>
      </c>
      <c r="C2319" s="30" t="s">
        <v>1262</v>
      </c>
      <c r="D2319" s="31" t="s">
        <v>1263</v>
      </c>
      <c r="E2319" s="51">
        <v>73.67</v>
      </c>
      <c r="F2319" s="32" t="s">
        <v>15</v>
      </c>
      <c r="G2319" s="32">
        <v>0</v>
      </c>
      <c r="H2319" s="22"/>
      <c r="I2319" s="11">
        <f>Table1[[#This Row],[Qty]]*Table1[[#This Row],[Price]]</f>
        <v>0</v>
      </c>
    </row>
    <row r="2320" spans="1:9" x14ac:dyDescent="0.25">
      <c r="A2320" s="28">
        <v>3760260450065</v>
      </c>
      <c r="B2320" s="29" t="s">
        <v>1347</v>
      </c>
      <c r="C2320" s="30" t="s">
        <v>1262</v>
      </c>
      <c r="D2320" s="31" t="s">
        <v>1348</v>
      </c>
      <c r="E2320" s="51">
        <v>55.12</v>
      </c>
      <c r="F2320" s="32" t="s">
        <v>15</v>
      </c>
      <c r="G2320" s="32">
        <v>0</v>
      </c>
      <c r="H2320" s="12"/>
      <c r="I2320" s="11">
        <f>Table1[[#This Row],[Qty]]*Table1[[#This Row],[Price]]</f>
        <v>0</v>
      </c>
    </row>
    <row r="2321" spans="1:9" x14ac:dyDescent="0.25">
      <c r="A2321" s="28">
        <v>3760260455770</v>
      </c>
      <c r="B2321" s="29" t="s">
        <v>2744</v>
      </c>
      <c r="C2321" s="30" t="s">
        <v>1262</v>
      </c>
      <c r="D2321" s="31" t="s">
        <v>2745</v>
      </c>
      <c r="E2321" s="51">
        <v>50.35</v>
      </c>
      <c r="F2321" s="32" t="s">
        <v>15</v>
      </c>
      <c r="G2321" s="32">
        <v>0</v>
      </c>
      <c r="H2321" s="14"/>
      <c r="I2321" s="11">
        <f>Table1[[#This Row],[Qty]]*Table1[[#This Row],[Price]]</f>
        <v>0</v>
      </c>
    </row>
    <row r="2322" spans="1:9" x14ac:dyDescent="0.25">
      <c r="A2322" s="28">
        <v>3760260450935</v>
      </c>
      <c r="B2322" s="29" t="s">
        <v>4553</v>
      </c>
      <c r="C2322" s="30" t="s">
        <v>1262</v>
      </c>
      <c r="D2322" s="31" t="s">
        <v>4554</v>
      </c>
      <c r="E2322" s="51">
        <v>68.37</v>
      </c>
      <c r="F2322" s="32" t="s">
        <v>15</v>
      </c>
      <c r="G2322" s="32">
        <v>0</v>
      </c>
      <c r="H2322" s="12"/>
      <c r="I2322" s="11">
        <f>Table1[[#This Row],[Qty]]*Table1[[#This Row],[Price]]</f>
        <v>0</v>
      </c>
    </row>
    <row r="2323" spans="1:9" x14ac:dyDescent="0.25">
      <c r="A2323" s="28">
        <v>3760260454308</v>
      </c>
      <c r="B2323" s="29" t="s">
        <v>4560</v>
      </c>
      <c r="C2323" s="33" t="s">
        <v>1262</v>
      </c>
      <c r="D2323" s="31" t="s">
        <v>4561</v>
      </c>
      <c r="E2323" s="51">
        <v>68.37</v>
      </c>
      <c r="F2323" s="32" t="s">
        <v>15</v>
      </c>
      <c r="G2323" s="32">
        <v>0</v>
      </c>
      <c r="H2323" s="22"/>
      <c r="I2323" s="11">
        <f>Table1[[#This Row],[Qty]]*Table1[[#This Row],[Price]]</f>
        <v>0</v>
      </c>
    </row>
    <row r="2324" spans="1:9" x14ac:dyDescent="0.25">
      <c r="A2324" s="28">
        <v>3760260454445</v>
      </c>
      <c r="B2324" s="29" t="s">
        <v>4562</v>
      </c>
      <c r="C2324" s="30" t="s">
        <v>1262</v>
      </c>
      <c r="D2324" s="31" t="s">
        <v>4563</v>
      </c>
      <c r="E2324" s="51">
        <v>68.37</v>
      </c>
      <c r="F2324" s="32" t="s">
        <v>15</v>
      </c>
      <c r="G2324" s="32">
        <v>0</v>
      </c>
      <c r="H2324" s="12"/>
      <c r="I2324" s="11">
        <f>Table1[[#This Row],[Qty]]*Table1[[#This Row],[Price]]</f>
        <v>0</v>
      </c>
    </row>
    <row r="2325" spans="1:9" x14ac:dyDescent="0.25">
      <c r="A2325" s="28">
        <v>3760260452311</v>
      </c>
      <c r="B2325" s="29" t="s">
        <v>5482</v>
      </c>
      <c r="C2325" s="30" t="s">
        <v>1262</v>
      </c>
      <c r="D2325" s="31" t="s">
        <v>5483</v>
      </c>
      <c r="E2325" s="51">
        <v>68.37</v>
      </c>
      <c r="F2325" s="32" t="s">
        <v>15</v>
      </c>
      <c r="G2325" s="32">
        <v>0</v>
      </c>
      <c r="H2325" s="12"/>
      <c r="I2325" s="11">
        <f>Table1[[#This Row],[Qty]]*Table1[[#This Row],[Price]]</f>
        <v>0</v>
      </c>
    </row>
    <row r="2326" spans="1:9" x14ac:dyDescent="0.25">
      <c r="A2326" s="28">
        <v>3760260453707</v>
      </c>
      <c r="B2326" s="29" t="s">
        <v>4898</v>
      </c>
      <c r="C2326" s="33" t="s">
        <v>1262</v>
      </c>
      <c r="D2326" s="31" t="s">
        <v>4899</v>
      </c>
      <c r="E2326" s="51">
        <v>57.77</v>
      </c>
      <c r="F2326" s="32" t="s">
        <v>15</v>
      </c>
      <c r="G2326" s="32">
        <v>0</v>
      </c>
      <c r="H2326" s="22"/>
      <c r="I2326" s="11">
        <f>Table1[[#This Row],[Qty]]*Table1[[#This Row],[Price]]</f>
        <v>0</v>
      </c>
    </row>
    <row r="2327" spans="1:9" x14ac:dyDescent="0.25">
      <c r="A2327" s="28">
        <v>3760260450614</v>
      </c>
      <c r="B2327" s="29" t="s">
        <v>5223</v>
      </c>
      <c r="C2327" s="30" t="s">
        <v>1262</v>
      </c>
      <c r="D2327" s="31" t="s">
        <v>5224</v>
      </c>
      <c r="E2327" s="51">
        <v>55.12</v>
      </c>
      <c r="F2327" s="32" t="s">
        <v>15</v>
      </c>
      <c r="G2327" s="32">
        <v>0</v>
      </c>
      <c r="H2327" s="12"/>
      <c r="I2327" s="11">
        <f>Table1[[#This Row],[Qty]]*Table1[[#This Row],[Price]]</f>
        <v>0</v>
      </c>
    </row>
    <row r="2328" spans="1:9" x14ac:dyDescent="0.25">
      <c r="A2328" s="28">
        <v>8052675222234</v>
      </c>
      <c r="B2328" s="29" t="s">
        <v>5071</v>
      </c>
      <c r="C2328" s="30" t="s">
        <v>5035</v>
      </c>
      <c r="D2328" s="31" t="s">
        <v>5072</v>
      </c>
      <c r="E2328" s="51">
        <v>13.5</v>
      </c>
      <c r="F2328" s="32" t="s">
        <v>15</v>
      </c>
      <c r="G2328" s="32">
        <v>0</v>
      </c>
      <c r="H2328" s="14"/>
      <c r="I2328" s="11">
        <f>Table1[[#This Row],[Qty]]*Table1[[#This Row],[Price]]</f>
        <v>0</v>
      </c>
    </row>
    <row r="2329" spans="1:9" x14ac:dyDescent="0.25">
      <c r="A2329" s="28">
        <v>8052675222616</v>
      </c>
      <c r="B2329" s="29" t="s">
        <v>5034</v>
      </c>
      <c r="C2329" s="30" t="s">
        <v>5035</v>
      </c>
      <c r="D2329" s="31" t="s">
        <v>5036</v>
      </c>
      <c r="E2329" s="51">
        <v>11.5</v>
      </c>
      <c r="F2329" s="32" t="s">
        <v>15</v>
      </c>
      <c r="G2329" s="32">
        <v>0</v>
      </c>
      <c r="H2329" s="22"/>
      <c r="I2329" s="11">
        <f>Table1[[#This Row],[Qty]]*Table1[[#This Row],[Price]]</f>
        <v>0</v>
      </c>
    </row>
    <row r="2330" spans="1:9" x14ac:dyDescent="0.25">
      <c r="A2330" s="28">
        <v>8011003889433</v>
      </c>
      <c r="B2330" s="29" t="s">
        <v>190</v>
      </c>
      <c r="C2330" s="30" t="s">
        <v>57</v>
      </c>
      <c r="D2330" s="31" t="s">
        <v>191</v>
      </c>
      <c r="E2330" s="51">
        <v>44</v>
      </c>
      <c r="F2330" s="32" t="s">
        <v>15</v>
      </c>
      <c r="G2330" s="32" t="s">
        <v>5678</v>
      </c>
      <c r="H2330" s="22"/>
      <c r="I2330" s="11">
        <f>Table1[[#This Row],[Qty]]*Table1[[#This Row],[Price]]</f>
        <v>0</v>
      </c>
    </row>
    <row r="2331" spans="1:9" x14ac:dyDescent="0.25">
      <c r="A2331" s="28">
        <v>8011003878642</v>
      </c>
      <c r="B2331" s="29" t="s">
        <v>273</v>
      </c>
      <c r="C2331" s="30" t="s">
        <v>57</v>
      </c>
      <c r="D2331" s="31" t="s">
        <v>274</v>
      </c>
      <c r="E2331" s="51">
        <v>4</v>
      </c>
      <c r="F2331" s="32" t="s">
        <v>15</v>
      </c>
      <c r="G2331" s="32" t="s">
        <v>5715</v>
      </c>
      <c r="H2331" s="22"/>
      <c r="I2331" s="11">
        <f>Table1[[#This Row],[Qty]]*Table1[[#This Row],[Price]]</f>
        <v>0</v>
      </c>
    </row>
    <row r="2332" spans="1:9" x14ac:dyDescent="0.25">
      <c r="A2332" s="28">
        <v>8011003893836</v>
      </c>
      <c r="B2332" s="29" t="s">
        <v>1427</v>
      </c>
      <c r="C2332" s="30" t="s">
        <v>57</v>
      </c>
      <c r="D2332" s="31" t="s">
        <v>1428</v>
      </c>
      <c r="E2332" s="51">
        <v>45.05</v>
      </c>
      <c r="F2332" s="32" t="s">
        <v>15</v>
      </c>
      <c r="G2332" s="32">
        <v>0</v>
      </c>
      <c r="H2332" s="22"/>
      <c r="I2332" s="11">
        <f>Table1[[#This Row],[Qty]]*Table1[[#This Row],[Price]]</f>
        <v>0</v>
      </c>
    </row>
    <row r="2333" spans="1:9" x14ac:dyDescent="0.25">
      <c r="A2333" s="48">
        <v>8011003893850</v>
      </c>
      <c r="B2333" s="41" t="s">
        <v>1511</v>
      </c>
      <c r="C2333" s="6" t="s">
        <v>57</v>
      </c>
      <c r="D2333" t="s">
        <v>1512</v>
      </c>
      <c r="E2333" s="47">
        <v>35</v>
      </c>
      <c r="F2333" s="6" t="s">
        <v>15</v>
      </c>
      <c r="G2333" s="6">
        <v>0</v>
      </c>
      <c r="H2333" s="22"/>
      <c r="I2333" s="11">
        <f>Table1[[#This Row],[Qty]]*Table1[[#This Row],[Price]]</f>
        <v>0</v>
      </c>
    </row>
    <row r="2334" spans="1:9" x14ac:dyDescent="0.25">
      <c r="A2334" s="28">
        <v>8011003826711</v>
      </c>
      <c r="B2334" s="29" t="s">
        <v>1532</v>
      </c>
      <c r="C2334" s="30" t="s">
        <v>57</v>
      </c>
      <c r="D2334" s="31" t="s">
        <v>1533</v>
      </c>
      <c r="E2334" s="51">
        <v>32</v>
      </c>
      <c r="F2334" s="32" t="s">
        <v>15</v>
      </c>
      <c r="G2334" s="32">
        <v>0</v>
      </c>
      <c r="H2334" s="14"/>
      <c r="I2334" s="11">
        <f>Table1[[#This Row],[Qty]]*Table1[[#This Row],[Price]]</f>
        <v>0</v>
      </c>
    </row>
    <row r="2335" spans="1:9" x14ac:dyDescent="0.25">
      <c r="A2335" s="28">
        <v>8011003903337</v>
      </c>
      <c r="B2335" s="29" t="s">
        <v>3455</v>
      </c>
      <c r="C2335" s="30" t="s">
        <v>57</v>
      </c>
      <c r="D2335" s="31" t="s">
        <v>3456</v>
      </c>
      <c r="E2335" s="51">
        <v>43.23</v>
      </c>
      <c r="F2335" s="32" t="s">
        <v>15</v>
      </c>
      <c r="G2335" s="32" t="s">
        <v>6851</v>
      </c>
      <c r="H2335" s="22"/>
      <c r="I2335" s="11">
        <f>Table1[[#This Row],[Qty]]*Table1[[#This Row],[Price]]</f>
        <v>0</v>
      </c>
    </row>
    <row r="2336" spans="1:9" x14ac:dyDescent="0.25">
      <c r="A2336" s="28">
        <v>8011003909827</v>
      </c>
      <c r="B2336" s="29" t="s">
        <v>5601</v>
      </c>
      <c r="C2336" s="30" t="s">
        <v>57</v>
      </c>
      <c r="D2336" s="31" t="s">
        <v>5602</v>
      </c>
      <c r="E2336" s="51">
        <v>50.88</v>
      </c>
      <c r="F2336" s="32" t="s">
        <v>15</v>
      </c>
      <c r="G2336" s="32" t="s">
        <v>6995</v>
      </c>
      <c r="H2336" s="22"/>
      <c r="I2336" s="11">
        <f>Table1[[#This Row],[Qty]]*Table1[[#This Row],[Price]]</f>
        <v>0</v>
      </c>
    </row>
    <row r="2337" spans="1:9" x14ac:dyDescent="0.25">
      <c r="A2337" s="28">
        <v>8011003991457</v>
      </c>
      <c r="B2337" s="29" t="s">
        <v>3802</v>
      </c>
      <c r="C2337" s="30" t="s">
        <v>57</v>
      </c>
      <c r="D2337" s="31" t="s">
        <v>3803</v>
      </c>
      <c r="E2337" s="51">
        <v>24.25</v>
      </c>
      <c r="F2337" s="32" t="s">
        <v>15</v>
      </c>
      <c r="G2337" s="32" t="s">
        <v>7072</v>
      </c>
      <c r="H2337" s="12"/>
      <c r="I2337" s="11">
        <f>Table1[[#This Row],[Qty]]*Table1[[#This Row],[Price]]</f>
        <v>0</v>
      </c>
    </row>
    <row r="2338" spans="1:9" x14ac:dyDescent="0.25">
      <c r="A2338" s="28">
        <v>8011003991600</v>
      </c>
      <c r="B2338" s="29" t="s">
        <v>4252</v>
      </c>
      <c r="C2338" s="30" t="s">
        <v>57</v>
      </c>
      <c r="D2338" s="31" t="s">
        <v>4253</v>
      </c>
      <c r="E2338" s="51">
        <v>12.02</v>
      </c>
      <c r="F2338" s="32" t="s">
        <v>15</v>
      </c>
      <c r="G2338" s="32" t="s">
        <v>7260</v>
      </c>
      <c r="H2338" s="22"/>
      <c r="I2338" s="11">
        <f>Table1[[#This Row],[Qty]]*Table1[[#This Row],[Price]]</f>
        <v>0</v>
      </c>
    </row>
    <row r="2339" spans="1:9" x14ac:dyDescent="0.25">
      <c r="A2339" s="28">
        <v>8011003885671</v>
      </c>
      <c r="B2339" s="29" t="s">
        <v>4545</v>
      </c>
      <c r="C2339" s="30" t="s">
        <v>4546</v>
      </c>
      <c r="D2339" s="31" t="s">
        <v>4547</v>
      </c>
      <c r="E2339" s="51">
        <v>34</v>
      </c>
      <c r="F2339" s="32" t="s">
        <v>15</v>
      </c>
      <c r="G2339" s="32"/>
      <c r="H2339" s="22"/>
      <c r="I2339" s="11">
        <f>Table1[[#This Row],[Qty]]*Table1[[#This Row],[Price]]</f>
        <v>0</v>
      </c>
    </row>
    <row r="2340" spans="1:9" x14ac:dyDescent="0.25">
      <c r="A2340" s="28">
        <v>8011003991617</v>
      </c>
      <c r="B2340" s="29" t="s">
        <v>4859</v>
      </c>
      <c r="C2340" s="30" t="s">
        <v>57</v>
      </c>
      <c r="D2340" s="31" t="s">
        <v>4860</v>
      </c>
      <c r="E2340" s="51">
        <v>21.25</v>
      </c>
      <c r="F2340" s="32" t="s">
        <v>15</v>
      </c>
      <c r="G2340" s="32">
        <v>0</v>
      </c>
      <c r="H2340" s="12"/>
      <c r="I2340" s="11">
        <f>Table1[[#This Row],[Qty]]*Table1[[#This Row],[Price]]</f>
        <v>0</v>
      </c>
    </row>
    <row r="2341" spans="1:9" x14ac:dyDescent="0.25">
      <c r="A2341" s="28">
        <v>8011003864140</v>
      </c>
      <c r="B2341" s="29" t="s">
        <v>4923</v>
      </c>
      <c r="C2341" s="33" t="s">
        <v>57</v>
      </c>
      <c r="D2341" s="31" t="s">
        <v>4924</v>
      </c>
      <c r="E2341" s="51">
        <v>3.35</v>
      </c>
      <c r="F2341" s="32" t="s">
        <v>15</v>
      </c>
      <c r="G2341" s="32">
        <v>0</v>
      </c>
      <c r="H2341" s="22"/>
      <c r="I2341" s="11">
        <f>Table1[[#This Row],[Qty]]*Table1[[#This Row],[Price]]</f>
        <v>0</v>
      </c>
    </row>
    <row r="2342" spans="1:9" x14ac:dyDescent="0.25">
      <c r="A2342" s="28">
        <v>3423478844858</v>
      </c>
      <c r="B2342" s="29" t="s">
        <v>1360</v>
      </c>
      <c r="C2342" s="30" t="s">
        <v>1361</v>
      </c>
      <c r="D2342" s="31" t="s">
        <v>1362</v>
      </c>
      <c r="E2342" s="51">
        <v>53</v>
      </c>
      <c r="F2342" s="32" t="s">
        <v>15</v>
      </c>
      <c r="G2342" s="32">
        <v>0</v>
      </c>
      <c r="H2342" s="22"/>
      <c r="I2342" s="11">
        <f>Table1[[#This Row],[Qty]]*Table1[[#This Row],[Price]]</f>
        <v>0</v>
      </c>
    </row>
    <row r="2343" spans="1:9" x14ac:dyDescent="0.25">
      <c r="A2343" s="28">
        <v>3423478999251</v>
      </c>
      <c r="B2343" s="29" t="s">
        <v>1407</v>
      </c>
      <c r="C2343" s="30" t="s">
        <v>1361</v>
      </c>
      <c r="D2343" s="31" t="s">
        <v>1408</v>
      </c>
      <c r="E2343" s="51">
        <v>47.17</v>
      </c>
      <c r="F2343" s="32" t="s">
        <v>15</v>
      </c>
      <c r="G2343" s="32">
        <v>0</v>
      </c>
      <c r="H2343" s="14"/>
      <c r="I2343" s="11">
        <f>Table1[[#This Row],[Qty]]*Table1[[#This Row],[Price]]</f>
        <v>0</v>
      </c>
    </row>
    <row r="2344" spans="1:9" x14ac:dyDescent="0.25">
      <c r="A2344" s="28">
        <v>3423478807655</v>
      </c>
      <c r="B2344" s="29" t="s">
        <v>1409</v>
      </c>
      <c r="C2344" s="30" t="s">
        <v>1361</v>
      </c>
      <c r="D2344" s="31" t="s">
        <v>1410</v>
      </c>
      <c r="E2344" s="51">
        <v>45.05</v>
      </c>
      <c r="F2344" s="32" t="s">
        <v>15</v>
      </c>
      <c r="G2344" s="32">
        <v>0</v>
      </c>
      <c r="H2344" s="22"/>
      <c r="I2344" s="11">
        <f>Table1[[#This Row],[Qty]]*Table1[[#This Row],[Price]]</f>
        <v>0</v>
      </c>
    </row>
    <row r="2345" spans="1:9" x14ac:dyDescent="0.25">
      <c r="A2345" s="28">
        <v>3423478818750</v>
      </c>
      <c r="B2345" s="29" t="s">
        <v>1413</v>
      </c>
      <c r="C2345" s="33" t="s">
        <v>1361</v>
      </c>
      <c r="D2345" s="31" t="s">
        <v>1414</v>
      </c>
      <c r="E2345" s="51">
        <v>46.11</v>
      </c>
      <c r="F2345" s="32" t="s">
        <v>15</v>
      </c>
      <c r="G2345" s="32">
        <v>0</v>
      </c>
      <c r="H2345" s="22"/>
      <c r="I2345" s="11">
        <f>Table1[[#This Row],[Qty]]*Table1[[#This Row],[Price]]</f>
        <v>0</v>
      </c>
    </row>
    <row r="2346" spans="1:9" x14ac:dyDescent="0.25">
      <c r="A2346" s="28">
        <v>3423478806054</v>
      </c>
      <c r="B2346" s="29" t="s">
        <v>1492</v>
      </c>
      <c r="C2346" s="30" t="s">
        <v>1361</v>
      </c>
      <c r="D2346" s="31" t="s">
        <v>1493</v>
      </c>
      <c r="E2346" s="51">
        <v>36.75</v>
      </c>
      <c r="F2346" s="32" t="s">
        <v>15</v>
      </c>
      <c r="G2346" s="32" t="s">
        <v>6226</v>
      </c>
      <c r="H2346" s="12"/>
      <c r="I2346" s="11">
        <f>Table1[[#This Row],[Qty]]*Table1[[#This Row],[Price]]</f>
        <v>0</v>
      </c>
    </row>
    <row r="2347" spans="1:9" x14ac:dyDescent="0.25">
      <c r="A2347" s="28">
        <v>3423470880267</v>
      </c>
      <c r="B2347" s="29" t="s">
        <v>3098</v>
      </c>
      <c r="C2347" s="30" t="s">
        <v>1361</v>
      </c>
      <c r="D2347" s="31" t="s">
        <v>3099</v>
      </c>
      <c r="E2347" s="51">
        <v>39</v>
      </c>
      <c r="F2347" s="32" t="s">
        <v>15</v>
      </c>
      <c r="G2347" s="32" t="s">
        <v>6693</v>
      </c>
      <c r="H2347" s="12"/>
      <c r="I2347" s="11">
        <f>Table1[[#This Row],[Qty]]*Table1[[#This Row],[Price]]</f>
        <v>0</v>
      </c>
    </row>
    <row r="2348" spans="1:9" x14ac:dyDescent="0.25">
      <c r="A2348" s="28">
        <v>3423222107741</v>
      </c>
      <c r="B2348" s="29" t="s">
        <v>3888</v>
      </c>
      <c r="C2348" s="30" t="s">
        <v>1361</v>
      </c>
      <c r="D2348" s="31" t="s">
        <v>3889</v>
      </c>
      <c r="E2348" s="51">
        <v>35.369999999999997</v>
      </c>
      <c r="F2348" s="32" t="s">
        <v>15</v>
      </c>
      <c r="G2348" s="32" t="s">
        <v>7113</v>
      </c>
      <c r="H2348" s="12"/>
      <c r="I2348" s="11">
        <f>Table1[[#This Row],[Qty]]*Table1[[#This Row],[Price]]</f>
        <v>0</v>
      </c>
    </row>
    <row r="2349" spans="1:9" x14ac:dyDescent="0.25">
      <c r="A2349" s="28">
        <v>3423478840652</v>
      </c>
      <c r="B2349" s="29" t="s">
        <v>5229</v>
      </c>
      <c r="C2349" s="30" t="s">
        <v>1361</v>
      </c>
      <c r="D2349" s="31" t="s">
        <v>5230</v>
      </c>
      <c r="E2349" s="51">
        <v>46.64</v>
      </c>
      <c r="F2349" s="32" t="s">
        <v>15</v>
      </c>
      <c r="G2349" s="32">
        <v>0</v>
      </c>
      <c r="H2349" s="22"/>
      <c r="I2349" s="11">
        <f>Table1[[#This Row],[Qty]]*Table1[[#This Row],[Price]]</f>
        <v>0</v>
      </c>
    </row>
    <row r="2350" spans="1:9" x14ac:dyDescent="0.25">
      <c r="A2350" s="28">
        <v>3423222012700</v>
      </c>
      <c r="B2350" s="29" t="s">
        <v>5225</v>
      </c>
      <c r="C2350" s="30" t="s">
        <v>1361</v>
      </c>
      <c r="D2350" s="31" t="s">
        <v>5226</v>
      </c>
      <c r="E2350" s="51">
        <v>46.64</v>
      </c>
      <c r="F2350" s="32" t="s">
        <v>15</v>
      </c>
      <c r="G2350" s="32">
        <v>0</v>
      </c>
      <c r="H2350" s="12"/>
      <c r="I2350" s="11">
        <f>Table1[[#This Row],[Qty]]*Table1[[#This Row],[Price]]</f>
        <v>0</v>
      </c>
    </row>
    <row r="2351" spans="1:9" x14ac:dyDescent="0.25">
      <c r="A2351" s="28">
        <v>3423473053958</v>
      </c>
      <c r="B2351" s="29" t="s">
        <v>5217</v>
      </c>
      <c r="C2351" s="30" t="s">
        <v>1361</v>
      </c>
      <c r="D2351" s="31" t="s">
        <v>5218</v>
      </c>
      <c r="E2351" s="51">
        <v>44.52</v>
      </c>
      <c r="F2351" s="32" t="s">
        <v>15</v>
      </c>
      <c r="G2351" s="32">
        <v>0</v>
      </c>
      <c r="H2351" s="22"/>
      <c r="I2351" s="11">
        <f>Table1[[#This Row],[Qty]]*Table1[[#This Row],[Price]]</f>
        <v>0</v>
      </c>
    </row>
    <row r="2352" spans="1:9" x14ac:dyDescent="0.25">
      <c r="A2352" s="28">
        <v>3423470890136</v>
      </c>
      <c r="B2352" s="29" t="s">
        <v>5209</v>
      </c>
      <c r="C2352" s="30" t="s">
        <v>1361</v>
      </c>
      <c r="D2352" s="31" t="s">
        <v>5210</v>
      </c>
      <c r="E2352" s="51">
        <v>44</v>
      </c>
      <c r="F2352" s="32" t="s">
        <v>15</v>
      </c>
      <c r="G2352" s="32">
        <v>0</v>
      </c>
      <c r="H2352" s="22"/>
      <c r="I2352" s="11">
        <f>Table1[[#This Row],[Qty]]*Table1[[#This Row],[Price]]</f>
        <v>0</v>
      </c>
    </row>
    <row r="2353" spans="1:9" x14ac:dyDescent="0.25">
      <c r="A2353" s="28">
        <v>3423470890020</v>
      </c>
      <c r="B2353" s="29" t="s">
        <v>5382</v>
      </c>
      <c r="C2353" s="30" t="s">
        <v>1361</v>
      </c>
      <c r="D2353" s="31" t="s">
        <v>5383</v>
      </c>
      <c r="E2353" s="51">
        <v>14</v>
      </c>
      <c r="F2353" s="32" t="s">
        <v>15</v>
      </c>
      <c r="G2353" s="32">
        <v>0</v>
      </c>
      <c r="H2353" s="12"/>
      <c r="I2353" s="11">
        <f>Table1[[#This Row],[Qty]]*Table1[[#This Row],[Price]]</f>
        <v>0</v>
      </c>
    </row>
    <row r="2354" spans="1:9" x14ac:dyDescent="0.25">
      <c r="A2354" s="28">
        <v>3423470890129</v>
      </c>
      <c r="B2354" s="29" t="s">
        <v>5368</v>
      </c>
      <c r="C2354" s="30" t="s">
        <v>1361</v>
      </c>
      <c r="D2354" s="31" t="s">
        <v>5369</v>
      </c>
      <c r="E2354" s="51">
        <v>9</v>
      </c>
      <c r="F2354" s="32" t="s">
        <v>15</v>
      </c>
      <c r="G2354" s="32">
        <v>0</v>
      </c>
      <c r="H2354" s="22"/>
      <c r="I2354" s="11">
        <f>Table1[[#This Row],[Qty]]*Table1[[#This Row],[Price]]</f>
        <v>0</v>
      </c>
    </row>
    <row r="2355" spans="1:9" x14ac:dyDescent="0.25">
      <c r="A2355" s="28">
        <v>5425039220741</v>
      </c>
      <c r="B2355" s="29" t="s">
        <v>3392</v>
      </c>
      <c r="C2355" s="30" t="s">
        <v>3393</v>
      </c>
      <c r="D2355" s="31" t="s">
        <v>3394</v>
      </c>
      <c r="E2355" s="51">
        <v>10.88</v>
      </c>
      <c r="F2355" s="32" t="s">
        <v>15</v>
      </c>
      <c r="G2355" s="32" t="s">
        <v>6823</v>
      </c>
      <c r="H2355" s="12"/>
      <c r="I2355" s="11">
        <f>Table1[[#This Row],[Qty]]*Table1[[#This Row],[Price]]</f>
        <v>0</v>
      </c>
    </row>
    <row r="2356" spans="1:9" x14ac:dyDescent="0.25">
      <c r="A2356" s="28">
        <v>5425039222561</v>
      </c>
      <c r="B2356" s="29" t="s">
        <v>3395</v>
      </c>
      <c r="C2356" s="30" t="s">
        <v>3393</v>
      </c>
      <c r="D2356" s="31" t="s">
        <v>3396</v>
      </c>
      <c r="E2356" s="51">
        <v>11.13</v>
      </c>
      <c r="F2356" s="32" t="s">
        <v>15</v>
      </c>
      <c r="G2356" s="32" t="s">
        <v>6824</v>
      </c>
      <c r="H2356" s="12"/>
      <c r="I2356" s="11">
        <f>Table1[[#This Row],[Qty]]*Table1[[#This Row],[Price]]</f>
        <v>0</v>
      </c>
    </row>
    <row r="2357" spans="1:9" x14ac:dyDescent="0.25">
      <c r="A2357" s="28">
        <v>5425017734864</v>
      </c>
      <c r="B2357" s="29" t="s">
        <v>3397</v>
      </c>
      <c r="C2357" s="33" t="s">
        <v>3393</v>
      </c>
      <c r="D2357" s="31" t="s">
        <v>3398</v>
      </c>
      <c r="E2357" s="51">
        <v>11.13</v>
      </c>
      <c r="F2357" s="32" t="s">
        <v>15</v>
      </c>
      <c r="G2357" s="32" t="s">
        <v>6825</v>
      </c>
      <c r="H2357" s="22"/>
      <c r="I2357" s="11">
        <f>Table1[[#This Row],[Qty]]*Table1[[#This Row],[Price]]</f>
        <v>0</v>
      </c>
    </row>
    <row r="2358" spans="1:9" x14ac:dyDescent="0.25">
      <c r="A2358" s="28">
        <v>5425017730996</v>
      </c>
      <c r="B2358" s="29" t="s">
        <v>5247</v>
      </c>
      <c r="C2358" s="33" t="s">
        <v>3393</v>
      </c>
      <c r="D2358" s="31" t="s">
        <v>5248</v>
      </c>
      <c r="E2358" s="51">
        <v>9.4</v>
      </c>
      <c r="F2358" s="32" t="s">
        <v>15</v>
      </c>
      <c r="G2358" s="32">
        <v>0</v>
      </c>
      <c r="H2358" s="22"/>
      <c r="I2358" s="11">
        <f>Table1[[#This Row],[Qty]]*Table1[[#This Row],[Price]]</f>
        <v>0</v>
      </c>
    </row>
    <row r="2359" spans="1:9" x14ac:dyDescent="0.25">
      <c r="A2359" s="28">
        <v>3137370207016</v>
      </c>
      <c r="B2359" s="29" t="s">
        <v>1504</v>
      </c>
      <c r="C2359" s="30" t="s">
        <v>1505</v>
      </c>
      <c r="D2359" s="31" t="s">
        <v>1506</v>
      </c>
      <c r="E2359" s="51">
        <v>35.5</v>
      </c>
      <c r="F2359" s="32" t="s">
        <v>15</v>
      </c>
      <c r="G2359" s="32" t="s">
        <v>6231</v>
      </c>
      <c r="H2359" s="22"/>
      <c r="I2359" s="11">
        <f>Table1[[#This Row],[Qty]]*Table1[[#This Row],[Price]]</f>
        <v>0</v>
      </c>
    </row>
    <row r="2360" spans="1:9" x14ac:dyDescent="0.25">
      <c r="A2360" s="28">
        <v>3137370207054</v>
      </c>
      <c r="B2360" s="29" t="s">
        <v>1598</v>
      </c>
      <c r="C2360" s="30" t="s">
        <v>1505</v>
      </c>
      <c r="D2360" s="31" t="s">
        <v>1599</v>
      </c>
      <c r="E2360" s="51">
        <v>28</v>
      </c>
      <c r="F2360" s="32" t="s">
        <v>15</v>
      </c>
      <c r="G2360" s="32" t="s">
        <v>6254</v>
      </c>
      <c r="H2360" s="22"/>
      <c r="I2360" s="11">
        <f>Table1[[#This Row],[Qty]]*Table1[[#This Row],[Price]]</f>
        <v>0</v>
      </c>
    </row>
    <row r="2361" spans="1:9" x14ac:dyDescent="0.25">
      <c r="A2361" s="28">
        <v>875990001043</v>
      </c>
      <c r="B2361" s="29" t="s">
        <v>2235</v>
      </c>
      <c r="C2361" s="30" t="s">
        <v>2236</v>
      </c>
      <c r="D2361" s="31" t="s">
        <v>2237</v>
      </c>
      <c r="E2361" s="51">
        <v>7.2</v>
      </c>
      <c r="F2361" s="32" t="s">
        <v>15</v>
      </c>
      <c r="G2361" s="32">
        <v>0</v>
      </c>
      <c r="H2361" s="12"/>
      <c r="I2361" s="11">
        <f>Table1[[#This Row],[Qty]]*Table1[[#This Row],[Price]]</f>
        <v>0</v>
      </c>
    </row>
    <row r="2362" spans="1:9" x14ac:dyDescent="0.25">
      <c r="A2362" s="28">
        <v>875990000275</v>
      </c>
      <c r="B2362" s="29" t="s">
        <v>3094</v>
      </c>
      <c r="C2362" s="30" t="s">
        <v>2236</v>
      </c>
      <c r="D2362" s="31" t="s">
        <v>3095</v>
      </c>
      <c r="E2362" s="51">
        <v>7</v>
      </c>
      <c r="F2362" s="32" t="s">
        <v>15</v>
      </c>
      <c r="G2362" s="32" t="s">
        <v>6691</v>
      </c>
      <c r="H2362" s="12"/>
      <c r="I2362" s="11">
        <f>Table1[[#This Row],[Qty]]*Table1[[#This Row],[Price]]</f>
        <v>0</v>
      </c>
    </row>
    <row r="2363" spans="1:9" x14ac:dyDescent="0.25">
      <c r="A2363" s="28">
        <v>875990002149</v>
      </c>
      <c r="B2363" s="29" t="s">
        <v>3096</v>
      </c>
      <c r="C2363" s="30" t="s">
        <v>2236</v>
      </c>
      <c r="D2363" s="31" t="s">
        <v>3097</v>
      </c>
      <c r="E2363" s="51">
        <v>9</v>
      </c>
      <c r="F2363" s="32" t="s">
        <v>15</v>
      </c>
      <c r="G2363" s="32" t="s">
        <v>6692</v>
      </c>
      <c r="H2363" s="22"/>
      <c r="I2363" s="11">
        <f>Table1[[#This Row],[Qty]]*Table1[[#This Row],[Price]]</f>
        <v>0</v>
      </c>
    </row>
    <row r="2364" spans="1:9" x14ac:dyDescent="0.25">
      <c r="A2364" s="28">
        <v>875990002040</v>
      </c>
      <c r="B2364" s="29" t="s">
        <v>4730</v>
      </c>
      <c r="C2364" s="30" t="s">
        <v>2236</v>
      </c>
      <c r="D2364" s="31" t="s">
        <v>4731</v>
      </c>
      <c r="E2364" s="51">
        <v>9</v>
      </c>
      <c r="F2364" s="32" t="s">
        <v>15</v>
      </c>
      <c r="G2364" s="32" t="s">
        <v>7432</v>
      </c>
      <c r="H2364" s="22"/>
      <c r="I2364" s="11">
        <f>Table1[[#This Row],[Qty]]*Table1[[#This Row],[Price]]</f>
        <v>0</v>
      </c>
    </row>
    <row r="2365" spans="1:9" x14ac:dyDescent="0.25">
      <c r="A2365" s="28">
        <v>875990001012</v>
      </c>
      <c r="B2365" s="29" t="s">
        <v>4720</v>
      </c>
      <c r="C2365" s="33" t="s">
        <v>2236</v>
      </c>
      <c r="D2365" s="31" t="s">
        <v>4721</v>
      </c>
      <c r="E2365" s="51">
        <v>7.75</v>
      </c>
      <c r="F2365" s="32" t="s">
        <v>15</v>
      </c>
      <c r="G2365" s="32" t="s">
        <v>7436</v>
      </c>
      <c r="H2365" s="22"/>
      <c r="I2365" s="11">
        <f>Table1[[#This Row],[Qty]]*Table1[[#This Row],[Price]]</f>
        <v>0</v>
      </c>
    </row>
    <row r="2366" spans="1:9" x14ac:dyDescent="0.25">
      <c r="A2366" s="28">
        <v>875990001036</v>
      </c>
      <c r="B2366" s="29" t="s">
        <v>4724</v>
      </c>
      <c r="C2366" s="30" t="s">
        <v>2236</v>
      </c>
      <c r="D2366" s="31" t="s">
        <v>4725</v>
      </c>
      <c r="E2366" s="51">
        <v>7.75</v>
      </c>
      <c r="F2366" s="32" t="s">
        <v>15</v>
      </c>
      <c r="G2366" s="32" t="s">
        <v>7437</v>
      </c>
      <c r="H2366" s="12"/>
      <c r="I2366" s="11">
        <f>Table1[[#This Row],[Qty]]*Table1[[#This Row],[Price]]</f>
        <v>0</v>
      </c>
    </row>
    <row r="2367" spans="1:9" x14ac:dyDescent="0.25">
      <c r="A2367" s="28">
        <v>875990000756</v>
      </c>
      <c r="B2367" s="29" t="s">
        <v>4718</v>
      </c>
      <c r="C2367" s="30" t="s">
        <v>2236</v>
      </c>
      <c r="D2367" s="31" t="s">
        <v>4719</v>
      </c>
      <c r="E2367" s="51">
        <v>7.5</v>
      </c>
      <c r="F2367" s="32" t="s">
        <v>15</v>
      </c>
      <c r="G2367" s="32" t="s">
        <v>7438</v>
      </c>
      <c r="H2367" s="12"/>
      <c r="I2367" s="11">
        <f>Table1[[#This Row],[Qty]]*Table1[[#This Row],[Price]]</f>
        <v>0</v>
      </c>
    </row>
    <row r="2368" spans="1:9" x14ac:dyDescent="0.25">
      <c r="A2368" s="28">
        <v>875990001104</v>
      </c>
      <c r="B2368" s="29" t="s">
        <v>4722</v>
      </c>
      <c r="C2368" s="30" t="s">
        <v>2236</v>
      </c>
      <c r="D2368" s="31" t="s">
        <v>4723</v>
      </c>
      <c r="E2368" s="51">
        <v>7</v>
      </c>
      <c r="F2368" s="32" t="s">
        <v>15</v>
      </c>
      <c r="G2368" s="32" t="s">
        <v>7440</v>
      </c>
      <c r="H2368" s="22"/>
      <c r="I2368" s="11">
        <f>Table1[[#This Row],[Qty]]*Table1[[#This Row],[Price]]</f>
        <v>0</v>
      </c>
    </row>
    <row r="2369" spans="1:9" x14ac:dyDescent="0.25">
      <c r="A2369" s="28">
        <v>875990001029</v>
      </c>
      <c r="B2369" s="29" t="s">
        <v>4726</v>
      </c>
      <c r="C2369" s="30" t="s">
        <v>2236</v>
      </c>
      <c r="D2369" s="31" t="s">
        <v>4727</v>
      </c>
      <c r="E2369" s="51">
        <v>7</v>
      </c>
      <c r="F2369" s="32" t="s">
        <v>15</v>
      </c>
      <c r="G2369" s="32" t="s">
        <v>7441</v>
      </c>
      <c r="H2369" s="12"/>
      <c r="I2369" s="11">
        <f>Table1[[#This Row],[Qty]]*Table1[[#This Row],[Price]]</f>
        <v>0</v>
      </c>
    </row>
    <row r="2370" spans="1:9" x14ac:dyDescent="0.25">
      <c r="A2370" s="28">
        <v>875990000954</v>
      </c>
      <c r="B2370" s="29" t="s">
        <v>4728</v>
      </c>
      <c r="C2370" s="30" t="s">
        <v>2236</v>
      </c>
      <c r="D2370" s="31" t="s">
        <v>4729</v>
      </c>
      <c r="E2370" s="51">
        <v>7</v>
      </c>
      <c r="F2370" s="32" t="s">
        <v>15</v>
      </c>
      <c r="G2370" s="32" t="s">
        <v>7442</v>
      </c>
      <c r="H2370" s="22"/>
      <c r="I2370" s="11">
        <f>Table1[[#This Row],[Qty]]*Table1[[#This Row],[Price]]</f>
        <v>0</v>
      </c>
    </row>
    <row r="2371" spans="1:9" x14ac:dyDescent="0.25">
      <c r="A2371" s="28">
        <v>6291107455235</v>
      </c>
      <c r="B2371" s="29" t="s">
        <v>2120</v>
      </c>
      <c r="C2371" s="30" t="s">
        <v>2121</v>
      </c>
      <c r="D2371" s="31" t="s">
        <v>2122</v>
      </c>
      <c r="E2371" s="51">
        <v>11.5</v>
      </c>
      <c r="F2371" s="32" t="s">
        <v>15</v>
      </c>
      <c r="G2371" s="32">
        <v>0</v>
      </c>
      <c r="H2371" s="12"/>
      <c r="I2371" s="11">
        <f>Table1[[#This Row],[Qty]]*Table1[[#This Row],[Price]]</f>
        <v>0</v>
      </c>
    </row>
    <row r="2372" spans="1:9" x14ac:dyDescent="0.25">
      <c r="A2372" s="28">
        <v>6291107457116</v>
      </c>
      <c r="B2372" s="29" t="s">
        <v>2123</v>
      </c>
      <c r="C2372" s="30" t="s">
        <v>2121</v>
      </c>
      <c r="D2372" s="31" t="s">
        <v>2124</v>
      </c>
      <c r="E2372" s="51">
        <v>11.5</v>
      </c>
      <c r="F2372" s="32" t="s">
        <v>15</v>
      </c>
      <c r="G2372" s="32">
        <v>0</v>
      </c>
      <c r="H2372" s="22"/>
      <c r="I2372" s="11">
        <f>Table1[[#This Row],[Qty]]*Table1[[#This Row],[Price]]</f>
        <v>0</v>
      </c>
    </row>
    <row r="2373" spans="1:9" x14ac:dyDescent="0.25">
      <c r="A2373" s="28">
        <v>6291108736203</v>
      </c>
      <c r="B2373" s="29" t="s">
        <v>2129</v>
      </c>
      <c r="C2373" s="30" t="s">
        <v>2121</v>
      </c>
      <c r="D2373" s="31" t="s">
        <v>2130</v>
      </c>
      <c r="E2373" s="51">
        <v>11.5</v>
      </c>
      <c r="F2373" s="32" t="s">
        <v>15</v>
      </c>
      <c r="G2373" s="32">
        <v>0</v>
      </c>
      <c r="H2373" s="22"/>
      <c r="I2373" s="11">
        <f>Table1[[#This Row],[Qty]]*Table1[[#This Row],[Price]]</f>
        <v>0</v>
      </c>
    </row>
    <row r="2374" spans="1:9" x14ac:dyDescent="0.25">
      <c r="A2374" s="28">
        <v>6291108739341</v>
      </c>
      <c r="B2374" s="29" t="s">
        <v>2131</v>
      </c>
      <c r="C2374" s="30" t="s">
        <v>2121</v>
      </c>
      <c r="D2374" s="31" t="s">
        <v>2132</v>
      </c>
      <c r="E2374" s="51">
        <v>11.5</v>
      </c>
      <c r="F2374" s="32" t="s">
        <v>15</v>
      </c>
      <c r="G2374" s="32">
        <v>0</v>
      </c>
      <c r="H2374" s="22"/>
      <c r="I2374" s="11">
        <f>Table1[[#This Row],[Qty]]*Table1[[#This Row],[Price]]</f>
        <v>0</v>
      </c>
    </row>
    <row r="2375" spans="1:9" x14ac:dyDescent="0.25">
      <c r="A2375" s="28">
        <v>6291107459455</v>
      </c>
      <c r="B2375" s="29" t="s">
        <v>2893</v>
      </c>
      <c r="C2375" s="30" t="s">
        <v>2121</v>
      </c>
      <c r="D2375" s="31" t="s">
        <v>2894</v>
      </c>
      <c r="E2375" s="51">
        <v>13.5</v>
      </c>
      <c r="F2375" s="32" t="s">
        <v>15</v>
      </c>
      <c r="G2375" s="32">
        <v>0</v>
      </c>
      <c r="H2375" s="12"/>
      <c r="I2375" s="11">
        <f>Table1[[#This Row],[Qty]]*Table1[[#This Row],[Price]]</f>
        <v>0</v>
      </c>
    </row>
    <row r="2376" spans="1:9" x14ac:dyDescent="0.25">
      <c r="A2376" s="28">
        <v>6290360591407</v>
      </c>
      <c r="B2376" s="29" t="s">
        <v>2895</v>
      </c>
      <c r="C2376" s="30" t="s">
        <v>2121</v>
      </c>
      <c r="D2376" s="31" t="s">
        <v>2896</v>
      </c>
      <c r="E2376" s="51">
        <v>14.5</v>
      </c>
      <c r="F2376" s="32" t="s">
        <v>15</v>
      </c>
      <c r="G2376" s="32">
        <v>0</v>
      </c>
      <c r="H2376" s="14"/>
      <c r="I2376" s="11">
        <f>Table1[[#This Row],[Qty]]*Table1[[#This Row],[Price]]</f>
        <v>0</v>
      </c>
    </row>
    <row r="2377" spans="1:9" x14ac:dyDescent="0.25">
      <c r="A2377" s="28">
        <v>6290360832418</v>
      </c>
      <c r="B2377" s="29" t="s">
        <v>4622</v>
      </c>
      <c r="C2377" s="33" t="s">
        <v>4594</v>
      </c>
      <c r="D2377" s="31" t="s">
        <v>4623</v>
      </c>
      <c r="E2377" s="51">
        <v>13.5</v>
      </c>
      <c r="F2377" s="32" t="s">
        <v>15</v>
      </c>
      <c r="G2377" s="32"/>
      <c r="H2377" s="22"/>
      <c r="I2377" s="11">
        <f>Table1[[#This Row],[Qty]]*Table1[[#This Row],[Price]]</f>
        <v>0</v>
      </c>
    </row>
    <row r="2378" spans="1:9" x14ac:dyDescent="0.25">
      <c r="A2378" s="28">
        <v>6290360832432</v>
      </c>
      <c r="B2378" s="29" t="s">
        <v>4624</v>
      </c>
      <c r="C2378" s="30" t="s">
        <v>4594</v>
      </c>
      <c r="D2378" s="31" t="s">
        <v>4625</v>
      </c>
      <c r="E2378" s="51">
        <v>13.5</v>
      </c>
      <c r="F2378" s="32" t="s">
        <v>15</v>
      </c>
      <c r="G2378" s="32"/>
      <c r="H2378" s="14"/>
      <c r="I2378" s="11">
        <f>Table1[[#This Row],[Qty]]*Table1[[#This Row],[Price]]</f>
        <v>0</v>
      </c>
    </row>
    <row r="2379" spans="1:9" x14ac:dyDescent="0.25">
      <c r="A2379" s="28">
        <v>6290360832456</v>
      </c>
      <c r="B2379" s="29" t="s">
        <v>4615</v>
      </c>
      <c r="C2379" s="30" t="s">
        <v>4594</v>
      </c>
      <c r="D2379" s="31" t="s">
        <v>4616</v>
      </c>
      <c r="E2379" s="51">
        <v>12.5</v>
      </c>
      <c r="F2379" s="32" t="s">
        <v>15</v>
      </c>
      <c r="G2379" s="32"/>
      <c r="H2379" s="22"/>
      <c r="I2379" s="11">
        <f>Table1[[#This Row],[Qty]]*Table1[[#This Row],[Price]]</f>
        <v>0</v>
      </c>
    </row>
    <row r="2380" spans="1:9" x14ac:dyDescent="0.25">
      <c r="A2380" s="28">
        <v>6290360832395</v>
      </c>
      <c r="B2380" s="29" t="s">
        <v>4619</v>
      </c>
      <c r="C2380" s="30" t="s">
        <v>4594</v>
      </c>
      <c r="D2380" s="31" t="s">
        <v>4620</v>
      </c>
      <c r="E2380" s="51">
        <v>12.5</v>
      </c>
      <c r="F2380" s="32" t="s">
        <v>15</v>
      </c>
      <c r="G2380" s="32"/>
      <c r="H2380" s="22"/>
      <c r="I2380" s="11">
        <f>Table1[[#This Row],[Qty]]*Table1[[#This Row],[Price]]</f>
        <v>0</v>
      </c>
    </row>
    <row r="2381" spans="1:9" x14ac:dyDescent="0.25">
      <c r="A2381" s="28">
        <v>6290360832449</v>
      </c>
      <c r="B2381" s="29" t="s">
        <v>4600</v>
      </c>
      <c r="C2381" s="30" t="s">
        <v>4594</v>
      </c>
      <c r="D2381" s="31" t="s">
        <v>4601</v>
      </c>
      <c r="E2381" s="51">
        <v>11.5</v>
      </c>
      <c r="F2381" s="32" t="s">
        <v>15</v>
      </c>
      <c r="G2381" s="32"/>
      <c r="H2381" s="22"/>
      <c r="I2381" s="11">
        <f>Table1[[#This Row],[Qty]]*Table1[[#This Row],[Price]]</f>
        <v>0</v>
      </c>
    </row>
    <row r="2382" spans="1:9" x14ac:dyDescent="0.25">
      <c r="A2382" s="28">
        <v>6290360830292</v>
      </c>
      <c r="B2382" s="29" t="s">
        <v>4602</v>
      </c>
      <c r="C2382" s="30" t="s">
        <v>4594</v>
      </c>
      <c r="D2382" s="31" t="s">
        <v>4603</v>
      </c>
      <c r="E2382" s="51">
        <v>11.5</v>
      </c>
      <c r="F2382" s="32" t="s">
        <v>15</v>
      </c>
      <c r="G2382" s="32"/>
      <c r="H2382" s="14"/>
      <c r="I2382" s="11">
        <f>Table1[[#This Row],[Qty]]*Table1[[#This Row],[Price]]</f>
        <v>0</v>
      </c>
    </row>
    <row r="2383" spans="1:9" x14ac:dyDescent="0.25">
      <c r="A2383" s="28">
        <v>6290360832425</v>
      </c>
      <c r="B2383" s="29" t="s">
        <v>4604</v>
      </c>
      <c r="C2383" s="33" t="s">
        <v>4594</v>
      </c>
      <c r="D2383" s="31" t="s">
        <v>4605</v>
      </c>
      <c r="E2383" s="51">
        <v>11.5</v>
      </c>
      <c r="F2383" s="32" t="s">
        <v>15</v>
      </c>
      <c r="G2383" s="32"/>
      <c r="H2383" s="22"/>
      <c r="I2383" s="11">
        <f>Table1[[#This Row],[Qty]]*Table1[[#This Row],[Price]]</f>
        <v>0</v>
      </c>
    </row>
    <row r="2384" spans="1:9" x14ac:dyDescent="0.25">
      <c r="A2384" s="48">
        <v>6290360830308</v>
      </c>
      <c r="B2384" s="41" t="s">
        <v>4593</v>
      </c>
      <c r="C2384" s="6" t="s">
        <v>4594</v>
      </c>
      <c r="D2384" t="s">
        <v>4595</v>
      </c>
      <c r="E2384" s="52">
        <v>10.5</v>
      </c>
      <c r="F2384" s="49" t="s">
        <v>15</v>
      </c>
      <c r="G2384" s="49"/>
      <c r="H2384" s="22"/>
      <c r="I2384" s="11">
        <f>Table1[[#This Row],[Qty]]*Table1[[#This Row],[Price]]</f>
        <v>0</v>
      </c>
    </row>
    <row r="2385" spans="1:9" x14ac:dyDescent="0.25">
      <c r="A2385" s="28">
        <v>6290360830322</v>
      </c>
      <c r="B2385" s="29" t="s">
        <v>4596</v>
      </c>
      <c r="C2385" s="30" t="s">
        <v>4594</v>
      </c>
      <c r="D2385" s="31" t="s">
        <v>4597</v>
      </c>
      <c r="E2385" s="51">
        <v>9.5</v>
      </c>
      <c r="F2385" s="32" t="s">
        <v>15</v>
      </c>
      <c r="G2385" s="32"/>
      <c r="H2385" s="22"/>
      <c r="I2385" s="11">
        <f>Table1[[#This Row],[Qty]]*Table1[[#This Row],[Price]]</f>
        <v>0</v>
      </c>
    </row>
    <row r="2386" spans="1:9" x14ac:dyDescent="0.25">
      <c r="A2386" s="28">
        <v>6290360832494</v>
      </c>
      <c r="B2386" s="29" t="s">
        <v>4617</v>
      </c>
      <c r="C2386" s="30" t="s">
        <v>4594</v>
      </c>
      <c r="D2386" s="31" t="s">
        <v>4618</v>
      </c>
      <c r="E2386" s="51">
        <v>9.5</v>
      </c>
      <c r="F2386" s="32" t="s">
        <v>15</v>
      </c>
      <c r="G2386" s="32"/>
      <c r="H2386" s="22"/>
      <c r="I2386" s="11">
        <f>Table1[[#This Row],[Qty]]*Table1[[#This Row],[Price]]</f>
        <v>0</v>
      </c>
    </row>
    <row r="2387" spans="1:9" x14ac:dyDescent="0.25">
      <c r="A2387" s="28">
        <v>6290360832401</v>
      </c>
      <c r="B2387" s="29" t="s">
        <v>5016</v>
      </c>
      <c r="C2387" s="30" t="s">
        <v>4594</v>
      </c>
      <c r="D2387" s="31" t="s">
        <v>5017</v>
      </c>
      <c r="E2387" s="51">
        <v>8</v>
      </c>
      <c r="F2387" s="32" t="s">
        <v>15</v>
      </c>
      <c r="G2387" s="32"/>
      <c r="H2387" s="22"/>
      <c r="I2387" s="11">
        <f>Table1[[#This Row],[Qty]]*Table1[[#This Row],[Price]]</f>
        <v>0</v>
      </c>
    </row>
    <row r="2388" spans="1:9" x14ac:dyDescent="0.25">
      <c r="A2388" s="28">
        <v>6290360832487</v>
      </c>
      <c r="B2388" s="29" t="s">
        <v>5055</v>
      </c>
      <c r="C2388" s="30" t="s">
        <v>4594</v>
      </c>
      <c r="D2388" s="31" t="s">
        <v>5056</v>
      </c>
      <c r="E2388" s="51">
        <v>8</v>
      </c>
      <c r="F2388" s="32" t="s">
        <v>15</v>
      </c>
      <c r="G2388" s="32"/>
      <c r="H2388" s="22"/>
      <c r="I2388" s="11">
        <f>Table1[[#This Row],[Qty]]*Table1[[#This Row],[Price]]</f>
        <v>0</v>
      </c>
    </row>
    <row r="2389" spans="1:9" x14ac:dyDescent="0.25">
      <c r="A2389" s="28">
        <v>819029014994</v>
      </c>
      <c r="B2389" s="29" t="s">
        <v>4948</v>
      </c>
      <c r="C2389" s="30" t="s">
        <v>4946</v>
      </c>
      <c r="D2389" s="31" t="s">
        <v>4949</v>
      </c>
      <c r="E2389" s="51">
        <v>8</v>
      </c>
      <c r="F2389" s="32" t="s">
        <v>15</v>
      </c>
      <c r="G2389" s="32">
        <v>0</v>
      </c>
      <c r="H2389" s="14"/>
      <c r="I2389" s="11">
        <f>Table1[[#This Row],[Qty]]*Table1[[#This Row],[Price]]</f>
        <v>0</v>
      </c>
    </row>
    <row r="2390" spans="1:9" x14ac:dyDescent="0.25">
      <c r="A2390" s="28">
        <v>819029010750</v>
      </c>
      <c r="B2390" s="29" t="s">
        <v>4950</v>
      </c>
      <c r="C2390" s="30" t="s">
        <v>4946</v>
      </c>
      <c r="D2390" s="31" t="s">
        <v>4951</v>
      </c>
      <c r="E2390" s="51">
        <v>7.75</v>
      </c>
      <c r="F2390" s="32" t="s">
        <v>15</v>
      </c>
      <c r="G2390" s="32">
        <v>0</v>
      </c>
      <c r="H2390" s="22"/>
      <c r="I2390" s="11">
        <f>Table1[[#This Row],[Qty]]*Table1[[#This Row],[Price]]</f>
        <v>0</v>
      </c>
    </row>
    <row r="2391" spans="1:9" x14ac:dyDescent="0.25">
      <c r="A2391" s="28">
        <v>819029015007</v>
      </c>
      <c r="B2391" s="29" t="s">
        <v>4945</v>
      </c>
      <c r="C2391" s="30" t="s">
        <v>4946</v>
      </c>
      <c r="D2391" s="31" t="s">
        <v>4947</v>
      </c>
      <c r="E2391" s="51">
        <v>7.5</v>
      </c>
      <c r="F2391" s="32" t="s">
        <v>15</v>
      </c>
      <c r="G2391" s="32">
        <v>0</v>
      </c>
      <c r="H2391" s="12"/>
      <c r="I2391" s="11">
        <f>Table1[[#This Row],[Qty]]*Table1[[#This Row],[Price]]</f>
        <v>0</v>
      </c>
    </row>
    <row r="2392" spans="1:9" x14ac:dyDescent="0.25">
      <c r="A2392" s="28">
        <v>6297001158852</v>
      </c>
      <c r="B2392" s="29" t="s">
        <v>3912</v>
      </c>
      <c r="C2392" s="30" t="s">
        <v>1031</v>
      </c>
      <c r="D2392" s="31" t="s">
        <v>3913</v>
      </c>
      <c r="E2392" s="51">
        <v>45</v>
      </c>
      <c r="F2392" s="32" t="s">
        <v>15</v>
      </c>
      <c r="G2392" s="32" t="s">
        <v>5759</v>
      </c>
      <c r="H2392" s="22"/>
      <c r="I2392" s="11">
        <f>Table1[[#This Row],[Qty]]*Table1[[#This Row],[Price]]</f>
        <v>0</v>
      </c>
    </row>
    <row r="2393" spans="1:9" x14ac:dyDescent="0.25">
      <c r="A2393" s="28">
        <v>6291106811568</v>
      </c>
      <c r="B2393" s="29" t="s">
        <v>1030</v>
      </c>
      <c r="C2393" s="30" t="s">
        <v>1031</v>
      </c>
      <c r="D2393" s="31" t="s">
        <v>1032</v>
      </c>
      <c r="E2393" s="51">
        <v>42.03</v>
      </c>
      <c r="F2393" s="32" t="s">
        <v>15</v>
      </c>
      <c r="G2393" s="32" t="s">
        <v>6098</v>
      </c>
      <c r="H2393" s="12"/>
      <c r="I2393" s="11">
        <f>Table1[[#This Row],[Qty]]*Table1[[#This Row],[Price]]</f>
        <v>0</v>
      </c>
    </row>
    <row r="2394" spans="1:9" x14ac:dyDescent="0.25">
      <c r="A2394" s="28">
        <v>6291106811513</v>
      </c>
      <c r="B2394" s="29" t="s">
        <v>1062</v>
      </c>
      <c r="C2394" s="30" t="s">
        <v>1031</v>
      </c>
      <c r="D2394" s="31" t="s">
        <v>1063</v>
      </c>
      <c r="E2394" s="51">
        <v>43.43</v>
      </c>
      <c r="F2394" s="32" t="s">
        <v>15</v>
      </c>
      <c r="G2394" s="32" t="s">
        <v>6111</v>
      </c>
      <c r="H2394" s="14"/>
      <c r="I2394" s="11">
        <f>Table1[[#This Row],[Qty]]*Table1[[#This Row],[Price]]</f>
        <v>0</v>
      </c>
    </row>
    <row r="2395" spans="1:9" x14ac:dyDescent="0.25">
      <c r="A2395" s="28">
        <v>6297001158340</v>
      </c>
      <c r="B2395" s="29" t="s">
        <v>1150</v>
      </c>
      <c r="C2395" s="30" t="s">
        <v>1031</v>
      </c>
      <c r="D2395" s="31" t="s">
        <v>1151</v>
      </c>
      <c r="E2395" s="51">
        <v>21.5</v>
      </c>
      <c r="F2395" s="32" t="s">
        <v>15</v>
      </c>
      <c r="G2395" s="32" t="s">
        <v>6149</v>
      </c>
      <c r="H2395" s="22"/>
      <c r="I2395" s="11">
        <f>Table1[[#This Row],[Qty]]*Table1[[#This Row],[Price]]</f>
        <v>0</v>
      </c>
    </row>
    <row r="2396" spans="1:9" x14ac:dyDescent="0.25">
      <c r="A2396" s="28">
        <v>6291109270621</v>
      </c>
      <c r="B2396" s="29" t="s">
        <v>1276</v>
      </c>
      <c r="C2396" s="30" t="s">
        <v>1031</v>
      </c>
      <c r="D2396" s="31" t="s">
        <v>1277</v>
      </c>
      <c r="E2396" s="51">
        <v>65.72</v>
      </c>
      <c r="F2396" s="32" t="s">
        <v>15</v>
      </c>
      <c r="G2396" s="32">
        <v>0</v>
      </c>
      <c r="H2396" s="13"/>
      <c r="I2396" s="11">
        <f>Table1[[#This Row],[Qty]]*Table1[[#This Row],[Price]]</f>
        <v>0</v>
      </c>
    </row>
    <row r="2397" spans="1:9" x14ac:dyDescent="0.25">
      <c r="A2397" s="28">
        <v>6297001158296</v>
      </c>
      <c r="B2397" s="29" t="s">
        <v>1278</v>
      </c>
      <c r="C2397" s="30" t="s">
        <v>1031</v>
      </c>
      <c r="D2397" s="31" t="s">
        <v>1279</v>
      </c>
      <c r="E2397" s="51">
        <v>65.72</v>
      </c>
      <c r="F2397" s="32" t="s">
        <v>15</v>
      </c>
      <c r="G2397" s="32">
        <v>0</v>
      </c>
      <c r="H2397" s="22"/>
      <c r="I2397" s="11">
        <f>Table1[[#This Row],[Qty]]*Table1[[#This Row],[Price]]</f>
        <v>0</v>
      </c>
    </row>
    <row r="2398" spans="1:9" x14ac:dyDescent="0.25">
      <c r="A2398" s="28">
        <v>6297001158319</v>
      </c>
      <c r="B2398" s="29" t="s">
        <v>1280</v>
      </c>
      <c r="C2398" s="30" t="s">
        <v>1031</v>
      </c>
      <c r="D2398" s="31" t="s">
        <v>1281</v>
      </c>
      <c r="E2398" s="51">
        <v>65.72</v>
      </c>
      <c r="F2398" s="32" t="s">
        <v>15</v>
      </c>
      <c r="G2398" s="32">
        <v>0</v>
      </c>
      <c r="H2398" s="12"/>
      <c r="I2398" s="11">
        <f>Table1[[#This Row],[Qty]]*Table1[[#This Row],[Price]]</f>
        <v>0</v>
      </c>
    </row>
    <row r="2399" spans="1:9" x14ac:dyDescent="0.25">
      <c r="A2399" s="28">
        <v>6297001158326</v>
      </c>
      <c r="B2399" s="29" t="s">
        <v>1282</v>
      </c>
      <c r="C2399" s="33" t="s">
        <v>1031</v>
      </c>
      <c r="D2399" s="31" t="s">
        <v>1283</v>
      </c>
      <c r="E2399" s="51">
        <v>65.72</v>
      </c>
      <c r="F2399" s="32" t="s">
        <v>15</v>
      </c>
      <c r="G2399" s="32">
        <v>0</v>
      </c>
      <c r="H2399" s="22"/>
      <c r="I2399" s="11">
        <f>Table1[[#This Row],[Qty]]*Table1[[#This Row],[Price]]</f>
        <v>0</v>
      </c>
    </row>
    <row r="2400" spans="1:9" x14ac:dyDescent="0.25">
      <c r="A2400" s="28">
        <v>6297001158289</v>
      </c>
      <c r="B2400" s="29" t="s">
        <v>1318</v>
      </c>
      <c r="C2400" s="33" t="s">
        <v>1031</v>
      </c>
      <c r="D2400" s="31" t="s">
        <v>1319</v>
      </c>
      <c r="E2400" s="51">
        <v>59.89</v>
      </c>
      <c r="F2400" s="32" t="s">
        <v>15</v>
      </c>
      <c r="G2400" s="32">
        <v>0</v>
      </c>
      <c r="H2400" s="22"/>
      <c r="I2400" s="11">
        <f>Table1[[#This Row],[Qty]]*Table1[[#This Row],[Price]]</f>
        <v>0</v>
      </c>
    </row>
    <row r="2401" spans="1:9" x14ac:dyDescent="0.25">
      <c r="A2401" s="28">
        <v>6297001158050</v>
      </c>
      <c r="B2401" s="29" t="s">
        <v>1375</v>
      </c>
      <c r="C2401" s="30" t="s">
        <v>1031</v>
      </c>
      <c r="D2401" s="31" t="s">
        <v>1376</v>
      </c>
      <c r="E2401" s="51">
        <v>51.41</v>
      </c>
      <c r="F2401" s="32" t="s">
        <v>15</v>
      </c>
      <c r="G2401" s="32">
        <v>0</v>
      </c>
      <c r="H2401" s="22"/>
      <c r="I2401" s="11">
        <f>Table1[[#This Row],[Qty]]*Table1[[#This Row],[Price]]</f>
        <v>0</v>
      </c>
    </row>
    <row r="2402" spans="1:9" x14ac:dyDescent="0.25">
      <c r="A2402" s="28">
        <v>6291106811520</v>
      </c>
      <c r="B2402" s="29" t="s">
        <v>2897</v>
      </c>
      <c r="C2402" s="30" t="s">
        <v>1031</v>
      </c>
      <c r="D2402" s="31" t="s">
        <v>2898</v>
      </c>
      <c r="E2402" s="51">
        <v>46.75</v>
      </c>
      <c r="F2402" s="32" t="s">
        <v>15</v>
      </c>
      <c r="G2402" s="32" t="s">
        <v>6644</v>
      </c>
      <c r="H2402" s="12"/>
      <c r="I2402" s="11">
        <f>Table1[[#This Row],[Qty]]*Table1[[#This Row],[Price]]</f>
        <v>0</v>
      </c>
    </row>
    <row r="2403" spans="1:9" x14ac:dyDescent="0.25">
      <c r="A2403" s="28">
        <v>6291109270591</v>
      </c>
      <c r="B2403" s="29" t="s">
        <v>7547</v>
      </c>
      <c r="C2403" s="30" t="s">
        <v>1031</v>
      </c>
      <c r="D2403" s="31" t="s">
        <v>7548</v>
      </c>
      <c r="E2403" s="51">
        <v>53</v>
      </c>
      <c r="F2403" s="32" t="s">
        <v>15</v>
      </c>
      <c r="G2403" s="32">
        <v>0</v>
      </c>
      <c r="H2403" s="22"/>
      <c r="I2403" s="11">
        <f>Table1[[#This Row],[Qty]]*Table1[[#This Row],[Price]]</f>
        <v>0</v>
      </c>
    </row>
    <row r="2404" spans="1:9" x14ac:dyDescent="0.25">
      <c r="A2404" s="28">
        <v>6297001158036</v>
      </c>
      <c r="B2404" s="29" t="s">
        <v>5161</v>
      </c>
      <c r="C2404" s="30" t="s">
        <v>1031</v>
      </c>
      <c r="D2404" s="31" t="s">
        <v>5162</v>
      </c>
      <c r="E2404" s="51">
        <v>18.5</v>
      </c>
      <c r="F2404" s="32" t="s">
        <v>15</v>
      </c>
      <c r="G2404" s="32">
        <v>0</v>
      </c>
      <c r="H2404" s="12"/>
      <c r="I2404" s="11">
        <f>Table1[[#This Row],[Qty]]*Table1[[#This Row],[Price]]</f>
        <v>0</v>
      </c>
    </row>
    <row r="2405" spans="1:9" x14ac:dyDescent="0.25">
      <c r="A2405" s="28">
        <v>6297001158029</v>
      </c>
      <c r="B2405" s="29" t="s">
        <v>5163</v>
      </c>
      <c r="C2405" s="30" t="s">
        <v>1031</v>
      </c>
      <c r="D2405" s="31" t="s">
        <v>5164</v>
      </c>
      <c r="E2405" s="51">
        <v>15</v>
      </c>
      <c r="F2405" s="32" t="s">
        <v>15</v>
      </c>
      <c r="G2405" s="32">
        <v>0</v>
      </c>
      <c r="H2405" s="12"/>
      <c r="I2405" s="11">
        <f>Table1[[#This Row],[Qty]]*Table1[[#This Row],[Price]]</f>
        <v>0</v>
      </c>
    </row>
    <row r="2406" spans="1:9" x14ac:dyDescent="0.25">
      <c r="A2406" s="28">
        <v>85715583161</v>
      </c>
      <c r="B2406" s="29" t="s">
        <v>2754</v>
      </c>
      <c r="C2406" s="30" t="s">
        <v>2755</v>
      </c>
      <c r="D2406" s="31" t="s">
        <v>2756</v>
      </c>
      <c r="E2406" s="51">
        <v>16.5</v>
      </c>
      <c r="F2406" s="32" t="s">
        <v>15</v>
      </c>
      <c r="G2406" s="32">
        <v>0</v>
      </c>
      <c r="H2406" s="22"/>
      <c r="I2406" s="11">
        <f>Table1[[#This Row],[Qty]]*Table1[[#This Row],[Price]]</f>
        <v>0</v>
      </c>
    </row>
    <row r="2407" spans="1:9" x14ac:dyDescent="0.25">
      <c r="A2407" s="28">
        <v>85715571007</v>
      </c>
      <c r="B2407" s="29" t="s">
        <v>5151</v>
      </c>
      <c r="C2407" s="30" t="s">
        <v>2755</v>
      </c>
      <c r="D2407" s="31" t="s">
        <v>5152</v>
      </c>
      <c r="E2407" s="51">
        <v>25</v>
      </c>
      <c r="F2407" s="32" t="s">
        <v>15</v>
      </c>
      <c r="G2407" s="32">
        <v>0</v>
      </c>
      <c r="H2407" s="22"/>
      <c r="I2407" s="11">
        <f>Table1[[#This Row],[Qty]]*Table1[[#This Row],[Price]]</f>
        <v>0</v>
      </c>
    </row>
    <row r="2408" spans="1:9" x14ac:dyDescent="0.25">
      <c r="A2408" s="28">
        <v>3349668589678</v>
      </c>
      <c r="B2408" s="29" t="s">
        <v>81</v>
      </c>
      <c r="C2408" s="30" t="s">
        <v>49</v>
      </c>
      <c r="D2408" s="31" t="s">
        <v>82</v>
      </c>
      <c r="E2408" s="51">
        <v>66</v>
      </c>
      <c r="F2408" s="32" t="s">
        <v>15</v>
      </c>
      <c r="G2408" s="32" t="s">
        <v>5633</v>
      </c>
      <c r="H2408" s="22"/>
      <c r="I2408" s="11">
        <f>Table1[[#This Row],[Qty]]*Table1[[#This Row],[Price]]</f>
        <v>0</v>
      </c>
    </row>
    <row r="2409" spans="1:9" x14ac:dyDescent="0.25">
      <c r="A2409" s="28">
        <v>3349668555062</v>
      </c>
      <c r="B2409" s="29" t="s">
        <v>132</v>
      </c>
      <c r="C2409" s="30" t="s">
        <v>49</v>
      </c>
      <c r="D2409" s="31" t="s">
        <v>133</v>
      </c>
      <c r="E2409" s="51">
        <v>39.4</v>
      </c>
      <c r="F2409" s="32" t="s">
        <v>15</v>
      </c>
      <c r="G2409" s="32" t="s">
        <v>5654</v>
      </c>
      <c r="H2409" s="12"/>
      <c r="I2409" s="11">
        <f>Table1[[#This Row],[Qty]]*Table1[[#This Row],[Price]]</f>
        <v>0</v>
      </c>
    </row>
    <row r="2410" spans="1:9" x14ac:dyDescent="0.25">
      <c r="A2410" s="28">
        <v>3349668630035</v>
      </c>
      <c r="B2410" s="29" t="s">
        <v>284</v>
      </c>
      <c r="C2410" s="30" t="s">
        <v>49</v>
      </c>
      <c r="D2410" s="31" t="s">
        <v>285</v>
      </c>
      <c r="E2410" s="51">
        <v>64.5</v>
      </c>
      <c r="F2410" s="32" t="s">
        <v>15</v>
      </c>
      <c r="G2410" s="32" t="s">
        <v>5719</v>
      </c>
      <c r="H2410" s="22"/>
      <c r="I2410" s="11">
        <f>Table1[[#This Row],[Qty]]*Table1[[#This Row],[Price]]</f>
        <v>0</v>
      </c>
    </row>
    <row r="2411" spans="1:9" x14ac:dyDescent="0.25">
      <c r="A2411" s="28">
        <v>3349668576081</v>
      </c>
      <c r="B2411" s="29" t="s">
        <v>297</v>
      </c>
      <c r="C2411" s="30" t="s">
        <v>49</v>
      </c>
      <c r="D2411" s="31" t="s">
        <v>298</v>
      </c>
      <c r="E2411" s="51">
        <v>26</v>
      </c>
      <c r="F2411" s="32" t="s">
        <v>15</v>
      </c>
      <c r="G2411" s="32" t="s">
        <v>5725</v>
      </c>
      <c r="H2411" s="22"/>
      <c r="I2411" s="11">
        <f>Table1[[#This Row],[Qty]]*Table1[[#This Row],[Price]]</f>
        <v>0</v>
      </c>
    </row>
    <row r="2412" spans="1:9" x14ac:dyDescent="0.25">
      <c r="A2412" s="28">
        <v>3349668614592</v>
      </c>
      <c r="B2412" s="29" t="s">
        <v>1102</v>
      </c>
      <c r="C2412" s="30" t="s">
        <v>49</v>
      </c>
      <c r="D2412" s="31" t="s">
        <v>1103</v>
      </c>
      <c r="E2412" s="51">
        <v>68.260000000000005</v>
      </c>
      <c r="F2412" s="32" t="s">
        <v>15</v>
      </c>
      <c r="G2412" s="32" t="s">
        <v>6129</v>
      </c>
      <c r="H2412" s="12"/>
      <c r="I2412" s="11">
        <f>Table1[[#This Row],[Qty]]*Table1[[#This Row],[Price]]</f>
        <v>0</v>
      </c>
    </row>
    <row r="2413" spans="1:9" x14ac:dyDescent="0.25">
      <c r="A2413" s="28">
        <v>3349668599417</v>
      </c>
      <c r="B2413" s="29" t="s">
        <v>1104</v>
      </c>
      <c r="C2413" s="30" t="s">
        <v>49</v>
      </c>
      <c r="D2413" s="31" t="s">
        <v>1105</v>
      </c>
      <c r="E2413" s="51">
        <v>47.57</v>
      </c>
      <c r="F2413" s="32" t="s">
        <v>15</v>
      </c>
      <c r="G2413" s="32">
        <v>0</v>
      </c>
      <c r="H2413" s="12"/>
      <c r="I2413" s="11">
        <f>Table1[[#This Row],[Qty]]*Table1[[#This Row],[Price]]</f>
        <v>0</v>
      </c>
    </row>
    <row r="2414" spans="1:9" x14ac:dyDescent="0.25">
      <c r="A2414" s="28">
        <v>3349668599127</v>
      </c>
      <c r="B2414" s="29" t="s">
        <v>1238</v>
      </c>
      <c r="C2414" s="30" t="s">
        <v>49</v>
      </c>
      <c r="D2414" s="31" t="s">
        <v>1239</v>
      </c>
      <c r="E2414" s="51">
        <v>74.2</v>
      </c>
      <c r="F2414" s="32" t="s">
        <v>15</v>
      </c>
      <c r="G2414" s="32">
        <v>0</v>
      </c>
      <c r="H2414" s="22"/>
      <c r="I2414" s="11">
        <f>Table1[[#This Row],[Qty]]*Table1[[#This Row],[Price]]</f>
        <v>0</v>
      </c>
    </row>
    <row r="2415" spans="1:9" x14ac:dyDescent="0.25">
      <c r="A2415" s="28">
        <v>3349668599110</v>
      </c>
      <c r="B2415" s="29" t="s">
        <v>1299</v>
      </c>
      <c r="C2415" s="30" t="s">
        <v>49</v>
      </c>
      <c r="D2415" s="31" t="s">
        <v>1300</v>
      </c>
      <c r="E2415" s="51">
        <v>62.54</v>
      </c>
      <c r="F2415" s="32" t="s">
        <v>15</v>
      </c>
      <c r="G2415" s="32">
        <v>0</v>
      </c>
      <c r="H2415" s="22"/>
      <c r="I2415" s="11">
        <f>Table1[[#This Row],[Qty]]*Table1[[#This Row],[Price]]</f>
        <v>0</v>
      </c>
    </row>
    <row r="2416" spans="1:9" x14ac:dyDescent="0.25">
      <c r="A2416" s="28">
        <v>3349668608324</v>
      </c>
      <c r="B2416" s="29" t="s">
        <v>1307</v>
      </c>
      <c r="C2416" s="33" t="s">
        <v>49</v>
      </c>
      <c r="D2416" s="31" t="s">
        <v>1308</v>
      </c>
      <c r="E2416" s="51">
        <v>61.48</v>
      </c>
      <c r="F2416" s="32" t="s">
        <v>15</v>
      </c>
      <c r="G2416" s="32">
        <v>0</v>
      </c>
      <c r="H2416" s="22"/>
      <c r="I2416" s="11">
        <f>Table1[[#This Row],[Qty]]*Table1[[#This Row],[Price]]</f>
        <v>0</v>
      </c>
    </row>
    <row r="2417" spans="1:9" x14ac:dyDescent="0.25">
      <c r="A2417" s="28">
        <v>3349668594603</v>
      </c>
      <c r="B2417" s="29" t="s">
        <v>1449</v>
      </c>
      <c r="C2417" s="30" t="s">
        <v>49</v>
      </c>
      <c r="D2417" s="31" t="s">
        <v>1450</v>
      </c>
      <c r="E2417" s="51">
        <v>41.5</v>
      </c>
      <c r="F2417" s="32" t="s">
        <v>15</v>
      </c>
      <c r="G2417" s="32" t="s">
        <v>6214</v>
      </c>
      <c r="H2417" s="12"/>
      <c r="I2417" s="11">
        <f>Table1[[#This Row],[Qty]]*Table1[[#This Row],[Price]]</f>
        <v>0</v>
      </c>
    </row>
    <row r="2418" spans="1:9" x14ac:dyDescent="0.25">
      <c r="A2418" s="28">
        <v>3349668515653</v>
      </c>
      <c r="B2418" s="29" t="s">
        <v>1494</v>
      </c>
      <c r="C2418" s="30" t="s">
        <v>49</v>
      </c>
      <c r="D2418" s="31" t="s">
        <v>1495</v>
      </c>
      <c r="E2418" s="51">
        <v>36.5</v>
      </c>
      <c r="F2418" s="32" t="s">
        <v>15</v>
      </c>
      <c r="G2418" s="32" t="s">
        <v>6227</v>
      </c>
      <c r="H2418" s="12"/>
      <c r="I2418" s="11">
        <f>Table1[[#This Row],[Qty]]*Table1[[#This Row],[Price]]</f>
        <v>0</v>
      </c>
    </row>
    <row r="2419" spans="1:9" x14ac:dyDescent="0.25">
      <c r="A2419" s="28">
        <v>3349668515714</v>
      </c>
      <c r="B2419" s="29" t="s">
        <v>1600</v>
      </c>
      <c r="C2419" s="30" t="s">
        <v>49</v>
      </c>
      <c r="D2419" s="31" t="s">
        <v>1601</v>
      </c>
      <c r="E2419" s="51">
        <v>28</v>
      </c>
      <c r="F2419" s="32" t="s">
        <v>15</v>
      </c>
      <c r="G2419" s="32">
        <v>0</v>
      </c>
      <c r="H2419" s="22"/>
      <c r="I2419" s="11">
        <f>Table1[[#This Row],[Qty]]*Table1[[#This Row],[Price]]</f>
        <v>0</v>
      </c>
    </row>
    <row r="2420" spans="1:9" x14ac:dyDescent="0.25">
      <c r="A2420" s="28">
        <v>3349668081318</v>
      </c>
      <c r="B2420" s="29" t="s">
        <v>1746</v>
      </c>
      <c r="C2420" s="30" t="s">
        <v>49</v>
      </c>
      <c r="D2420" s="31" t="s">
        <v>1747</v>
      </c>
      <c r="E2420" s="51">
        <v>22</v>
      </c>
      <c r="F2420" s="32" t="s">
        <v>15</v>
      </c>
      <c r="G2420" s="32" t="s">
        <v>6292</v>
      </c>
      <c r="H2420" s="12"/>
      <c r="I2420" s="11">
        <f>Table1[[#This Row],[Qty]]*Table1[[#This Row],[Price]]</f>
        <v>0</v>
      </c>
    </row>
    <row r="2421" spans="1:9" x14ac:dyDescent="0.25">
      <c r="A2421" s="28">
        <v>3349668597277</v>
      </c>
      <c r="B2421" s="29" t="s">
        <v>1779</v>
      </c>
      <c r="C2421" s="30" t="s">
        <v>49</v>
      </c>
      <c r="D2421" s="31" t="s">
        <v>1780</v>
      </c>
      <c r="E2421" s="51">
        <v>21</v>
      </c>
      <c r="F2421" s="32" t="s">
        <v>15</v>
      </c>
      <c r="G2421" s="32">
        <v>0</v>
      </c>
      <c r="H2421" s="22"/>
      <c r="I2421" s="11">
        <f>Table1[[#This Row],[Qty]]*Table1[[#This Row],[Price]]</f>
        <v>0</v>
      </c>
    </row>
    <row r="2422" spans="1:9" x14ac:dyDescent="0.25">
      <c r="A2422" s="28">
        <v>3349668582365</v>
      </c>
      <c r="B2422" s="29" t="s">
        <v>2785</v>
      </c>
      <c r="C2422" s="30" t="s">
        <v>49</v>
      </c>
      <c r="D2422" s="31" t="s">
        <v>2786</v>
      </c>
      <c r="E2422" s="51">
        <v>45.87</v>
      </c>
      <c r="F2422" s="32" t="s">
        <v>15</v>
      </c>
      <c r="G2422" s="32" t="s">
        <v>6607</v>
      </c>
      <c r="H2422" s="12"/>
      <c r="I2422" s="11">
        <f>Table1[[#This Row],[Qty]]*Table1[[#This Row],[Price]]</f>
        <v>0</v>
      </c>
    </row>
    <row r="2423" spans="1:9" x14ac:dyDescent="0.25">
      <c r="A2423" s="28">
        <v>3349668595945</v>
      </c>
      <c r="B2423" s="29" t="s">
        <v>2787</v>
      </c>
      <c r="C2423" s="30" t="s">
        <v>49</v>
      </c>
      <c r="D2423" s="31" t="s">
        <v>2788</v>
      </c>
      <c r="E2423" s="51">
        <v>80.56</v>
      </c>
      <c r="F2423" s="32" t="s">
        <v>15</v>
      </c>
      <c r="G2423" s="32">
        <v>0</v>
      </c>
      <c r="H2423" s="22"/>
      <c r="I2423" s="11">
        <f>Table1[[#This Row],[Qty]]*Table1[[#This Row],[Price]]</f>
        <v>0</v>
      </c>
    </row>
    <row r="2424" spans="1:9" x14ac:dyDescent="0.25">
      <c r="A2424" s="28">
        <v>3349668594412</v>
      </c>
      <c r="B2424" s="29" t="s">
        <v>3256</v>
      </c>
      <c r="C2424" s="30" t="s">
        <v>49</v>
      </c>
      <c r="D2424" s="31" t="s">
        <v>3257</v>
      </c>
      <c r="E2424" s="51">
        <v>67.84</v>
      </c>
      <c r="F2424" s="32" t="s">
        <v>15</v>
      </c>
      <c r="G2424" s="32" t="s">
        <v>6762</v>
      </c>
      <c r="H2424" s="12"/>
      <c r="I2424" s="11">
        <f>Table1[[#This Row],[Qty]]*Table1[[#This Row],[Price]]</f>
        <v>0</v>
      </c>
    </row>
    <row r="2425" spans="1:9" x14ac:dyDescent="0.25">
      <c r="A2425" s="28">
        <v>3349668645213</v>
      </c>
      <c r="B2425" s="29" t="s">
        <v>3303</v>
      </c>
      <c r="C2425" s="30" t="s">
        <v>49</v>
      </c>
      <c r="D2425" s="31" t="s">
        <v>3304</v>
      </c>
      <c r="E2425" s="51">
        <v>68.900000000000006</v>
      </c>
      <c r="F2425" s="32" t="s">
        <v>15</v>
      </c>
      <c r="G2425" s="32" t="s">
        <v>6782</v>
      </c>
      <c r="H2425" s="12"/>
      <c r="I2425" s="11">
        <f>Table1[[#This Row],[Qty]]*Table1[[#This Row],[Price]]</f>
        <v>0</v>
      </c>
    </row>
    <row r="2426" spans="1:9" x14ac:dyDescent="0.25">
      <c r="A2426" s="28">
        <v>3349668600304</v>
      </c>
      <c r="B2426" s="29" t="s">
        <v>3592</v>
      </c>
      <c r="C2426" s="30" t="s">
        <v>49</v>
      </c>
      <c r="D2426" s="31" t="s">
        <v>3593</v>
      </c>
      <c r="E2426" s="51">
        <v>70.489999999999995</v>
      </c>
      <c r="F2426" s="32" t="s">
        <v>15</v>
      </c>
      <c r="G2426" s="32" t="s">
        <v>6922</v>
      </c>
      <c r="H2426" s="12"/>
      <c r="I2426" s="11">
        <f>Table1[[#This Row],[Qty]]*Table1[[#This Row],[Price]]</f>
        <v>0</v>
      </c>
    </row>
    <row r="2427" spans="1:9" x14ac:dyDescent="0.25">
      <c r="A2427" s="28">
        <v>3349668608409</v>
      </c>
      <c r="B2427" s="29" t="s">
        <v>3941</v>
      </c>
      <c r="C2427" s="33" t="s">
        <v>49</v>
      </c>
      <c r="D2427" s="31" t="s">
        <v>3942</v>
      </c>
      <c r="E2427" s="51">
        <v>67.7</v>
      </c>
      <c r="F2427" s="32" t="s">
        <v>15</v>
      </c>
      <c r="G2427" s="32" t="s">
        <v>7137</v>
      </c>
      <c r="H2427" s="22"/>
      <c r="I2427" s="11">
        <f>Table1[[#This Row],[Qty]]*Table1[[#This Row],[Price]]</f>
        <v>0</v>
      </c>
    </row>
    <row r="2428" spans="1:9" x14ac:dyDescent="0.25">
      <c r="A2428" s="28">
        <v>3349668627530</v>
      </c>
      <c r="B2428" s="29" t="s">
        <v>4167</v>
      </c>
      <c r="C2428" s="30" t="s">
        <v>49</v>
      </c>
      <c r="D2428" s="31" t="s">
        <v>4168</v>
      </c>
      <c r="E2428" s="51">
        <v>67.069999999999993</v>
      </c>
      <c r="F2428" s="32" t="s">
        <v>15</v>
      </c>
      <c r="G2428" s="32" t="s">
        <v>7228</v>
      </c>
      <c r="H2428" s="12"/>
      <c r="I2428" s="11">
        <f>Table1[[#This Row],[Qty]]*Table1[[#This Row],[Price]]</f>
        <v>0</v>
      </c>
    </row>
    <row r="2429" spans="1:9" x14ac:dyDescent="0.25">
      <c r="A2429" s="28">
        <v>3349668614479</v>
      </c>
      <c r="B2429" s="29" t="s">
        <v>5376</v>
      </c>
      <c r="C2429" s="30" t="s">
        <v>49</v>
      </c>
      <c r="D2429" s="31" t="s">
        <v>5377</v>
      </c>
      <c r="E2429" s="51">
        <v>15.5</v>
      </c>
      <c r="F2429" s="32" t="s">
        <v>15</v>
      </c>
      <c r="G2429" s="32">
        <v>0</v>
      </c>
      <c r="H2429" s="12"/>
      <c r="I2429" s="11">
        <f>Table1[[#This Row],[Qty]]*Table1[[#This Row],[Price]]</f>
        <v>0</v>
      </c>
    </row>
    <row r="2430" spans="1:9" x14ac:dyDescent="0.25">
      <c r="A2430" s="28">
        <v>3349668568093</v>
      </c>
      <c r="B2430" s="29" t="s">
        <v>5372</v>
      </c>
      <c r="C2430" s="30" t="s">
        <v>49</v>
      </c>
      <c r="D2430" s="31" t="s">
        <v>5373</v>
      </c>
      <c r="E2430" s="51">
        <v>15</v>
      </c>
      <c r="F2430" s="32" t="s">
        <v>15</v>
      </c>
      <c r="G2430" s="32" t="s">
        <v>7422</v>
      </c>
      <c r="H2430" s="12"/>
      <c r="I2430" s="11">
        <f>Table1[[#This Row],[Qty]]*Table1[[#This Row],[Price]]</f>
        <v>0</v>
      </c>
    </row>
    <row r="2431" spans="1:9" x14ac:dyDescent="0.25">
      <c r="A2431" s="28">
        <v>3360370600192</v>
      </c>
      <c r="B2431" s="29" t="s">
        <v>1519</v>
      </c>
      <c r="C2431" s="30" t="s">
        <v>1520</v>
      </c>
      <c r="D2431" s="31" t="s">
        <v>1521</v>
      </c>
      <c r="E2431" s="51">
        <v>33.5</v>
      </c>
      <c r="F2431" s="32" t="s">
        <v>15</v>
      </c>
      <c r="G2431" s="32" t="s">
        <v>6236</v>
      </c>
      <c r="H2431" s="12"/>
      <c r="I2431" s="11">
        <f>Table1[[#This Row],[Qty]]*Table1[[#This Row],[Price]]</f>
        <v>0</v>
      </c>
    </row>
    <row r="2432" spans="1:9" x14ac:dyDescent="0.25">
      <c r="A2432" s="28">
        <v>6293498141711</v>
      </c>
      <c r="B2432" s="29" t="s">
        <v>962</v>
      </c>
      <c r="C2432" s="30" t="s">
        <v>963</v>
      </c>
      <c r="D2432" s="31" t="s">
        <v>964</v>
      </c>
      <c r="E2432" s="51">
        <v>16.5</v>
      </c>
      <c r="F2432" s="32" t="s">
        <v>15</v>
      </c>
      <c r="G2432" s="32" t="s">
        <v>6066</v>
      </c>
      <c r="H2432" s="12"/>
      <c r="I2432" s="11">
        <f>Table1[[#This Row],[Qty]]*Table1[[#This Row],[Price]]</f>
        <v>0</v>
      </c>
    </row>
    <row r="2433" spans="1:9" x14ac:dyDescent="0.25">
      <c r="A2433" s="48">
        <v>6295586523157</v>
      </c>
      <c r="B2433" s="41" t="s">
        <v>1844</v>
      </c>
      <c r="C2433" s="6" t="s">
        <v>963</v>
      </c>
      <c r="D2433" t="s">
        <v>1845</v>
      </c>
      <c r="E2433" s="47">
        <v>18.5</v>
      </c>
      <c r="F2433" s="6" t="s">
        <v>15</v>
      </c>
      <c r="G2433" s="6">
        <v>0</v>
      </c>
      <c r="H2433" s="22"/>
      <c r="I2433" s="11">
        <f>Table1[[#This Row],[Qty]]*Table1[[#This Row],[Price]]</f>
        <v>0</v>
      </c>
    </row>
    <row r="2434" spans="1:9" x14ac:dyDescent="0.25">
      <c r="A2434" s="28">
        <v>6293499141710</v>
      </c>
      <c r="B2434" s="29" t="s">
        <v>1874</v>
      </c>
      <c r="C2434" s="30" t="s">
        <v>963</v>
      </c>
      <c r="D2434" s="31" t="s">
        <v>1875</v>
      </c>
      <c r="E2434" s="51">
        <v>17</v>
      </c>
      <c r="F2434" s="32" t="s">
        <v>15</v>
      </c>
      <c r="G2434" s="32" t="s">
        <v>6321</v>
      </c>
      <c r="H2434" s="12"/>
      <c r="I2434" s="11">
        <f>Table1[[#This Row],[Qty]]*Table1[[#This Row],[Price]]</f>
        <v>0</v>
      </c>
    </row>
    <row r="2435" spans="1:9" x14ac:dyDescent="0.25">
      <c r="A2435" s="28">
        <v>6292021552253</v>
      </c>
      <c r="B2435" s="29" t="s">
        <v>1913</v>
      </c>
      <c r="C2435" s="30" t="s">
        <v>963</v>
      </c>
      <c r="D2435" s="31" t="s">
        <v>1914</v>
      </c>
      <c r="E2435" s="51">
        <v>16.5</v>
      </c>
      <c r="F2435" s="32" t="s">
        <v>15</v>
      </c>
      <c r="G2435" s="32">
        <v>0</v>
      </c>
      <c r="H2435" s="12"/>
      <c r="I2435" s="11">
        <f>Table1[[#This Row],[Qty]]*Table1[[#This Row],[Price]]</f>
        <v>0</v>
      </c>
    </row>
    <row r="2436" spans="1:9" x14ac:dyDescent="0.25">
      <c r="A2436" s="28">
        <v>6291419205566</v>
      </c>
      <c r="B2436" s="29" t="s">
        <v>1955</v>
      </c>
      <c r="C2436" s="30" t="s">
        <v>963</v>
      </c>
      <c r="D2436" s="31" t="s">
        <v>1956</v>
      </c>
      <c r="E2436" s="51">
        <v>15.42</v>
      </c>
      <c r="F2436" s="32" t="s">
        <v>15</v>
      </c>
      <c r="G2436" s="32" t="s">
        <v>6346</v>
      </c>
      <c r="H2436" s="22"/>
      <c r="I2436" s="11">
        <f>Table1[[#This Row],[Qty]]*Table1[[#This Row],[Price]]</f>
        <v>0</v>
      </c>
    </row>
    <row r="2437" spans="1:9" x14ac:dyDescent="0.25">
      <c r="A2437" s="28">
        <v>6291112131452</v>
      </c>
      <c r="B2437" s="29" t="s">
        <v>1977</v>
      </c>
      <c r="C2437" s="30" t="s">
        <v>963</v>
      </c>
      <c r="D2437" s="31" t="s">
        <v>1978</v>
      </c>
      <c r="E2437" s="51">
        <v>15</v>
      </c>
      <c r="F2437" s="32" t="s">
        <v>15</v>
      </c>
      <c r="G2437" s="32">
        <v>0</v>
      </c>
      <c r="H2437" s="12"/>
      <c r="I2437" s="11">
        <f>Table1[[#This Row],[Qty]]*Table1[[#This Row],[Price]]</f>
        <v>0</v>
      </c>
    </row>
    <row r="2438" spans="1:9" x14ac:dyDescent="0.25">
      <c r="A2438" s="28">
        <v>6298575015534</v>
      </c>
      <c r="B2438" s="29" t="s">
        <v>2603</v>
      </c>
      <c r="C2438" s="30" t="s">
        <v>963</v>
      </c>
      <c r="D2438" s="31" t="s">
        <v>2604</v>
      </c>
      <c r="E2438" s="51">
        <v>15.66</v>
      </c>
      <c r="F2438" s="32" t="s">
        <v>15</v>
      </c>
      <c r="G2438" s="32" t="s">
        <v>6535</v>
      </c>
      <c r="H2438" s="12"/>
      <c r="I2438" s="11">
        <f>Table1[[#This Row],[Qty]]*Table1[[#This Row],[Price]]</f>
        <v>0</v>
      </c>
    </row>
    <row r="2439" spans="1:9" x14ac:dyDescent="0.25">
      <c r="A2439" s="28">
        <v>6293365212230</v>
      </c>
      <c r="B2439" s="29" t="s">
        <v>2631</v>
      </c>
      <c r="C2439" s="30" t="s">
        <v>963</v>
      </c>
      <c r="D2439" s="31" t="s">
        <v>2632</v>
      </c>
      <c r="E2439" s="51">
        <v>22.03</v>
      </c>
      <c r="F2439" s="32" t="s">
        <v>15</v>
      </c>
      <c r="G2439" s="32" t="s">
        <v>6547</v>
      </c>
      <c r="H2439" s="22"/>
      <c r="I2439" s="11">
        <f>Table1[[#This Row],[Qty]]*Table1[[#This Row],[Price]]</f>
        <v>0</v>
      </c>
    </row>
    <row r="2440" spans="1:9" x14ac:dyDescent="0.25">
      <c r="A2440" s="28">
        <v>6291419205559</v>
      </c>
      <c r="B2440" s="29" t="s">
        <v>3864</v>
      </c>
      <c r="C2440" s="30" t="s">
        <v>963</v>
      </c>
      <c r="D2440" s="31" t="s">
        <v>3865</v>
      </c>
      <c r="E2440" s="51">
        <v>11.28</v>
      </c>
      <c r="F2440" s="32" t="s">
        <v>15</v>
      </c>
      <c r="G2440" s="32" t="s">
        <v>7103</v>
      </c>
      <c r="H2440" s="12"/>
      <c r="I2440" s="11">
        <f>Table1[[#This Row],[Qty]]*Table1[[#This Row],[Price]]</f>
        <v>0</v>
      </c>
    </row>
    <row r="2441" spans="1:9" x14ac:dyDescent="0.25">
      <c r="A2441" s="28">
        <v>608940521700</v>
      </c>
      <c r="B2441" s="29" t="s">
        <v>1788</v>
      </c>
      <c r="C2441" s="30" t="s">
        <v>497</v>
      </c>
      <c r="D2441" s="31" t="s">
        <v>1789</v>
      </c>
      <c r="E2441" s="51">
        <v>19.5</v>
      </c>
      <c r="F2441" s="32" t="s">
        <v>15</v>
      </c>
      <c r="G2441" s="32" t="s">
        <v>6303</v>
      </c>
      <c r="H2441" s="12"/>
      <c r="I2441" s="11">
        <f>Table1[[#This Row],[Qty]]*Table1[[#This Row],[Price]]</f>
        <v>0</v>
      </c>
    </row>
    <row r="2442" spans="1:9" x14ac:dyDescent="0.25">
      <c r="A2442" s="28">
        <v>608940580295</v>
      </c>
      <c r="B2442" s="29" t="s">
        <v>1933</v>
      </c>
      <c r="C2442" s="30" t="s">
        <v>497</v>
      </c>
      <c r="D2442" s="31" t="s">
        <v>1934</v>
      </c>
      <c r="E2442" s="51">
        <v>15.75</v>
      </c>
      <c r="F2442" s="32" t="s">
        <v>15</v>
      </c>
      <c r="G2442" s="32">
        <v>0</v>
      </c>
      <c r="H2442" s="22"/>
      <c r="I2442" s="11">
        <f>Table1[[#This Row],[Qty]]*Table1[[#This Row],[Price]]</f>
        <v>0</v>
      </c>
    </row>
    <row r="2443" spans="1:9" x14ac:dyDescent="0.25">
      <c r="A2443" s="28">
        <v>883991088963</v>
      </c>
      <c r="B2443" s="29" t="s">
        <v>2217</v>
      </c>
      <c r="C2443" s="30" t="s">
        <v>497</v>
      </c>
      <c r="D2443" s="31" t="s">
        <v>2218</v>
      </c>
      <c r="E2443" s="51">
        <v>7.5</v>
      </c>
      <c r="F2443" s="32" t="s">
        <v>15</v>
      </c>
      <c r="G2443" s="32">
        <v>0</v>
      </c>
      <c r="H2443" s="12"/>
      <c r="I2443" s="11">
        <f>Table1[[#This Row],[Qty]]*Table1[[#This Row],[Price]]</f>
        <v>0</v>
      </c>
    </row>
    <row r="2444" spans="1:9" x14ac:dyDescent="0.25">
      <c r="A2444" s="28">
        <v>883991129376</v>
      </c>
      <c r="B2444" s="29" t="s">
        <v>2231</v>
      </c>
      <c r="C2444" s="30" t="s">
        <v>497</v>
      </c>
      <c r="D2444" s="31" t="s">
        <v>2232</v>
      </c>
      <c r="E2444" s="51">
        <v>7.25</v>
      </c>
      <c r="F2444" s="32" t="s">
        <v>15</v>
      </c>
      <c r="G2444" s="32">
        <v>0</v>
      </c>
      <c r="H2444" s="12"/>
      <c r="I2444" s="11">
        <f>Table1[[#This Row],[Qty]]*Table1[[#This Row],[Price]]</f>
        <v>0</v>
      </c>
    </row>
    <row r="2445" spans="1:9" x14ac:dyDescent="0.25">
      <c r="A2445" s="28">
        <v>883991110879</v>
      </c>
      <c r="B2445" s="29" t="s">
        <v>2270</v>
      </c>
      <c r="C2445" s="30" t="s">
        <v>497</v>
      </c>
      <c r="D2445" s="31" t="s">
        <v>2271</v>
      </c>
      <c r="E2445" s="51">
        <v>6.35</v>
      </c>
      <c r="F2445" s="32" t="s">
        <v>15</v>
      </c>
      <c r="G2445" s="32">
        <v>0</v>
      </c>
      <c r="H2445" s="22"/>
      <c r="I2445" s="11">
        <f>Table1[[#This Row],[Qty]]*Table1[[#This Row],[Price]]</f>
        <v>0</v>
      </c>
    </row>
    <row r="2446" spans="1:9" x14ac:dyDescent="0.25">
      <c r="A2446" s="28">
        <v>608940579572</v>
      </c>
      <c r="B2446" s="29" t="s">
        <v>2278</v>
      </c>
      <c r="C2446" s="30" t="s">
        <v>497</v>
      </c>
      <c r="D2446" s="31" t="s">
        <v>2279</v>
      </c>
      <c r="E2446" s="51">
        <v>5.75</v>
      </c>
      <c r="F2446" s="32" t="s">
        <v>15</v>
      </c>
      <c r="G2446" s="32">
        <v>0</v>
      </c>
      <c r="H2446" s="22"/>
      <c r="I2446" s="11">
        <f>Table1[[#This Row],[Qty]]*Table1[[#This Row],[Price]]</f>
        <v>0</v>
      </c>
    </row>
    <row r="2447" spans="1:9" x14ac:dyDescent="0.25">
      <c r="A2447" s="28">
        <v>608940581513</v>
      </c>
      <c r="B2447" s="29" t="s">
        <v>2781</v>
      </c>
      <c r="C2447" s="30" t="s">
        <v>497</v>
      </c>
      <c r="D2447" s="31" t="s">
        <v>2782</v>
      </c>
      <c r="E2447" s="51">
        <v>4</v>
      </c>
      <c r="F2447" s="32" t="s">
        <v>15</v>
      </c>
      <c r="G2447" s="32">
        <v>0</v>
      </c>
      <c r="H2447" s="22"/>
      <c r="I2447" s="11">
        <f>Table1[[#This Row],[Qty]]*Table1[[#This Row],[Price]]</f>
        <v>0</v>
      </c>
    </row>
    <row r="2448" spans="1:9" x14ac:dyDescent="0.25">
      <c r="A2448" s="28">
        <v>608940580561</v>
      </c>
      <c r="B2448" s="29" t="s">
        <v>3780</v>
      </c>
      <c r="C2448" s="30" t="s">
        <v>497</v>
      </c>
      <c r="D2448" s="31" t="s">
        <v>3781</v>
      </c>
      <c r="E2448" s="51">
        <v>16.68</v>
      </c>
      <c r="F2448" s="32" t="s">
        <v>15</v>
      </c>
      <c r="G2448" s="32" t="s">
        <v>7062</v>
      </c>
      <c r="H2448" s="14"/>
      <c r="I2448" s="11">
        <f>Table1[[#This Row],[Qty]]*Table1[[#This Row],[Price]]</f>
        <v>0</v>
      </c>
    </row>
    <row r="2449" spans="1:9" x14ac:dyDescent="0.25">
      <c r="A2449" s="28">
        <v>608940573341</v>
      </c>
      <c r="B2449" s="29" t="s">
        <v>3796</v>
      </c>
      <c r="C2449" s="30" t="s">
        <v>497</v>
      </c>
      <c r="D2449" s="31" t="s">
        <v>3797</v>
      </c>
      <c r="E2449" s="51">
        <v>16.88</v>
      </c>
      <c r="F2449" s="32" t="s">
        <v>15</v>
      </c>
      <c r="G2449" s="32" t="s">
        <v>7069</v>
      </c>
      <c r="H2449" s="12"/>
      <c r="I2449" s="11">
        <f>Table1[[#This Row],[Qty]]*Table1[[#This Row],[Price]]</f>
        <v>0</v>
      </c>
    </row>
    <row r="2450" spans="1:9" x14ac:dyDescent="0.25">
      <c r="A2450" s="28">
        <v>608940583562</v>
      </c>
      <c r="B2450" s="29" t="s">
        <v>3798</v>
      </c>
      <c r="C2450" s="30" t="s">
        <v>497</v>
      </c>
      <c r="D2450" s="31" t="s">
        <v>3799</v>
      </c>
      <c r="E2450" s="51">
        <v>16.12</v>
      </c>
      <c r="F2450" s="32" t="s">
        <v>15</v>
      </c>
      <c r="G2450" s="32" t="s">
        <v>7070</v>
      </c>
      <c r="H2450" s="12"/>
      <c r="I2450" s="11">
        <f>Table1[[#This Row],[Qty]]*Table1[[#This Row],[Price]]</f>
        <v>0</v>
      </c>
    </row>
    <row r="2451" spans="1:9" x14ac:dyDescent="0.25">
      <c r="A2451" s="28">
        <v>608940575307</v>
      </c>
      <c r="B2451" s="29" t="s">
        <v>3812</v>
      </c>
      <c r="C2451" s="30" t="s">
        <v>497</v>
      </c>
      <c r="D2451" s="31" t="s">
        <v>3813</v>
      </c>
      <c r="E2451" s="51">
        <v>16.98</v>
      </c>
      <c r="F2451" s="32" t="s">
        <v>15</v>
      </c>
      <c r="G2451" s="32" t="s">
        <v>7077</v>
      </c>
      <c r="H2451" s="22"/>
      <c r="I2451" s="11">
        <f>Table1[[#This Row],[Qty]]*Table1[[#This Row],[Price]]</f>
        <v>0</v>
      </c>
    </row>
    <row r="2452" spans="1:9" x14ac:dyDescent="0.25">
      <c r="A2452" s="28">
        <v>608940550144</v>
      </c>
      <c r="B2452" s="29" t="s">
        <v>5297</v>
      </c>
      <c r="C2452" s="30" t="s">
        <v>497</v>
      </c>
      <c r="D2452" s="31" t="s">
        <v>5298</v>
      </c>
      <c r="E2452" s="51">
        <v>22</v>
      </c>
      <c r="F2452" s="32" t="s">
        <v>15</v>
      </c>
      <c r="G2452" s="32">
        <v>0</v>
      </c>
      <c r="H2452" s="12"/>
      <c r="I2452" s="11">
        <f>Table1[[#This Row],[Qty]]*Table1[[#This Row],[Price]]</f>
        <v>0</v>
      </c>
    </row>
    <row r="2453" spans="1:9" x14ac:dyDescent="0.25">
      <c r="A2453" s="28">
        <v>8436581942118</v>
      </c>
      <c r="B2453" s="29" t="s">
        <v>5141</v>
      </c>
      <c r="C2453" s="30" t="s">
        <v>5058</v>
      </c>
      <c r="D2453" s="31" t="s">
        <v>5142</v>
      </c>
      <c r="E2453" s="51">
        <v>20.5</v>
      </c>
      <c r="F2453" s="32" t="s">
        <v>15</v>
      </c>
      <c r="G2453" s="32">
        <v>0</v>
      </c>
      <c r="H2453" s="12"/>
      <c r="I2453" s="11">
        <f>Table1[[#This Row],[Qty]]*Table1[[#This Row],[Price]]</f>
        <v>0</v>
      </c>
    </row>
    <row r="2454" spans="1:9" x14ac:dyDescent="0.25">
      <c r="A2454" s="48">
        <v>8436581942149</v>
      </c>
      <c r="B2454" s="41" t="s">
        <v>5143</v>
      </c>
      <c r="C2454" s="6" t="s">
        <v>5058</v>
      </c>
      <c r="D2454" t="s">
        <v>5144</v>
      </c>
      <c r="E2454" s="47">
        <v>20.5</v>
      </c>
      <c r="F2454" s="6" t="s">
        <v>15</v>
      </c>
      <c r="G2454" s="6">
        <v>0</v>
      </c>
      <c r="H2454" s="22"/>
      <c r="I2454" s="11">
        <f>Table1[[#This Row],[Qty]]*Table1[[#This Row],[Price]]</f>
        <v>0</v>
      </c>
    </row>
    <row r="2455" spans="1:9" x14ac:dyDescent="0.25">
      <c r="A2455" s="28">
        <v>8436581940251</v>
      </c>
      <c r="B2455" s="29" t="s">
        <v>5147</v>
      </c>
      <c r="C2455" s="30" t="s">
        <v>5058</v>
      </c>
      <c r="D2455" s="31" t="s">
        <v>5148</v>
      </c>
      <c r="E2455" s="51">
        <v>20.5</v>
      </c>
      <c r="F2455" s="32" t="s">
        <v>15</v>
      </c>
      <c r="G2455" s="32">
        <v>0</v>
      </c>
      <c r="H2455" s="22"/>
      <c r="I2455" s="11">
        <f>Table1[[#This Row],[Qty]]*Table1[[#This Row],[Price]]</f>
        <v>0</v>
      </c>
    </row>
    <row r="2456" spans="1:9" x14ac:dyDescent="0.25">
      <c r="A2456" s="28">
        <v>8436581940268</v>
      </c>
      <c r="B2456" s="29" t="s">
        <v>5131</v>
      </c>
      <c r="C2456" s="30" t="s">
        <v>5058</v>
      </c>
      <c r="D2456" s="31" t="s">
        <v>5132</v>
      </c>
      <c r="E2456" s="51">
        <v>18.5</v>
      </c>
      <c r="F2456" s="32" t="s">
        <v>15</v>
      </c>
      <c r="G2456" s="32">
        <v>0</v>
      </c>
      <c r="H2456" s="22"/>
      <c r="I2456" s="11">
        <f>Table1[[#This Row],[Qty]]*Table1[[#This Row],[Price]]</f>
        <v>0</v>
      </c>
    </row>
    <row r="2457" spans="1:9" x14ac:dyDescent="0.25">
      <c r="A2457" s="28">
        <v>8436581942538</v>
      </c>
      <c r="B2457" s="29" t="s">
        <v>5133</v>
      </c>
      <c r="C2457" s="30" t="s">
        <v>5058</v>
      </c>
      <c r="D2457" s="31" t="s">
        <v>5134</v>
      </c>
      <c r="E2457" s="51">
        <v>17.5</v>
      </c>
      <c r="F2457" s="32" t="s">
        <v>15</v>
      </c>
      <c r="G2457" s="32">
        <v>0</v>
      </c>
      <c r="H2457" s="22"/>
      <c r="I2457" s="11">
        <f>Table1[[#This Row],[Qty]]*Table1[[#This Row],[Price]]</f>
        <v>0</v>
      </c>
    </row>
    <row r="2458" spans="1:9" x14ac:dyDescent="0.25">
      <c r="A2458" s="28">
        <v>8436581942545</v>
      </c>
      <c r="B2458" s="29" t="s">
        <v>5081</v>
      </c>
      <c r="C2458" s="30" t="s">
        <v>5058</v>
      </c>
      <c r="D2458" s="31" t="s">
        <v>5082</v>
      </c>
      <c r="E2458" s="51">
        <v>15</v>
      </c>
      <c r="F2458" s="32" t="s">
        <v>15</v>
      </c>
      <c r="G2458" s="32">
        <v>0</v>
      </c>
      <c r="H2458" s="12"/>
      <c r="I2458" s="11">
        <f>Table1[[#This Row],[Qty]]*Table1[[#This Row],[Price]]</f>
        <v>0</v>
      </c>
    </row>
    <row r="2459" spans="1:9" x14ac:dyDescent="0.25">
      <c r="A2459" s="28">
        <v>8436581942095</v>
      </c>
      <c r="B2459" s="29" t="s">
        <v>5057</v>
      </c>
      <c r="C2459" s="30" t="s">
        <v>5058</v>
      </c>
      <c r="D2459" s="31" t="s">
        <v>5059</v>
      </c>
      <c r="E2459" s="51">
        <v>13.5</v>
      </c>
      <c r="F2459" s="32" t="s">
        <v>15</v>
      </c>
      <c r="G2459" s="32">
        <v>0</v>
      </c>
      <c r="H2459" s="12"/>
      <c r="I2459" s="11">
        <f>Table1[[#This Row],[Qty]]*Table1[[#This Row],[Price]]</f>
        <v>0</v>
      </c>
    </row>
    <row r="2460" spans="1:9" x14ac:dyDescent="0.25">
      <c r="A2460" s="28">
        <v>844061004788</v>
      </c>
      <c r="B2460" s="29" t="s">
        <v>208</v>
      </c>
      <c r="C2460" s="30" t="s">
        <v>209</v>
      </c>
      <c r="D2460" s="31" t="s">
        <v>210</v>
      </c>
      <c r="E2460" s="51">
        <v>25</v>
      </c>
      <c r="F2460" s="32" t="s">
        <v>15</v>
      </c>
      <c r="G2460" s="32" t="s">
        <v>5686</v>
      </c>
      <c r="H2460" s="12"/>
      <c r="I2460" s="11">
        <f>Table1[[#This Row],[Qty]]*Table1[[#This Row],[Price]]</f>
        <v>0</v>
      </c>
    </row>
    <row r="2461" spans="1:9" x14ac:dyDescent="0.25">
      <c r="A2461" s="28">
        <v>844061016118</v>
      </c>
      <c r="B2461" s="29" t="s">
        <v>271</v>
      </c>
      <c r="C2461" s="30" t="s">
        <v>209</v>
      </c>
      <c r="D2461" s="31" t="s">
        <v>272</v>
      </c>
      <c r="E2461" s="51">
        <v>16</v>
      </c>
      <c r="F2461" s="32" t="s">
        <v>15</v>
      </c>
      <c r="G2461" s="32" t="s">
        <v>5714</v>
      </c>
      <c r="H2461" s="22"/>
      <c r="I2461" s="11">
        <f>Table1[[#This Row],[Qty]]*Table1[[#This Row],[Price]]</f>
        <v>0</v>
      </c>
    </row>
    <row r="2462" spans="1:9" x14ac:dyDescent="0.25">
      <c r="A2462" s="28">
        <v>844061014664</v>
      </c>
      <c r="B2462" s="29" t="s">
        <v>1549</v>
      </c>
      <c r="C2462" s="30" t="s">
        <v>209</v>
      </c>
      <c r="D2462" s="31" t="s">
        <v>1550</v>
      </c>
      <c r="E2462" s="51">
        <v>31</v>
      </c>
      <c r="F2462" s="32" t="s">
        <v>15</v>
      </c>
      <c r="G2462" s="32">
        <v>0</v>
      </c>
      <c r="H2462" s="12"/>
      <c r="I2462" s="11">
        <f>Table1[[#This Row],[Qty]]*Table1[[#This Row],[Price]]</f>
        <v>0</v>
      </c>
    </row>
    <row r="2463" spans="1:9" x14ac:dyDescent="0.25">
      <c r="A2463" s="28">
        <v>844061013308</v>
      </c>
      <c r="B2463" s="29" t="s">
        <v>1638</v>
      </c>
      <c r="C2463" s="30" t="s">
        <v>209</v>
      </c>
      <c r="D2463" s="31" t="s">
        <v>1639</v>
      </c>
      <c r="E2463" s="51">
        <v>27</v>
      </c>
      <c r="F2463" s="32" t="s">
        <v>15</v>
      </c>
      <c r="G2463" s="32">
        <v>0</v>
      </c>
      <c r="H2463" s="22"/>
      <c r="I2463" s="11">
        <f>Table1[[#This Row],[Qty]]*Table1[[#This Row],[Price]]</f>
        <v>0</v>
      </c>
    </row>
    <row r="2464" spans="1:9" x14ac:dyDescent="0.25">
      <c r="A2464" s="28">
        <v>844061013919</v>
      </c>
      <c r="B2464" s="29" t="s">
        <v>1809</v>
      </c>
      <c r="C2464" s="30" t="s">
        <v>209</v>
      </c>
      <c r="D2464" s="31" t="s">
        <v>1810</v>
      </c>
      <c r="E2464" s="51">
        <v>19.95</v>
      </c>
      <c r="F2464" s="32" t="s">
        <v>15</v>
      </c>
      <c r="G2464" s="32">
        <v>0</v>
      </c>
      <c r="H2464" s="22"/>
      <c r="I2464" s="11">
        <f>Table1[[#This Row],[Qty]]*Table1[[#This Row],[Price]]</f>
        <v>0</v>
      </c>
    </row>
    <row r="2465" spans="1:9" x14ac:dyDescent="0.25">
      <c r="A2465" s="28">
        <v>844061006911</v>
      </c>
      <c r="B2465" s="29" t="s">
        <v>1815</v>
      </c>
      <c r="C2465" s="30" t="s">
        <v>209</v>
      </c>
      <c r="D2465" s="31" t="s">
        <v>1816</v>
      </c>
      <c r="E2465" s="51">
        <v>19.5</v>
      </c>
      <c r="F2465" s="32" t="s">
        <v>15</v>
      </c>
      <c r="G2465" s="32">
        <v>0</v>
      </c>
      <c r="H2465" s="12"/>
      <c r="I2465" s="11">
        <f>Table1[[#This Row],[Qty]]*Table1[[#This Row],[Price]]</f>
        <v>0</v>
      </c>
    </row>
    <row r="2466" spans="1:9" x14ac:dyDescent="0.25">
      <c r="A2466" s="28">
        <v>844061014473</v>
      </c>
      <c r="B2466" s="29" t="s">
        <v>2199</v>
      </c>
      <c r="C2466" s="30" t="s">
        <v>209</v>
      </c>
      <c r="D2466" s="31" t="s">
        <v>2200</v>
      </c>
      <c r="E2466" s="51">
        <v>8.25</v>
      </c>
      <c r="F2466" s="32" t="s">
        <v>15</v>
      </c>
      <c r="G2466" s="32">
        <v>0</v>
      </c>
      <c r="H2466" s="12"/>
      <c r="I2466" s="11">
        <f>Table1[[#This Row],[Qty]]*Table1[[#This Row],[Price]]</f>
        <v>0</v>
      </c>
    </row>
    <row r="2467" spans="1:9" x14ac:dyDescent="0.25">
      <c r="A2467" s="28">
        <v>844061014480</v>
      </c>
      <c r="B2467" s="29" t="s">
        <v>2201</v>
      </c>
      <c r="C2467" s="30" t="s">
        <v>209</v>
      </c>
      <c r="D2467" s="31" t="s">
        <v>2202</v>
      </c>
      <c r="E2467" s="51">
        <v>8.02</v>
      </c>
      <c r="F2467" s="32" t="s">
        <v>15</v>
      </c>
      <c r="G2467" s="32">
        <v>0</v>
      </c>
      <c r="H2467" s="22"/>
      <c r="I2467" s="11">
        <f>Table1[[#This Row],[Qty]]*Table1[[#This Row],[Price]]</f>
        <v>0</v>
      </c>
    </row>
    <row r="2468" spans="1:9" x14ac:dyDescent="0.25">
      <c r="A2468" s="28">
        <v>844061014732</v>
      </c>
      <c r="B2468" s="29" t="s">
        <v>2203</v>
      </c>
      <c r="C2468" s="33" t="s">
        <v>209</v>
      </c>
      <c r="D2468" s="31" t="s">
        <v>2204</v>
      </c>
      <c r="E2468" s="51">
        <v>8.02</v>
      </c>
      <c r="F2468" s="32" t="s">
        <v>15</v>
      </c>
      <c r="G2468" s="32">
        <v>0</v>
      </c>
      <c r="H2468" s="22"/>
      <c r="I2468" s="11">
        <f>Table1[[#This Row],[Qty]]*Table1[[#This Row],[Price]]</f>
        <v>0</v>
      </c>
    </row>
    <row r="2469" spans="1:9" x14ac:dyDescent="0.25">
      <c r="A2469" s="28">
        <v>844061000469</v>
      </c>
      <c r="B2469" s="29" t="s">
        <v>2757</v>
      </c>
      <c r="C2469" s="30" t="s">
        <v>209</v>
      </c>
      <c r="D2469" s="31" t="s">
        <v>2758</v>
      </c>
      <c r="E2469" s="51">
        <v>18.100000000000001</v>
      </c>
      <c r="F2469" s="32" t="s">
        <v>15</v>
      </c>
      <c r="G2469" s="32">
        <v>0</v>
      </c>
      <c r="H2469" s="22"/>
      <c r="I2469" s="11">
        <f>Table1[[#This Row],[Qty]]*Table1[[#This Row],[Price]]</f>
        <v>0</v>
      </c>
    </row>
    <row r="2470" spans="1:9" x14ac:dyDescent="0.25">
      <c r="A2470" s="28">
        <v>844061010161</v>
      </c>
      <c r="B2470" s="29" t="s">
        <v>2759</v>
      </c>
      <c r="C2470" s="33" t="s">
        <v>209</v>
      </c>
      <c r="D2470" s="31" t="s">
        <v>2760</v>
      </c>
      <c r="E2470" s="51">
        <v>15.5</v>
      </c>
      <c r="F2470" s="32" t="s">
        <v>15</v>
      </c>
      <c r="G2470" s="32" t="s">
        <v>6601</v>
      </c>
      <c r="H2470" s="22"/>
      <c r="I2470" s="11">
        <f>Table1[[#This Row],[Qty]]*Table1[[#This Row],[Price]]</f>
        <v>0</v>
      </c>
    </row>
    <row r="2471" spans="1:9" x14ac:dyDescent="0.25">
      <c r="A2471" s="28">
        <v>844061012899</v>
      </c>
      <c r="B2471" s="29" t="s">
        <v>2761</v>
      </c>
      <c r="C2471" s="30" t="s">
        <v>209</v>
      </c>
      <c r="D2471" s="31" t="s">
        <v>2762</v>
      </c>
      <c r="E2471" s="51">
        <v>25</v>
      </c>
      <c r="F2471" s="32" t="s">
        <v>15</v>
      </c>
      <c r="G2471" s="32" t="s">
        <v>6602</v>
      </c>
      <c r="H2471" s="12"/>
      <c r="I2471" s="11">
        <f>Table1[[#This Row],[Qty]]*Table1[[#This Row],[Price]]</f>
        <v>0</v>
      </c>
    </row>
    <row r="2472" spans="1:9" x14ac:dyDescent="0.25">
      <c r="A2472" s="28">
        <v>844061015586</v>
      </c>
      <c r="B2472" s="29" t="s">
        <v>2763</v>
      </c>
      <c r="C2472" s="30" t="s">
        <v>209</v>
      </c>
      <c r="D2472" s="31" t="s">
        <v>2764</v>
      </c>
      <c r="E2472" s="51">
        <v>23</v>
      </c>
      <c r="F2472" s="32" t="s">
        <v>15</v>
      </c>
      <c r="G2472" s="32" t="s">
        <v>6603</v>
      </c>
      <c r="H2472" s="22"/>
      <c r="I2472" s="11">
        <f>Table1[[#This Row],[Qty]]*Table1[[#This Row],[Price]]</f>
        <v>0</v>
      </c>
    </row>
    <row r="2473" spans="1:9" x14ac:dyDescent="0.25">
      <c r="A2473" s="28">
        <v>844061016750</v>
      </c>
      <c r="B2473" s="29" t="s">
        <v>2767</v>
      </c>
      <c r="C2473" s="30" t="s">
        <v>209</v>
      </c>
      <c r="D2473" s="31" t="s">
        <v>2768</v>
      </c>
      <c r="E2473" s="51">
        <v>25.5</v>
      </c>
      <c r="F2473" s="32" t="s">
        <v>15</v>
      </c>
      <c r="G2473" s="32">
        <v>0</v>
      </c>
      <c r="H2473" s="22"/>
      <c r="I2473" s="11">
        <f>Table1[[#This Row],[Qty]]*Table1[[#This Row],[Price]]</f>
        <v>0</v>
      </c>
    </row>
    <row r="2474" spans="1:9" x14ac:dyDescent="0.25">
      <c r="A2474" s="28">
        <v>844061005105</v>
      </c>
      <c r="B2474" s="29" t="s">
        <v>2769</v>
      </c>
      <c r="C2474" s="30" t="s">
        <v>209</v>
      </c>
      <c r="D2474" s="31" t="s">
        <v>2770</v>
      </c>
      <c r="E2474" s="51">
        <v>18.25</v>
      </c>
      <c r="F2474" s="32" t="s">
        <v>15</v>
      </c>
      <c r="G2474" s="32">
        <v>0</v>
      </c>
      <c r="H2474" s="22"/>
      <c r="I2474" s="11">
        <f>Table1[[#This Row],[Qty]]*Table1[[#This Row],[Price]]</f>
        <v>0</v>
      </c>
    </row>
    <row r="2475" spans="1:9" x14ac:dyDescent="0.25">
      <c r="A2475" s="28">
        <v>844061009400</v>
      </c>
      <c r="B2475" s="29" t="s">
        <v>2771</v>
      </c>
      <c r="C2475" s="30" t="s">
        <v>209</v>
      </c>
      <c r="D2475" s="31" t="s">
        <v>2772</v>
      </c>
      <c r="E2475" s="51">
        <v>22.5</v>
      </c>
      <c r="F2475" s="32" t="s">
        <v>15</v>
      </c>
      <c r="G2475" s="32">
        <v>0</v>
      </c>
      <c r="H2475" s="22"/>
      <c r="I2475" s="11">
        <f>Table1[[#This Row],[Qty]]*Table1[[#This Row],[Price]]</f>
        <v>0</v>
      </c>
    </row>
    <row r="2476" spans="1:9" x14ac:dyDescent="0.25">
      <c r="A2476" s="28">
        <v>844061013322</v>
      </c>
      <c r="B2476" s="29" t="s">
        <v>2773</v>
      </c>
      <c r="C2476" s="30" t="s">
        <v>209</v>
      </c>
      <c r="D2476" s="31" t="s">
        <v>2774</v>
      </c>
      <c r="E2476" s="51">
        <v>26.5</v>
      </c>
      <c r="F2476" s="32" t="s">
        <v>15</v>
      </c>
      <c r="G2476" s="32" t="s">
        <v>6604</v>
      </c>
      <c r="H2476" s="22"/>
      <c r="I2476" s="11">
        <f>Table1[[#This Row],[Qty]]*Table1[[#This Row],[Price]]</f>
        <v>0</v>
      </c>
    </row>
    <row r="2477" spans="1:9" x14ac:dyDescent="0.25">
      <c r="A2477" s="28">
        <v>844061014497</v>
      </c>
      <c r="B2477" s="29" t="s">
        <v>2775</v>
      </c>
      <c r="C2477" s="30" t="s">
        <v>209</v>
      </c>
      <c r="D2477" s="31" t="s">
        <v>2776</v>
      </c>
      <c r="E2477" s="51">
        <v>8.4499999999999993</v>
      </c>
      <c r="F2477" s="32" t="s">
        <v>15</v>
      </c>
      <c r="G2477" s="32">
        <v>0</v>
      </c>
      <c r="H2477" s="14"/>
      <c r="I2477" s="11">
        <f>Table1[[#This Row],[Qty]]*Table1[[#This Row],[Price]]</f>
        <v>0</v>
      </c>
    </row>
    <row r="2478" spans="1:9" x14ac:dyDescent="0.25">
      <c r="A2478" s="48">
        <v>844061014695</v>
      </c>
      <c r="B2478" s="41" t="s">
        <v>2777</v>
      </c>
      <c r="C2478" s="6" t="s">
        <v>209</v>
      </c>
      <c r="D2478" t="s">
        <v>2778</v>
      </c>
      <c r="E2478" s="47">
        <v>23.5</v>
      </c>
      <c r="F2478" s="6" t="s">
        <v>15</v>
      </c>
      <c r="G2478" s="6" t="s">
        <v>6605</v>
      </c>
      <c r="H2478" s="22"/>
      <c r="I2478" s="11">
        <f>Table1[[#This Row],[Qty]]*Table1[[#This Row],[Price]]</f>
        <v>0</v>
      </c>
    </row>
    <row r="2479" spans="1:9" x14ac:dyDescent="0.25">
      <c r="A2479" s="28">
        <v>844061015531</v>
      </c>
      <c r="B2479" s="29" t="s">
        <v>2779</v>
      </c>
      <c r="C2479" s="30" t="s">
        <v>209</v>
      </c>
      <c r="D2479" s="31" t="s">
        <v>2780</v>
      </c>
      <c r="E2479" s="51">
        <v>27.5</v>
      </c>
      <c r="F2479" s="32" t="s">
        <v>15</v>
      </c>
      <c r="G2479" s="32" t="s">
        <v>6606</v>
      </c>
      <c r="H2479" s="12"/>
      <c r="I2479" s="11">
        <f>Table1[[#This Row],[Qty]]*Table1[[#This Row],[Price]]</f>
        <v>0</v>
      </c>
    </row>
    <row r="2480" spans="1:9" x14ac:dyDescent="0.25">
      <c r="A2480" s="28">
        <v>844061011212</v>
      </c>
      <c r="B2480" s="29" t="s">
        <v>3774</v>
      </c>
      <c r="C2480" s="30" t="s">
        <v>209</v>
      </c>
      <c r="D2480" s="31" t="s">
        <v>3775</v>
      </c>
      <c r="E2480" s="51">
        <v>16.57</v>
      </c>
      <c r="F2480" s="32" t="s">
        <v>15</v>
      </c>
      <c r="G2480" s="32" t="s">
        <v>7059</v>
      </c>
      <c r="H2480" s="12"/>
      <c r="I2480" s="11">
        <f>Table1[[#This Row],[Qty]]*Table1[[#This Row],[Price]]</f>
        <v>0</v>
      </c>
    </row>
    <row r="2481" spans="1:9" x14ac:dyDescent="0.25">
      <c r="A2481" s="28">
        <v>844061011861</v>
      </c>
      <c r="B2481" s="29" t="s">
        <v>3782</v>
      </c>
      <c r="C2481" s="30" t="s">
        <v>209</v>
      </c>
      <c r="D2481" s="31" t="s">
        <v>3783</v>
      </c>
      <c r="E2481" s="51">
        <v>21.12</v>
      </c>
      <c r="F2481" s="32" t="s">
        <v>15</v>
      </c>
      <c r="G2481" s="32" t="s">
        <v>7063</v>
      </c>
      <c r="H2481" s="12"/>
      <c r="I2481" s="11">
        <f>Table1[[#This Row],[Qty]]*Table1[[#This Row],[Price]]</f>
        <v>0</v>
      </c>
    </row>
    <row r="2482" spans="1:9" x14ac:dyDescent="0.25">
      <c r="A2482" s="28">
        <v>844061014763</v>
      </c>
      <c r="B2482" s="29" t="s">
        <v>3822</v>
      </c>
      <c r="C2482" s="30" t="s">
        <v>209</v>
      </c>
      <c r="D2482" s="31" t="s">
        <v>3823</v>
      </c>
      <c r="E2482" s="51">
        <v>18.63</v>
      </c>
      <c r="F2482" s="32" t="s">
        <v>15</v>
      </c>
      <c r="G2482" s="32" t="s">
        <v>7082</v>
      </c>
      <c r="H2482" s="12"/>
      <c r="I2482" s="11">
        <f>Table1[[#This Row],[Qty]]*Table1[[#This Row],[Price]]</f>
        <v>0</v>
      </c>
    </row>
    <row r="2483" spans="1:9" x14ac:dyDescent="0.25">
      <c r="A2483" s="28">
        <v>844061003293</v>
      </c>
      <c r="B2483" s="29" t="s">
        <v>4482</v>
      </c>
      <c r="C2483" s="30" t="s">
        <v>209</v>
      </c>
      <c r="D2483" s="31" t="s">
        <v>4483</v>
      </c>
      <c r="E2483" s="51">
        <v>19</v>
      </c>
      <c r="F2483" s="32" t="s">
        <v>15</v>
      </c>
      <c r="G2483" s="32">
        <v>0</v>
      </c>
      <c r="H2483" s="22"/>
      <c r="I2483" s="11">
        <f>Table1[[#This Row],[Qty]]*Table1[[#This Row],[Price]]</f>
        <v>0</v>
      </c>
    </row>
    <row r="2484" spans="1:9" x14ac:dyDescent="0.25">
      <c r="A2484" s="28">
        <v>844061001299</v>
      </c>
      <c r="B2484" s="29" t="s">
        <v>5429</v>
      </c>
      <c r="C2484" s="30" t="s">
        <v>209</v>
      </c>
      <c r="D2484" s="31" t="s">
        <v>5430</v>
      </c>
      <c r="E2484" s="51">
        <v>19</v>
      </c>
      <c r="F2484" s="32" t="s">
        <v>15</v>
      </c>
      <c r="G2484" s="32">
        <v>0</v>
      </c>
      <c r="H2484" s="12"/>
      <c r="I2484" s="11">
        <f>Table1[[#This Row],[Qty]]*Table1[[#This Row],[Price]]</f>
        <v>0</v>
      </c>
    </row>
    <row r="2485" spans="1:9" x14ac:dyDescent="0.25">
      <c r="A2485" s="28">
        <v>844061010819</v>
      </c>
      <c r="B2485" s="29" t="s">
        <v>4849</v>
      </c>
      <c r="C2485" s="33" t="s">
        <v>209</v>
      </c>
      <c r="D2485" s="31" t="s">
        <v>4850</v>
      </c>
      <c r="E2485" s="51">
        <v>17.5</v>
      </c>
      <c r="F2485" s="32" t="s">
        <v>15</v>
      </c>
      <c r="G2485" s="32">
        <v>0</v>
      </c>
      <c r="H2485" s="22"/>
      <c r="I2485" s="11">
        <f>Table1[[#This Row],[Qty]]*Table1[[#This Row],[Price]]</f>
        <v>0</v>
      </c>
    </row>
    <row r="2486" spans="1:9" x14ac:dyDescent="0.25">
      <c r="A2486" s="28">
        <v>844061007024</v>
      </c>
      <c r="B2486" s="29" t="s">
        <v>5065</v>
      </c>
      <c r="C2486" s="30" t="s">
        <v>209</v>
      </c>
      <c r="D2486" s="31" t="s">
        <v>5066</v>
      </c>
      <c r="E2486" s="51">
        <v>17</v>
      </c>
      <c r="F2486" s="32" t="s">
        <v>15</v>
      </c>
      <c r="G2486" s="32">
        <v>0</v>
      </c>
      <c r="H2486" s="22"/>
      <c r="I2486" s="11">
        <f>Table1[[#This Row],[Qty]]*Table1[[#This Row],[Price]]</f>
        <v>0</v>
      </c>
    </row>
    <row r="2487" spans="1:9" x14ac:dyDescent="0.25">
      <c r="A2487" s="28">
        <v>8435137759781</v>
      </c>
      <c r="B2487" s="29" t="s">
        <v>838</v>
      </c>
      <c r="C2487" s="30" t="s">
        <v>839</v>
      </c>
      <c r="D2487" s="31" t="s">
        <v>840</v>
      </c>
      <c r="E2487" s="51">
        <v>58.3</v>
      </c>
      <c r="F2487" s="32" t="s">
        <v>15</v>
      </c>
      <c r="G2487" s="32" t="s">
        <v>6011</v>
      </c>
      <c r="H2487" s="22"/>
      <c r="I2487" s="11">
        <f>Table1[[#This Row],[Qty]]*Table1[[#This Row],[Price]]</f>
        <v>0</v>
      </c>
    </row>
    <row r="2488" spans="1:9" x14ac:dyDescent="0.25">
      <c r="A2488" s="28">
        <v>3614273544962</v>
      </c>
      <c r="B2488" s="29" t="s">
        <v>1295</v>
      </c>
      <c r="C2488" s="30" t="s">
        <v>839</v>
      </c>
      <c r="D2488" s="31" t="s">
        <v>1296</v>
      </c>
      <c r="E2488" s="51">
        <v>63.07</v>
      </c>
      <c r="F2488" s="32" t="s">
        <v>15</v>
      </c>
      <c r="G2488" s="32">
        <v>0</v>
      </c>
      <c r="H2488" s="12"/>
      <c r="I2488" s="11">
        <f>Table1[[#This Row],[Qty]]*Table1[[#This Row],[Price]]</f>
        <v>0</v>
      </c>
    </row>
    <row r="2489" spans="1:9" x14ac:dyDescent="0.25">
      <c r="A2489" s="28">
        <v>8435137764730</v>
      </c>
      <c r="B2489" s="29" t="s">
        <v>2354</v>
      </c>
      <c r="C2489" s="30" t="s">
        <v>839</v>
      </c>
      <c r="D2489" s="31" t="s">
        <v>2355</v>
      </c>
      <c r="E2489" s="51">
        <v>71.02</v>
      </c>
      <c r="F2489" s="32" t="s">
        <v>15</v>
      </c>
      <c r="G2489" s="32" t="s">
        <v>6424</v>
      </c>
      <c r="H2489" s="12"/>
      <c r="I2489" s="11">
        <f>Table1[[#This Row],[Qty]]*Table1[[#This Row],[Price]]</f>
        <v>0</v>
      </c>
    </row>
    <row r="2490" spans="1:9" x14ac:dyDescent="0.25">
      <c r="A2490" s="28">
        <v>3614273768825</v>
      </c>
      <c r="B2490" s="29" t="s">
        <v>2783</v>
      </c>
      <c r="C2490" s="30" t="s">
        <v>839</v>
      </c>
      <c r="D2490" s="31" t="s">
        <v>2784</v>
      </c>
      <c r="E2490" s="51">
        <v>47.54</v>
      </c>
      <c r="F2490" s="32" t="s">
        <v>15</v>
      </c>
      <c r="G2490" s="32">
        <v>0</v>
      </c>
      <c r="H2490" s="12"/>
      <c r="I2490" s="11">
        <f>Table1[[#This Row],[Qty]]*Table1[[#This Row],[Price]]</f>
        <v>0</v>
      </c>
    </row>
    <row r="2491" spans="1:9" x14ac:dyDescent="0.25">
      <c r="A2491" s="28">
        <v>8435137782949</v>
      </c>
      <c r="B2491" s="29" t="s">
        <v>3959</v>
      </c>
      <c r="C2491" s="30" t="s">
        <v>839</v>
      </c>
      <c r="D2491" s="31" t="s">
        <v>3960</v>
      </c>
      <c r="E2491" s="51">
        <v>70.25</v>
      </c>
      <c r="F2491" s="32" t="s">
        <v>15</v>
      </c>
      <c r="G2491" s="32" t="s">
        <v>7145</v>
      </c>
      <c r="H2491" s="12"/>
      <c r="I2491" s="11">
        <f>Table1[[#This Row],[Qty]]*Table1[[#This Row],[Price]]</f>
        <v>0</v>
      </c>
    </row>
    <row r="2492" spans="1:9" x14ac:dyDescent="0.25">
      <c r="A2492" s="28">
        <v>8435137739004</v>
      </c>
      <c r="B2492" s="29" t="s">
        <v>4548</v>
      </c>
      <c r="C2492" s="30" t="s">
        <v>4549</v>
      </c>
      <c r="D2492" s="31" t="s">
        <v>4550</v>
      </c>
      <c r="E2492" s="51">
        <v>42</v>
      </c>
      <c r="F2492" s="32" t="s">
        <v>15</v>
      </c>
      <c r="G2492" s="32"/>
      <c r="H2492" s="22"/>
      <c r="I2492" s="11">
        <f>Table1[[#This Row],[Qty]]*Table1[[#This Row],[Price]]</f>
        <v>0</v>
      </c>
    </row>
    <row r="2493" spans="1:9" x14ac:dyDescent="0.25">
      <c r="A2493" s="28">
        <v>3605972455338</v>
      </c>
      <c r="B2493" s="29" t="s">
        <v>667</v>
      </c>
      <c r="C2493" s="30" t="s">
        <v>97</v>
      </c>
      <c r="D2493" s="31" t="s">
        <v>668</v>
      </c>
      <c r="E2493" s="51">
        <v>18.100000000000001</v>
      </c>
      <c r="F2493" s="32" t="s">
        <v>15</v>
      </c>
      <c r="G2493" s="32" t="s">
        <v>5933</v>
      </c>
      <c r="H2493" s="22"/>
      <c r="I2493" s="11">
        <f>Table1[[#This Row],[Qty]]*Table1[[#This Row],[Price]]</f>
        <v>0</v>
      </c>
    </row>
    <row r="2494" spans="1:9" x14ac:dyDescent="0.25">
      <c r="A2494" s="28">
        <v>3605975047240</v>
      </c>
      <c r="B2494" s="29" t="s">
        <v>1397</v>
      </c>
      <c r="C2494" s="30" t="s">
        <v>97</v>
      </c>
      <c r="D2494" s="31" t="s">
        <v>1398</v>
      </c>
      <c r="E2494" s="51">
        <v>47.97</v>
      </c>
      <c r="F2494" s="32" t="s">
        <v>15</v>
      </c>
      <c r="G2494" s="32">
        <v>0</v>
      </c>
      <c r="H2494" s="22"/>
      <c r="I2494" s="11">
        <f>Table1[[#This Row],[Qty]]*Table1[[#This Row],[Price]]</f>
        <v>0</v>
      </c>
    </row>
    <row r="2495" spans="1:9" x14ac:dyDescent="0.25">
      <c r="A2495" s="28">
        <v>3605970859251</v>
      </c>
      <c r="B2495" s="29" t="s">
        <v>1425</v>
      </c>
      <c r="C2495" s="30" t="s">
        <v>97</v>
      </c>
      <c r="D2495" s="31" t="s">
        <v>1426</v>
      </c>
      <c r="E2495" s="51">
        <v>49.79</v>
      </c>
      <c r="F2495" s="32" t="s">
        <v>15</v>
      </c>
      <c r="G2495" s="32" t="s">
        <v>6208</v>
      </c>
      <c r="H2495" s="22"/>
      <c r="I2495" s="11">
        <f>Table1[[#This Row],[Qty]]*Table1[[#This Row],[Price]]</f>
        <v>0</v>
      </c>
    </row>
    <row r="2496" spans="1:9" x14ac:dyDescent="0.25">
      <c r="A2496" s="28">
        <v>3605972697028</v>
      </c>
      <c r="B2496" s="29" t="s">
        <v>1571</v>
      </c>
      <c r="C2496" s="30" t="s">
        <v>97</v>
      </c>
      <c r="D2496" s="31" t="s">
        <v>1572</v>
      </c>
      <c r="E2496" s="51">
        <v>29.5</v>
      </c>
      <c r="F2496" s="32" t="s">
        <v>15</v>
      </c>
      <c r="G2496" s="32">
        <v>0</v>
      </c>
      <c r="H2496" s="14"/>
      <c r="I2496" s="11">
        <f>Table1[[#This Row],[Qty]]*Table1[[#This Row],[Price]]</f>
        <v>0</v>
      </c>
    </row>
    <row r="2497" spans="1:9" x14ac:dyDescent="0.25">
      <c r="A2497" s="28">
        <v>3360377022911</v>
      </c>
      <c r="B2497" s="29" t="s">
        <v>2348</v>
      </c>
      <c r="C2497" s="30" t="s">
        <v>97</v>
      </c>
      <c r="D2497" s="31" t="s">
        <v>2349</v>
      </c>
      <c r="E2497" s="51">
        <v>29.22</v>
      </c>
      <c r="F2497" s="32" t="s">
        <v>15</v>
      </c>
      <c r="G2497" s="32">
        <v>0</v>
      </c>
      <c r="H2497" s="14"/>
      <c r="I2497" s="11">
        <f>Table1[[#This Row],[Qty]]*Table1[[#This Row],[Price]]</f>
        <v>0</v>
      </c>
    </row>
    <row r="2498" spans="1:9" x14ac:dyDescent="0.25">
      <c r="A2498" s="28">
        <v>3605970859299</v>
      </c>
      <c r="B2498" s="29" t="s">
        <v>2528</v>
      </c>
      <c r="C2498" s="30" t="s">
        <v>97</v>
      </c>
      <c r="D2498" s="31" t="s">
        <v>2529</v>
      </c>
      <c r="E2498" s="51">
        <v>31</v>
      </c>
      <c r="F2498" s="32" t="s">
        <v>15</v>
      </c>
      <c r="G2498" s="32" t="s">
        <v>6506</v>
      </c>
      <c r="H2498" s="12"/>
      <c r="I2498" s="11">
        <f>Table1[[#This Row],[Qty]]*Table1[[#This Row],[Price]]</f>
        <v>0</v>
      </c>
    </row>
    <row r="2499" spans="1:9" x14ac:dyDescent="0.25">
      <c r="A2499" s="28">
        <v>3360377022928</v>
      </c>
      <c r="B2499" s="29" t="s">
        <v>2789</v>
      </c>
      <c r="C2499" s="30" t="s">
        <v>97</v>
      </c>
      <c r="D2499" s="31" t="s">
        <v>2790</v>
      </c>
      <c r="E2499" s="51">
        <v>37.450000000000003</v>
      </c>
      <c r="F2499" s="32" t="s">
        <v>15</v>
      </c>
      <c r="G2499" s="32" t="s">
        <v>6608</v>
      </c>
      <c r="H2499" s="14"/>
      <c r="I2499" s="11">
        <f>Table1[[#This Row],[Qty]]*Table1[[#This Row],[Price]]</f>
        <v>0</v>
      </c>
    </row>
    <row r="2500" spans="1:9" x14ac:dyDescent="0.25">
      <c r="A2500" s="28">
        <v>3605971670978</v>
      </c>
      <c r="B2500" s="29" t="s">
        <v>2791</v>
      </c>
      <c r="C2500" s="30" t="s">
        <v>97</v>
      </c>
      <c r="D2500" s="31" t="s">
        <v>2792</v>
      </c>
      <c r="E2500" s="51">
        <v>26.5</v>
      </c>
      <c r="F2500" s="32" t="s">
        <v>15</v>
      </c>
      <c r="G2500" s="32">
        <v>0</v>
      </c>
      <c r="H2500" s="12"/>
      <c r="I2500" s="11">
        <f>Table1[[#This Row],[Qty]]*Table1[[#This Row],[Price]]</f>
        <v>0</v>
      </c>
    </row>
    <row r="2501" spans="1:9" x14ac:dyDescent="0.25">
      <c r="A2501" s="28">
        <v>3605972454539</v>
      </c>
      <c r="B2501" s="29" t="s">
        <v>4883</v>
      </c>
      <c r="C2501" s="30" t="s">
        <v>97</v>
      </c>
      <c r="D2501" s="31" t="s">
        <v>4884</v>
      </c>
      <c r="E2501" s="51">
        <v>65.19</v>
      </c>
      <c r="F2501" s="32" t="s">
        <v>15</v>
      </c>
      <c r="G2501" s="32">
        <v>0</v>
      </c>
      <c r="H2501" s="22"/>
      <c r="I2501" s="11">
        <f>Table1[[#This Row],[Qty]]*Table1[[#This Row],[Price]]</f>
        <v>0</v>
      </c>
    </row>
    <row r="2502" spans="1:9" x14ac:dyDescent="0.25">
      <c r="A2502" s="28">
        <v>3605972768919</v>
      </c>
      <c r="B2502" s="29" t="s">
        <v>4902</v>
      </c>
      <c r="C2502" s="30" t="s">
        <v>97</v>
      </c>
      <c r="D2502" s="31" t="s">
        <v>4903</v>
      </c>
      <c r="E2502" s="51">
        <v>40</v>
      </c>
      <c r="F2502" s="32" t="s">
        <v>15</v>
      </c>
      <c r="G2502" s="32"/>
      <c r="H2502" s="12"/>
      <c r="I2502" s="11">
        <f>Table1[[#This Row],[Qty]]*Table1[[#This Row],[Price]]</f>
        <v>0</v>
      </c>
    </row>
    <row r="2503" spans="1:9" x14ac:dyDescent="0.25">
      <c r="A2503" s="28">
        <v>3605971512933</v>
      </c>
      <c r="B2503" s="29" t="s">
        <v>4881</v>
      </c>
      <c r="C2503" s="30" t="s">
        <v>97</v>
      </c>
      <c r="D2503" s="31" t="s">
        <v>4882</v>
      </c>
      <c r="E2503" s="51">
        <v>37.5</v>
      </c>
      <c r="F2503" s="32" t="s">
        <v>15</v>
      </c>
      <c r="G2503" s="32">
        <v>0</v>
      </c>
      <c r="H2503" s="22"/>
      <c r="I2503" s="11">
        <f>Table1[[#This Row],[Qty]]*Table1[[#This Row],[Price]]</f>
        <v>0</v>
      </c>
    </row>
    <row r="2504" spans="1:9" x14ac:dyDescent="0.25">
      <c r="A2504" s="28">
        <v>3605972321831</v>
      </c>
      <c r="B2504" s="29" t="s">
        <v>4770</v>
      </c>
      <c r="C2504" s="30" t="s">
        <v>97</v>
      </c>
      <c r="D2504" s="31" t="s">
        <v>4771</v>
      </c>
      <c r="E2504" s="51">
        <v>29</v>
      </c>
      <c r="F2504" s="32" t="s">
        <v>15</v>
      </c>
      <c r="G2504" s="32">
        <v>0</v>
      </c>
      <c r="H2504" s="12"/>
      <c r="I2504" s="11">
        <f>Table1[[#This Row],[Qty]]*Table1[[#This Row],[Price]]</f>
        <v>0</v>
      </c>
    </row>
    <row r="2505" spans="1:9" x14ac:dyDescent="0.25">
      <c r="A2505" s="28">
        <v>3605970416126</v>
      </c>
      <c r="B2505" s="29" t="s">
        <v>4863</v>
      </c>
      <c r="C2505" s="33" t="s">
        <v>97</v>
      </c>
      <c r="D2505" s="31" t="s">
        <v>4864</v>
      </c>
      <c r="E2505" s="51">
        <v>29</v>
      </c>
      <c r="F2505" s="32" t="s">
        <v>15</v>
      </c>
      <c r="G2505" s="32">
        <v>0</v>
      </c>
      <c r="H2505" s="22"/>
      <c r="I2505" s="11">
        <f>Table1[[#This Row],[Qty]]*Table1[[#This Row],[Price]]</f>
        <v>0</v>
      </c>
    </row>
    <row r="2506" spans="1:9" x14ac:dyDescent="0.25">
      <c r="A2506" s="28">
        <v>3605972454614</v>
      </c>
      <c r="B2506" s="29" t="s">
        <v>4871</v>
      </c>
      <c r="C2506" s="30" t="s">
        <v>97</v>
      </c>
      <c r="D2506" s="31" t="s">
        <v>4872</v>
      </c>
      <c r="E2506" s="51">
        <v>26</v>
      </c>
      <c r="F2506" s="32" t="s">
        <v>15</v>
      </c>
      <c r="G2506" s="32">
        <v>0</v>
      </c>
      <c r="H2506" s="22"/>
      <c r="I2506" s="11">
        <f>Table1[[#This Row],[Qty]]*Table1[[#This Row],[Price]]</f>
        <v>0</v>
      </c>
    </row>
    <row r="2507" spans="1:9" x14ac:dyDescent="0.25">
      <c r="A2507" s="28">
        <v>3360377002951</v>
      </c>
      <c r="B2507" s="29" t="s">
        <v>5438</v>
      </c>
      <c r="C2507" s="30" t="s">
        <v>97</v>
      </c>
      <c r="D2507" s="31" t="s">
        <v>5439</v>
      </c>
      <c r="E2507" s="51">
        <v>26</v>
      </c>
      <c r="F2507" s="32" t="s">
        <v>15</v>
      </c>
      <c r="G2507" s="32" t="s">
        <v>7402</v>
      </c>
      <c r="H2507" s="12"/>
      <c r="I2507" s="11">
        <f>Table1[[#This Row],[Qty]]*Table1[[#This Row],[Price]]</f>
        <v>0</v>
      </c>
    </row>
    <row r="2508" spans="1:9" x14ac:dyDescent="0.25">
      <c r="A2508" s="28">
        <v>3360377002944</v>
      </c>
      <c r="B2508" s="29" t="s">
        <v>4514</v>
      </c>
      <c r="C2508" s="33" t="s">
        <v>97</v>
      </c>
      <c r="D2508" s="31" t="s">
        <v>4515</v>
      </c>
      <c r="E2508" s="51">
        <v>23.5</v>
      </c>
      <c r="F2508" s="32" t="s">
        <v>15</v>
      </c>
      <c r="G2508" s="32">
        <v>0</v>
      </c>
      <c r="H2508" s="22"/>
      <c r="I2508" s="11">
        <f>Table1[[#This Row],[Qty]]*Table1[[#This Row],[Price]]</f>
        <v>0</v>
      </c>
    </row>
    <row r="2509" spans="1:9" x14ac:dyDescent="0.25">
      <c r="A2509" s="28">
        <v>3605972342621</v>
      </c>
      <c r="B2509" s="29" t="s">
        <v>5423</v>
      </c>
      <c r="C2509" s="30" t="s">
        <v>97</v>
      </c>
      <c r="D2509" s="31" t="s">
        <v>5424</v>
      </c>
      <c r="E2509" s="51">
        <v>18</v>
      </c>
      <c r="F2509" s="32" t="s">
        <v>15</v>
      </c>
      <c r="G2509" s="32">
        <v>0</v>
      </c>
      <c r="H2509" s="22"/>
      <c r="I2509" s="11">
        <f>Table1[[#This Row],[Qty]]*Table1[[#This Row],[Price]]</f>
        <v>0</v>
      </c>
    </row>
    <row r="2510" spans="1:9" x14ac:dyDescent="0.25">
      <c r="A2510" s="28">
        <v>614514331019</v>
      </c>
      <c r="B2510" s="29" t="s">
        <v>379</v>
      </c>
      <c r="C2510" s="30" t="s">
        <v>335</v>
      </c>
      <c r="D2510" s="31" t="s">
        <v>380</v>
      </c>
      <c r="E2510" s="51">
        <v>18.89</v>
      </c>
      <c r="F2510" s="32" t="s">
        <v>15</v>
      </c>
      <c r="G2510" s="32" t="s">
        <v>5802</v>
      </c>
      <c r="H2510" s="12"/>
      <c r="I2510" s="11">
        <f>Table1[[#This Row],[Qty]]*Table1[[#This Row],[Price]]</f>
        <v>0</v>
      </c>
    </row>
    <row r="2511" spans="1:9" x14ac:dyDescent="0.25">
      <c r="A2511" s="28">
        <v>614514331033</v>
      </c>
      <c r="B2511" s="29" t="s">
        <v>510</v>
      </c>
      <c r="C2511" s="30" t="s">
        <v>335</v>
      </c>
      <c r="D2511" s="31" t="s">
        <v>511</v>
      </c>
      <c r="E2511" s="51">
        <v>21.17</v>
      </c>
      <c r="F2511" s="32" t="s">
        <v>15</v>
      </c>
      <c r="G2511" s="32" t="s">
        <v>5863</v>
      </c>
      <c r="H2511" s="22"/>
      <c r="I2511" s="11">
        <f>Table1[[#This Row],[Qty]]*Table1[[#This Row],[Price]]</f>
        <v>0</v>
      </c>
    </row>
    <row r="2512" spans="1:9" x14ac:dyDescent="0.25">
      <c r="A2512" s="28">
        <v>614514339206</v>
      </c>
      <c r="B2512" s="29" t="s">
        <v>590</v>
      </c>
      <c r="C2512" s="33" t="s">
        <v>335</v>
      </c>
      <c r="D2512" s="31" t="s">
        <v>591</v>
      </c>
      <c r="E2512" s="51">
        <v>21.91</v>
      </c>
      <c r="F2512" s="32" t="s">
        <v>15</v>
      </c>
      <c r="G2512" s="32" t="s">
        <v>5899</v>
      </c>
      <c r="H2512" s="22"/>
      <c r="I2512" s="11">
        <f>Table1[[#This Row],[Qty]]*Table1[[#This Row],[Price]]</f>
        <v>0</v>
      </c>
    </row>
    <row r="2513" spans="1:9" x14ac:dyDescent="0.25">
      <c r="A2513" s="28">
        <v>614514204023</v>
      </c>
      <c r="B2513" s="29" t="s">
        <v>2377</v>
      </c>
      <c r="C2513" s="30" t="s">
        <v>335</v>
      </c>
      <c r="D2513" s="31" t="s">
        <v>2378</v>
      </c>
      <c r="E2513" s="51">
        <v>21.75</v>
      </c>
      <c r="F2513" s="32" t="s">
        <v>15</v>
      </c>
      <c r="G2513" s="32" t="s">
        <v>6435</v>
      </c>
      <c r="H2513" s="22"/>
      <c r="I2513" s="11">
        <f>Table1[[#This Row],[Qty]]*Table1[[#This Row],[Price]]</f>
        <v>0</v>
      </c>
    </row>
    <row r="2514" spans="1:9" x14ac:dyDescent="0.25">
      <c r="A2514" s="28">
        <v>614514555446</v>
      </c>
      <c r="B2514" s="29" t="s">
        <v>3451</v>
      </c>
      <c r="C2514" s="30" t="s">
        <v>335</v>
      </c>
      <c r="D2514" s="31" t="s">
        <v>3452</v>
      </c>
      <c r="E2514" s="51">
        <v>41.21</v>
      </c>
      <c r="F2514" s="32" t="s">
        <v>15</v>
      </c>
      <c r="G2514" s="32" t="s">
        <v>6849</v>
      </c>
      <c r="H2514" s="12"/>
      <c r="I2514" s="11">
        <f>Table1[[#This Row],[Qty]]*Table1[[#This Row],[Price]]</f>
        <v>0</v>
      </c>
    </row>
    <row r="2515" spans="1:9" x14ac:dyDescent="0.25">
      <c r="A2515" s="28">
        <v>614514331095</v>
      </c>
      <c r="B2515" s="29" t="s">
        <v>5586</v>
      </c>
      <c r="C2515" s="30" t="s">
        <v>335</v>
      </c>
      <c r="D2515" s="31" t="s">
        <v>5587</v>
      </c>
      <c r="E2515" s="51">
        <v>33</v>
      </c>
      <c r="F2515" s="32" t="s">
        <v>15</v>
      </c>
      <c r="G2515" s="32" t="s">
        <v>6989</v>
      </c>
      <c r="H2515" s="22"/>
      <c r="I2515" s="11">
        <f>Table1[[#This Row],[Qty]]*Table1[[#This Row],[Price]]</f>
        <v>0</v>
      </c>
    </row>
    <row r="2516" spans="1:9" x14ac:dyDescent="0.25">
      <c r="A2516" s="28">
        <v>614514204092</v>
      </c>
      <c r="B2516" s="29" t="s">
        <v>5186</v>
      </c>
      <c r="C2516" s="30" t="s">
        <v>5187</v>
      </c>
      <c r="D2516" s="31" t="s">
        <v>5188</v>
      </c>
      <c r="E2516" s="51">
        <v>18</v>
      </c>
      <c r="F2516" s="32" t="s">
        <v>15</v>
      </c>
      <c r="G2516" s="32"/>
      <c r="H2516" s="12"/>
      <c r="I2516" s="11">
        <f>Table1[[#This Row],[Qty]]*Table1[[#This Row],[Price]]</f>
        <v>0</v>
      </c>
    </row>
    <row r="2517" spans="1:9" x14ac:dyDescent="0.25">
      <c r="A2517" s="28">
        <v>614514338025</v>
      </c>
      <c r="B2517" s="29" t="s">
        <v>5100</v>
      </c>
      <c r="C2517" s="30" t="s">
        <v>335</v>
      </c>
      <c r="D2517" s="31" t="s">
        <v>5101</v>
      </c>
      <c r="E2517" s="51">
        <v>10</v>
      </c>
      <c r="F2517" s="32" t="s">
        <v>15</v>
      </c>
      <c r="G2517" s="32">
        <v>0</v>
      </c>
      <c r="H2517" s="12"/>
      <c r="I2517" s="11">
        <f>Table1[[#This Row],[Qty]]*Table1[[#This Row],[Price]]</f>
        <v>0</v>
      </c>
    </row>
    <row r="2518" spans="1:9" x14ac:dyDescent="0.25">
      <c r="A2518" s="28">
        <v>614514338018</v>
      </c>
      <c r="B2518" s="29" t="s">
        <v>5271</v>
      </c>
      <c r="C2518" s="30" t="s">
        <v>335</v>
      </c>
      <c r="D2518" s="31" t="s">
        <v>5272</v>
      </c>
      <c r="E2518" s="51">
        <v>8.5</v>
      </c>
      <c r="F2518" s="32" t="s">
        <v>15</v>
      </c>
      <c r="G2518" s="32">
        <v>0</v>
      </c>
      <c r="H2518" s="14"/>
      <c r="I2518" s="11">
        <f>Table1[[#This Row],[Qty]]*Table1[[#This Row],[Price]]</f>
        <v>0</v>
      </c>
    </row>
    <row r="2519" spans="1:9" x14ac:dyDescent="0.25">
      <c r="A2519" s="48">
        <v>6290360593685</v>
      </c>
      <c r="B2519" s="41" t="s">
        <v>501</v>
      </c>
      <c r="C2519" s="6" t="s">
        <v>502</v>
      </c>
      <c r="D2519" t="s">
        <v>503</v>
      </c>
      <c r="E2519" s="52">
        <v>13.92</v>
      </c>
      <c r="F2519" s="49" t="s">
        <v>15</v>
      </c>
      <c r="G2519" s="49" t="s">
        <v>5859</v>
      </c>
      <c r="H2519" s="22"/>
      <c r="I2519" s="11">
        <f>Table1[[#This Row],[Qty]]*Table1[[#This Row],[Price]]</f>
        <v>0</v>
      </c>
    </row>
    <row r="2520" spans="1:9" x14ac:dyDescent="0.25">
      <c r="A2520" s="28">
        <v>6290362341338</v>
      </c>
      <c r="B2520" s="29" t="s">
        <v>3830</v>
      </c>
      <c r="C2520" s="30" t="s">
        <v>502</v>
      </c>
      <c r="D2520" s="31" t="s">
        <v>3831</v>
      </c>
      <c r="E2520" s="51">
        <v>14.5</v>
      </c>
      <c r="F2520" s="32" t="s">
        <v>15</v>
      </c>
      <c r="G2520" s="32" t="s">
        <v>7086</v>
      </c>
      <c r="H2520" s="14"/>
      <c r="I2520" s="11">
        <f>Table1[[#This Row],[Qty]]*Table1[[#This Row],[Price]]</f>
        <v>0</v>
      </c>
    </row>
    <row r="2521" spans="1:9" x14ac:dyDescent="0.25">
      <c r="A2521" s="28">
        <v>6297001571330</v>
      </c>
      <c r="B2521" s="29" t="s">
        <v>3517</v>
      </c>
      <c r="C2521" s="30" t="s">
        <v>3505</v>
      </c>
      <c r="D2521" s="31" t="s">
        <v>3518</v>
      </c>
      <c r="E2521" s="51">
        <v>25.51</v>
      </c>
      <c r="F2521" s="32" t="s">
        <v>15</v>
      </c>
      <c r="G2521" s="32" t="s">
        <v>6879</v>
      </c>
      <c r="H2521" s="22"/>
      <c r="I2521" s="11">
        <f>Table1[[#This Row],[Qty]]*Table1[[#This Row],[Price]]</f>
        <v>0</v>
      </c>
    </row>
    <row r="2522" spans="1:9" x14ac:dyDescent="0.25">
      <c r="A2522" s="28">
        <v>6297001571279</v>
      </c>
      <c r="B2522" s="29" t="s">
        <v>3671</v>
      </c>
      <c r="C2522" s="30" t="s">
        <v>3505</v>
      </c>
      <c r="D2522" s="31" t="s">
        <v>3672</v>
      </c>
      <c r="E2522" s="51">
        <v>26.4</v>
      </c>
      <c r="F2522" s="32" t="s">
        <v>15</v>
      </c>
      <c r="G2522" s="32" t="s">
        <v>6957</v>
      </c>
      <c r="H2522" s="12"/>
      <c r="I2522" s="11">
        <f>Table1[[#This Row],[Qty]]*Table1[[#This Row],[Price]]</f>
        <v>0</v>
      </c>
    </row>
    <row r="2523" spans="1:9" x14ac:dyDescent="0.25">
      <c r="A2523" s="28">
        <v>6298044138719</v>
      </c>
      <c r="B2523" s="29" t="s">
        <v>3738</v>
      </c>
      <c r="C2523" s="30" t="s">
        <v>3505</v>
      </c>
      <c r="D2523" s="31" t="s">
        <v>3739</v>
      </c>
      <c r="E2523" s="51">
        <v>10</v>
      </c>
      <c r="F2523" s="32" t="s">
        <v>15</v>
      </c>
      <c r="G2523" s="32" t="s">
        <v>7041</v>
      </c>
      <c r="H2523" s="12"/>
      <c r="I2523" s="11">
        <f>Table1[[#This Row],[Qty]]*Table1[[#This Row],[Price]]</f>
        <v>0</v>
      </c>
    </row>
    <row r="2524" spans="1:9" x14ac:dyDescent="0.25">
      <c r="A2524" s="28">
        <v>8436581946185</v>
      </c>
      <c r="B2524" s="29" t="s">
        <v>2175</v>
      </c>
      <c r="C2524" s="30" t="s">
        <v>2176</v>
      </c>
      <c r="D2524" s="31" t="s">
        <v>2177</v>
      </c>
      <c r="E2524" s="51">
        <v>10</v>
      </c>
      <c r="F2524" s="32" t="s">
        <v>15</v>
      </c>
      <c r="G2524" s="32">
        <v>0</v>
      </c>
      <c r="H2524" s="12"/>
      <c r="I2524" s="11">
        <f>Table1[[#This Row],[Qty]]*Table1[[#This Row],[Price]]</f>
        <v>0</v>
      </c>
    </row>
    <row r="2525" spans="1:9" x14ac:dyDescent="0.25">
      <c r="A2525" s="28">
        <v>8436581946215</v>
      </c>
      <c r="B2525" s="29" t="s">
        <v>2187</v>
      </c>
      <c r="C2525" s="30" t="s">
        <v>2176</v>
      </c>
      <c r="D2525" s="31" t="s">
        <v>2188</v>
      </c>
      <c r="E2525" s="51">
        <v>9.5</v>
      </c>
      <c r="F2525" s="32" t="s">
        <v>15</v>
      </c>
      <c r="G2525" s="32">
        <v>0</v>
      </c>
      <c r="H2525" s="12"/>
      <c r="I2525" s="11">
        <f>Table1[[#This Row],[Qty]]*Table1[[#This Row],[Price]]</f>
        <v>0</v>
      </c>
    </row>
    <row r="2526" spans="1:9" x14ac:dyDescent="0.25">
      <c r="A2526" s="28">
        <v>8436581945911</v>
      </c>
      <c r="B2526" s="29" t="s">
        <v>2222</v>
      </c>
      <c r="C2526" s="30" t="s">
        <v>2176</v>
      </c>
      <c r="D2526" s="31" t="s">
        <v>2223</v>
      </c>
      <c r="E2526" s="51">
        <v>7.5</v>
      </c>
      <c r="F2526" s="32" t="s">
        <v>15</v>
      </c>
      <c r="G2526" s="32">
        <v>0</v>
      </c>
      <c r="H2526" s="12"/>
      <c r="I2526" s="11">
        <f>Table1[[#This Row],[Qty]]*Table1[[#This Row],[Price]]</f>
        <v>0</v>
      </c>
    </row>
    <row r="2527" spans="1:9" x14ac:dyDescent="0.25">
      <c r="A2527" s="28">
        <v>8436581946154</v>
      </c>
      <c r="B2527" s="29" t="s">
        <v>4927</v>
      </c>
      <c r="C2527" s="30" t="s">
        <v>2176</v>
      </c>
      <c r="D2527" s="31" t="s">
        <v>4928</v>
      </c>
      <c r="E2527" s="51">
        <v>5.5</v>
      </c>
      <c r="F2527" s="32" t="s">
        <v>15</v>
      </c>
      <c r="G2527" s="32">
        <v>0</v>
      </c>
      <c r="H2527" s="22"/>
      <c r="I2527" s="11">
        <f>Table1[[#This Row],[Qty]]*Table1[[#This Row],[Price]]</f>
        <v>0</v>
      </c>
    </row>
    <row r="2528" spans="1:9" x14ac:dyDescent="0.25">
      <c r="A2528" s="28">
        <v>8436581946161</v>
      </c>
      <c r="B2528" s="29" t="s">
        <v>4929</v>
      </c>
      <c r="C2528" s="30" t="s">
        <v>2176</v>
      </c>
      <c r="D2528" s="31" t="s">
        <v>4930</v>
      </c>
      <c r="E2528" s="51">
        <v>5.5</v>
      </c>
      <c r="F2528" s="32" t="s">
        <v>15</v>
      </c>
      <c r="G2528" s="32">
        <v>0</v>
      </c>
      <c r="H2528" s="14"/>
      <c r="I2528" s="11">
        <f>Table1[[#This Row],[Qty]]*Table1[[#This Row],[Price]]</f>
        <v>0</v>
      </c>
    </row>
    <row r="2529" spans="1:9" x14ac:dyDescent="0.25">
      <c r="A2529" s="28">
        <v>8436581946147</v>
      </c>
      <c r="B2529" s="29" t="s">
        <v>4931</v>
      </c>
      <c r="C2529" s="30" t="s">
        <v>2176</v>
      </c>
      <c r="D2529" s="31" t="s">
        <v>4932</v>
      </c>
      <c r="E2529" s="51">
        <v>5.5</v>
      </c>
      <c r="F2529" s="32" t="s">
        <v>15</v>
      </c>
      <c r="G2529" s="32">
        <v>0</v>
      </c>
      <c r="H2529" s="12"/>
      <c r="I2529" s="11">
        <f>Table1[[#This Row],[Qty]]*Table1[[#This Row],[Price]]</f>
        <v>0</v>
      </c>
    </row>
    <row r="2530" spans="1:9" x14ac:dyDescent="0.25">
      <c r="A2530" s="28">
        <v>5000386101310</v>
      </c>
      <c r="B2530" s="29" t="s">
        <v>5398</v>
      </c>
      <c r="C2530" s="30" t="s">
        <v>831</v>
      </c>
      <c r="D2530" s="31" t="s">
        <v>5399</v>
      </c>
      <c r="E2530" s="51">
        <v>148.5</v>
      </c>
      <c r="F2530" s="32" t="s">
        <v>15</v>
      </c>
      <c r="G2530" s="32">
        <v>0</v>
      </c>
      <c r="H2530" s="12"/>
      <c r="I2530" s="11">
        <f>Table1[[#This Row],[Qty]]*Table1[[#This Row],[Price]]</f>
        <v>0</v>
      </c>
    </row>
    <row r="2531" spans="1:9" x14ac:dyDescent="0.25">
      <c r="A2531" s="28">
        <v>5000386004628</v>
      </c>
      <c r="B2531" s="29" t="s">
        <v>5245</v>
      </c>
      <c r="C2531" s="30" t="s">
        <v>831</v>
      </c>
      <c r="D2531" s="31" t="s">
        <v>5246</v>
      </c>
      <c r="E2531" s="51">
        <v>128</v>
      </c>
      <c r="F2531" s="32" t="s">
        <v>15</v>
      </c>
      <c r="G2531" s="32" t="s">
        <v>7382</v>
      </c>
      <c r="H2531" s="12"/>
      <c r="I2531" s="11">
        <f>Table1[[#This Row],[Qty]]*Table1[[#This Row],[Price]]</f>
        <v>0</v>
      </c>
    </row>
    <row r="2532" spans="1:9" x14ac:dyDescent="0.25">
      <c r="A2532" s="28">
        <v>5000386008466</v>
      </c>
      <c r="B2532" s="29" t="s">
        <v>5400</v>
      </c>
      <c r="C2532" s="30" t="s">
        <v>831</v>
      </c>
      <c r="D2532" s="31" t="s">
        <v>5401</v>
      </c>
      <c r="E2532" s="51">
        <v>6.25</v>
      </c>
      <c r="F2532" s="32" t="s">
        <v>15</v>
      </c>
      <c r="G2532" s="32">
        <v>0</v>
      </c>
      <c r="H2532" s="14"/>
      <c r="I2532" s="11">
        <f>Table1[[#This Row],[Qty]]*Table1[[#This Row],[Price]]</f>
        <v>0</v>
      </c>
    </row>
    <row r="2533" spans="1:9" x14ac:dyDescent="0.25">
      <c r="A2533" s="28">
        <v>5000386147745</v>
      </c>
      <c r="B2533" s="29" t="s">
        <v>5402</v>
      </c>
      <c r="C2533" s="30" t="s">
        <v>831</v>
      </c>
      <c r="D2533" s="31" t="s">
        <v>5403</v>
      </c>
      <c r="E2533" s="51">
        <v>6.25</v>
      </c>
      <c r="F2533" s="32" t="s">
        <v>15</v>
      </c>
      <c r="G2533" s="32">
        <v>0</v>
      </c>
      <c r="H2533" s="12"/>
      <c r="I2533" s="11">
        <f>Table1[[#This Row],[Qty]]*Table1[[#This Row],[Price]]</f>
        <v>0</v>
      </c>
    </row>
    <row r="2534" spans="1:9" x14ac:dyDescent="0.25">
      <c r="A2534" s="28">
        <v>3700066701787</v>
      </c>
      <c r="B2534" s="29" t="s">
        <v>797</v>
      </c>
      <c r="C2534" s="30" t="s">
        <v>798</v>
      </c>
      <c r="D2534" s="31" t="s">
        <v>799</v>
      </c>
      <c r="E2534" s="51">
        <v>15.87</v>
      </c>
      <c r="F2534" s="32" t="s">
        <v>15</v>
      </c>
      <c r="G2534" s="32" t="s">
        <v>5994</v>
      </c>
      <c r="H2534" s="22"/>
      <c r="I2534" s="11">
        <f>Table1[[#This Row],[Qty]]*Table1[[#This Row],[Price]]</f>
        <v>0</v>
      </c>
    </row>
    <row r="2535" spans="1:9" x14ac:dyDescent="0.25">
      <c r="A2535" s="28">
        <v>3700066703125</v>
      </c>
      <c r="B2535" s="29" t="s">
        <v>936</v>
      </c>
      <c r="C2535" s="30" t="s">
        <v>798</v>
      </c>
      <c r="D2535" s="31" t="s">
        <v>937</v>
      </c>
      <c r="E2535" s="51">
        <v>16.16</v>
      </c>
      <c r="F2535" s="32" t="s">
        <v>15</v>
      </c>
      <c r="G2535" s="32" t="s">
        <v>6055</v>
      </c>
      <c r="H2535" s="14"/>
      <c r="I2535" s="11">
        <f>Table1[[#This Row],[Qty]]*Table1[[#This Row],[Price]]</f>
        <v>0</v>
      </c>
    </row>
    <row r="2536" spans="1:9" x14ac:dyDescent="0.25">
      <c r="A2536" s="28">
        <v>3700066700056</v>
      </c>
      <c r="B2536" s="29" t="s">
        <v>1551</v>
      </c>
      <c r="C2536" s="30" t="s">
        <v>798</v>
      </c>
      <c r="D2536" s="31" t="s">
        <v>1552</v>
      </c>
      <c r="E2536" s="51">
        <v>31</v>
      </c>
      <c r="F2536" s="32" t="s">
        <v>15</v>
      </c>
      <c r="G2536" s="32">
        <v>0</v>
      </c>
      <c r="H2536" s="22"/>
      <c r="I2536" s="11">
        <f>Table1[[#This Row],[Qty]]*Table1[[#This Row],[Price]]</f>
        <v>0</v>
      </c>
    </row>
    <row r="2537" spans="1:9" x14ac:dyDescent="0.25">
      <c r="A2537" s="28">
        <v>3700066702760</v>
      </c>
      <c r="B2537" s="29" t="s">
        <v>1927</v>
      </c>
      <c r="C2537" s="30" t="s">
        <v>798</v>
      </c>
      <c r="D2537" s="31" t="s">
        <v>1928</v>
      </c>
      <c r="E2537" s="51">
        <v>16</v>
      </c>
      <c r="F2537" s="32" t="s">
        <v>15</v>
      </c>
      <c r="G2537" s="32">
        <v>0</v>
      </c>
      <c r="H2537" s="22"/>
      <c r="I2537" s="11">
        <f>Table1[[#This Row],[Qty]]*Table1[[#This Row],[Price]]</f>
        <v>0</v>
      </c>
    </row>
    <row r="2538" spans="1:9" x14ac:dyDescent="0.25">
      <c r="A2538" s="48">
        <v>3700066700667</v>
      </c>
      <c r="B2538" s="41" t="s">
        <v>1969</v>
      </c>
      <c r="C2538" s="6" t="s">
        <v>798</v>
      </c>
      <c r="D2538" t="s">
        <v>1970</v>
      </c>
      <c r="E2538" s="47">
        <v>15</v>
      </c>
      <c r="F2538" s="6" t="s">
        <v>15</v>
      </c>
      <c r="G2538" s="6" t="s">
        <v>6352</v>
      </c>
      <c r="H2538" s="22"/>
      <c r="I2538" s="11">
        <f>Table1[[#This Row],[Qty]]*Table1[[#This Row],[Price]]</f>
        <v>0</v>
      </c>
    </row>
    <row r="2539" spans="1:9" x14ac:dyDescent="0.25">
      <c r="A2539" s="28">
        <v>3700066700742</v>
      </c>
      <c r="B2539" s="29" t="s">
        <v>3840</v>
      </c>
      <c r="C2539" s="30" t="s">
        <v>798</v>
      </c>
      <c r="D2539" s="31" t="s">
        <v>3841</v>
      </c>
      <c r="E2539" s="51">
        <v>15.69</v>
      </c>
      <c r="F2539" s="32" t="s">
        <v>15</v>
      </c>
      <c r="G2539" s="32" t="s">
        <v>7091</v>
      </c>
      <c r="H2539" s="22"/>
      <c r="I2539" s="11">
        <f>Table1[[#This Row],[Qty]]*Table1[[#This Row],[Price]]</f>
        <v>0</v>
      </c>
    </row>
    <row r="2540" spans="1:9" x14ac:dyDescent="0.25">
      <c r="A2540" s="28">
        <v>608940543313</v>
      </c>
      <c r="B2540" s="29" t="s">
        <v>1804</v>
      </c>
      <c r="C2540" s="30" t="s">
        <v>1805</v>
      </c>
      <c r="D2540" s="31" t="s">
        <v>1806</v>
      </c>
      <c r="E2540" s="51">
        <v>20</v>
      </c>
      <c r="F2540" s="32" t="s">
        <v>15</v>
      </c>
      <c r="G2540" s="32" t="s">
        <v>6304</v>
      </c>
      <c r="H2540" s="12"/>
      <c r="I2540" s="11">
        <f>Table1[[#This Row],[Qty]]*Table1[[#This Row],[Price]]</f>
        <v>0</v>
      </c>
    </row>
    <row r="2541" spans="1:9" x14ac:dyDescent="0.25">
      <c r="A2541" s="28">
        <v>6290171073796</v>
      </c>
      <c r="B2541" s="29" t="s">
        <v>2027</v>
      </c>
      <c r="C2541" s="30" t="s">
        <v>2028</v>
      </c>
      <c r="D2541" s="31" t="s">
        <v>2029</v>
      </c>
      <c r="E2541" s="51">
        <v>13.5</v>
      </c>
      <c r="F2541" s="32" t="s">
        <v>15</v>
      </c>
      <c r="G2541" s="32">
        <v>0</v>
      </c>
      <c r="H2541" s="12"/>
      <c r="I2541" s="11">
        <f>Table1[[#This Row],[Qty]]*Table1[[#This Row],[Price]]</f>
        <v>0</v>
      </c>
    </row>
    <row r="2542" spans="1:9" x14ac:dyDescent="0.25">
      <c r="A2542" s="28">
        <v>6290171073802</v>
      </c>
      <c r="B2542" s="29" t="s">
        <v>2030</v>
      </c>
      <c r="C2542" s="30" t="s">
        <v>2028</v>
      </c>
      <c r="D2542" s="31" t="s">
        <v>2031</v>
      </c>
      <c r="E2542" s="51">
        <v>13.5</v>
      </c>
      <c r="F2542" s="32" t="s">
        <v>15</v>
      </c>
      <c r="G2542" s="32">
        <v>0</v>
      </c>
      <c r="H2542" s="12"/>
      <c r="I2542" s="11">
        <f>Table1[[#This Row],[Qty]]*Table1[[#This Row],[Price]]</f>
        <v>0</v>
      </c>
    </row>
    <row r="2543" spans="1:9" x14ac:dyDescent="0.25">
      <c r="A2543" s="28">
        <v>6290360597782</v>
      </c>
      <c r="B2543" s="29" t="s">
        <v>2090</v>
      </c>
      <c r="C2543" s="30" t="s">
        <v>2028</v>
      </c>
      <c r="D2543" s="31" t="s">
        <v>2091</v>
      </c>
      <c r="E2543" s="51">
        <v>12</v>
      </c>
      <c r="F2543" s="32" t="s">
        <v>15</v>
      </c>
      <c r="G2543" s="32">
        <v>0</v>
      </c>
      <c r="H2543" s="22"/>
      <c r="I2543" s="11">
        <f>Table1[[#This Row],[Qty]]*Table1[[#This Row],[Price]]</f>
        <v>0</v>
      </c>
    </row>
    <row r="2544" spans="1:9" x14ac:dyDescent="0.25">
      <c r="A2544" s="28">
        <v>6291107454894</v>
      </c>
      <c r="B2544" s="29" t="s">
        <v>2899</v>
      </c>
      <c r="C2544" s="30" t="s">
        <v>2028</v>
      </c>
      <c r="D2544" s="31" t="s">
        <v>2900</v>
      </c>
      <c r="E2544" s="51">
        <v>11.5</v>
      </c>
      <c r="F2544" s="32" t="s">
        <v>15</v>
      </c>
      <c r="G2544" s="32">
        <v>0</v>
      </c>
      <c r="H2544" s="22"/>
      <c r="I2544" s="11">
        <f>Table1[[#This Row],[Qty]]*Table1[[#This Row],[Price]]</f>
        <v>0</v>
      </c>
    </row>
    <row r="2545" spans="1:9" x14ac:dyDescent="0.25">
      <c r="A2545" s="28">
        <v>6290360595573</v>
      </c>
      <c r="B2545" s="29" t="s">
        <v>2901</v>
      </c>
      <c r="C2545" s="30" t="s">
        <v>2028</v>
      </c>
      <c r="D2545" s="31" t="s">
        <v>2902</v>
      </c>
      <c r="E2545" s="51">
        <v>12</v>
      </c>
      <c r="F2545" s="32" t="s">
        <v>15</v>
      </c>
      <c r="G2545" s="32">
        <v>0</v>
      </c>
      <c r="H2545" s="12"/>
      <c r="I2545" s="11">
        <f>Table1[[#This Row],[Qty]]*Table1[[#This Row],[Price]]</f>
        <v>0</v>
      </c>
    </row>
    <row r="2546" spans="1:9" x14ac:dyDescent="0.25">
      <c r="A2546" s="28">
        <v>6290360597768</v>
      </c>
      <c r="B2546" s="29" t="s">
        <v>2903</v>
      </c>
      <c r="C2546" s="30" t="s">
        <v>2028</v>
      </c>
      <c r="D2546" s="31" t="s">
        <v>2904</v>
      </c>
      <c r="E2546" s="51">
        <v>12.5</v>
      </c>
      <c r="F2546" s="32" t="s">
        <v>15</v>
      </c>
      <c r="G2546" s="32">
        <v>0</v>
      </c>
      <c r="H2546" s="12"/>
      <c r="I2546" s="11">
        <f>Table1[[#This Row],[Qty]]*Table1[[#This Row],[Price]]</f>
        <v>0</v>
      </c>
    </row>
    <row r="2547" spans="1:9" x14ac:dyDescent="0.25">
      <c r="A2547" s="28">
        <v>6290360591469</v>
      </c>
      <c r="B2547" s="29" t="s">
        <v>2905</v>
      </c>
      <c r="C2547" s="30" t="s">
        <v>2028</v>
      </c>
      <c r="D2547" s="31" t="s">
        <v>2906</v>
      </c>
      <c r="E2547" s="51">
        <v>11.5</v>
      </c>
      <c r="F2547" s="32" t="s">
        <v>15</v>
      </c>
      <c r="G2547" s="32">
        <v>0</v>
      </c>
      <c r="H2547" s="22"/>
      <c r="I2547" s="11">
        <f>Table1[[#This Row],[Qty]]*Table1[[#This Row],[Price]]</f>
        <v>0</v>
      </c>
    </row>
    <row r="2548" spans="1:9" x14ac:dyDescent="0.25">
      <c r="A2548" s="28">
        <v>6295151504031</v>
      </c>
      <c r="B2548" s="29" t="s">
        <v>3502</v>
      </c>
      <c r="C2548" s="30" t="s">
        <v>2028</v>
      </c>
      <c r="D2548" s="31" t="s">
        <v>3503</v>
      </c>
      <c r="E2548" s="51">
        <v>29</v>
      </c>
      <c r="F2548" s="32" t="s">
        <v>15</v>
      </c>
      <c r="G2548" s="32" t="s">
        <v>6873</v>
      </c>
      <c r="H2548" s="12"/>
      <c r="I2548" s="11">
        <f>Table1[[#This Row],[Qty]]*Table1[[#This Row],[Price]]</f>
        <v>0</v>
      </c>
    </row>
    <row r="2549" spans="1:9" x14ac:dyDescent="0.25">
      <c r="A2549" s="48">
        <v>5060270292739</v>
      </c>
      <c r="B2549" s="41" t="s">
        <v>4920</v>
      </c>
      <c r="C2549" s="6" t="s">
        <v>4921</v>
      </c>
      <c r="D2549" t="s">
        <v>4922</v>
      </c>
      <c r="E2549" s="47">
        <v>194</v>
      </c>
      <c r="F2549" s="6" t="s">
        <v>15</v>
      </c>
      <c r="G2549" s="6">
        <v>0</v>
      </c>
      <c r="H2549" s="22"/>
      <c r="I2549" s="11">
        <f>Table1[[#This Row],[Qty]]*Table1[[#This Row],[Price]]</f>
        <v>0</v>
      </c>
    </row>
    <row r="2550" spans="1:9" x14ac:dyDescent="0.25">
      <c r="A2550" s="28">
        <v>5060270292227</v>
      </c>
      <c r="B2550" s="29" t="s">
        <v>5243</v>
      </c>
      <c r="C2550" s="30" t="s">
        <v>4921</v>
      </c>
      <c r="D2550" s="31" t="s">
        <v>5244</v>
      </c>
      <c r="E2550" s="51">
        <v>172</v>
      </c>
      <c r="F2550" s="32" t="s">
        <v>15</v>
      </c>
      <c r="G2550" s="32">
        <v>0</v>
      </c>
      <c r="H2550" s="14"/>
      <c r="I2550" s="11">
        <f>Table1[[#This Row],[Qty]]*Table1[[#This Row],[Price]]</f>
        <v>0</v>
      </c>
    </row>
    <row r="2551" spans="1:9" x14ac:dyDescent="0.25">
      <c r="A2551" s="28">
        <v>8034097959554</v>
      </c>
      <c r="B2551" s="29" t="s">
        <v>841</v>
      </c>
      <c r="C2551" s="30" t="s">
        <v>842</v>
      </c>
      <c r="D2551" s="31" t="s">
        <v>843</v>
      </c>
      <c r="E2551" s="51">
        <v>15.07</v>
      </c>
      <c r="F2551" s="32" t="s">
        <v>15</v>
      </c>
      <c r="G2551" s="32" t="s">
        <v>6012</v>
      </c>
      <c r="H2551" s="12"/>
      <c r="I2551" s="11">
        <f>Table1[[#This Row],[Qty]]*Table1[[#This Row],[Price]]</f>
        <v>0</v>
      </c>
    </row>
    <row r="2552" spans="1:9" x14ac:dyDescent="0.25">
      <c r="A2552" s="28">
        <v>8052086371804</v>
      </c>
      <c r="B2552" s="29" t="s">
        <v>1640</v>
      </c>
      <c r="C2552" s="30" t="s">
        <v>842</v>
      </c>
      <c r="D2552" s="31" t="s">
        <v>1641</v>
      </c>
      <c r="E2552" s="51">
        <v>26.75</v>
      </c>
      <c r="F2552" s="32" t="s">
        <v>15</v>
      </c>
      <c r="G2552" s="32">
        <v>0</v>
      </c>
      <c r="H2552" s="12"/>
      <c r="I2552" s="11">
        <f>Table1[[#This Row],[Qty]]*Table1[[#This Row],[Price]]</f>
        <v>0</v>
      </c>
    </row>
    <row r="2553" spans="1:9" x14ac:dyDescent="0.25">
      <c r="A2553" s="28">
        <v>8052464891504</v>
      </c>
      <c r="B2553" s="29" t="s">
        <v>1671</v>
      </c>
      <c r="C2553" s="30" t="s">
        <v>842</v>
      </c>
      <c r="D2553" s="31" t="s">
        <v>1672</v>
      </c>
      <c r="E2553" s="51">
        <v>25.74</v>
      </c>
      <c r="F2553" s="32" t="s">
        <v>15</v>
      </c>
      <c r="G2553" s="32">
        <v>0</v>
      </c>
      <c r="H2553" s="22"/>
      <c r="I2553" s="11">
        <f>Table1[[#This Row],[Qty]]*Table1[[#This Row],[Price]]</f>
        <v>0</v>
      </c>
    </row>
    <row r="2554" spans="1:9" x14ac:dyDescent="0.25">
      <c r="A2554" s="28">
        <v>8034097959899</v>
      </c>
      <c r="B2554" s="29" t="s">
        <v>1696</v>
      </c>
      <c r="C2554" s="33" t="s">
        <v>842</v>
      </c>
      <c r="D2554" s="31" t="s">
        <v>1697</v>
      </c>
      <c r="E2554" s="51">
        <v>24.4</v>
      </c>
      <c r="F2554" s="32" t="s">
        <v>15</v>
      </c>
      <c r="G2554" s="32">
        <v>0</v>
      </c>
      <c r="H2554" s="22"/>
      <c r="I2554" s="11">
        <f>Table1[[#This Row],[Qty]]*Table1[[#This Row],[Price]]</f>
        <v>0</v>
      </c>
    </row>
    <row r="2555" spans="1:9" x14ac:dyDescent="0.25">
      <c r="A2555" s="28">
        <v>8052086377479</v>
      </c>
      <c r="B2555" s="29" t="s">
        <v>1704</v>
      </c>
      <c r="C2555" s="30" t="s">
        <v>842</v>
      </c>
      <c r="D2555" s="31" t="s">
        <v>1705</v>
      </c>
      <c r="E2555" s="51">
        <v>23.95</v>
      </c>
      <c r="F2555" s="32" t="s">
        <v>15</v>
      </c>
      <c r="G2555" s="32">
        <v>0</v>
      </c>
      <c r="H2555" s="22"/>
      <c r="I2555" s="11">
        <f>Table1[[#This Row],[Qty]]*Table1[[#This Row],[Price]]</f>
        <v>0</v>
      </c>
    </row>
    <row r="2556" spans="1:9" x14ac:dyDescent="0.25">
      <c r="A2556" s="28">
        <v>8032529114755</v>
      </c>
      <c r="B2556" s="29" t="s">
        <v>1762</v>
      </c>
      <c r="C2556" s="30" t="s">
        <v>842</v>
      </c>
      <c r="D2556" s="31" t="s">
        <v>1763</v>
      </c>
      <c r="E2556" s="51">
        <v>21.5</v>
      </c>
      <c r="F2556" s="32" t="s">
        <v>15</v>
      </c>
      <c r="G2556" s="32">
        <v>0</v>
      </c>
      <c r="H2556" s="22"/>
      <c r="I2556" s="11">
        <f>Table1[[#This Row],[Qty]]*Table1[[#This Row],[Price]]</f>
        <v>0</v>
      </c>
    </row>
    <row r="2557" spans="1:9" x14ac:dyDescent="0.25">
      <c r="A2557" s="28">
        <v>8052086372979</v>
      </c>
      <c r="B2557" s="29" t="s">
        <v>2795</v>
      </c>
      <c r="C2557" s="30" t="s">
        <v>842</v>
      </c>
      <c r="D2557" s="31" t="s">
        <v>2796</v>
      </c>
      <c r="E2557" s="51">
        <v>25.83</v>
      </c>
      <c r="F2557" s="32" t="s">
        <v>15</v>
      </c>
      <c r="G2557" s="32" t="s">
        <v>6610</v>
      </c>
      <c r="H2557" s="12"/>
      <c r="I2557" s="11">
        <f>Table1[[#This Row],[Qty]]*Table1[[#This Row],[Price]]</f>
        <v>0</v>
      </c>
    </row>
    <row r="2558" spans="1:9" x14ac:dyDescent="0.25">
      <c r="A2558" s="28">
        <v>8052086377240</v>
      </c>
      <c r="B2558" s="29" t="s">
        <v>2797</v>
      </c>
      <c r="C2558" s="30" t="s">
        <v>842</v>
      </c>
      <c r="D2558" s="31" t="s">
        <v>2798</v>
      </c>
      <c r="E2558" s="51">
        <v>33</v>
      </c>
      <c r="F2558" s="32" t="s">
        <v>15</v>
      </c>
      <c r="G2558" s="32">
        <v>0</v>
      </c>
      <c r="H2558" s="22"/>
      <c r="I2558" s="11">
        <f>Table1[[#This Row],[Qty]]*Table1[[#This Row],[Price]]</f>
        <v>0</v>
      </c>
    </row>
    <row r="2559" spans="1:9" x14ac:dyDescent="0.25">
      <c r="A2559" s="28">
        <v>8034097959721</v>
      </c>
      <c r="B2559" s="29" t="s">
        <v>2799</v>
      </c>
      <c r="C2559" s="30" t="s">
        <v>842</v>
      </c>
      <c r="D2559" s="31" t="s">
        <v>2800</v>
      </c>
      <c r="E2559" s="51">
        <v>31.5</v>
      </c>
      <c r="F2559" s="32" t="s">
        <v>15</v>
      </c>
      <c r="G2559" s="32">
        <v>0</v>
      </c>
      <c r="H2559" s="12"/>
      <c r="I2559" s="11">
        <f>Table1[[#This Row],[Qty]]*Table1[[#This Row],[Price]]</f>
        <v>0</v>
      </c>
    </row>
    <row r="2560" spans="1:9" x14ac:dyDescent="0.25">
      <c r="A2560" s="28">
        <v>8052464891702</v>
      </c>
      <c r="B2560" s="29" t="s">
        <v>4200</v>
      </c>
      <c r="C2560" s="30" t="s">
        <v>842</v>
      </c>
      <c r="D2560" s="31" t="s">
        <v>4201</v>
      </c>
      <c r="E2560" s="51">
        <v>33</v>
      </c>
      <c r="F2560" s="32" t="s">
        <v>15</v>
      </c>
      <c r="G2560" s="32" t="s">
        <v>7240</v>
      </c>
      <c r="H2560" s="12"/>
      <c r="I2560" s="11">
        <f>Table1[[#This Row],[Qty]]*Table1[[#This Row],[Price]]</f>
        <v>0</v>
      </c>
    </row>
    <row r="2561" spans="1:9" x14ac:dyDescent="0.25">
      <c r="A2561" s="28">
        <v>8052464893324</v>
      </c>
      <c r="B2561" s="29" t="s">
        <v>4537</v>
      </c>
      <c r="C2561" s="33" t="s">
        <v>842</v>
      </c>
      <c r="D2561" s="31" t="s">
        <v>4538</v>
      </c>
      <c r="E2561" s="51">
        <v>30</v>
      </c>
      <c r="F2561" s="32" t="s">
        <v>15</v>
      </c>
      <c r="G2561" s="32">
        <v>0</v>
      </c>
      <c r="H2561" s="22"/>
      <c r="I2561" s="11">
        <f>Table1[[#This Row],[Qty]]*Table1[[#This Row],[Price]]</f>
        <v>0</v>
      </c>
    </row>
    <row r="2562" spans="1:9" x14ac:dyDescent="0.25">
      <c r="A2562" s="28">
        <v>8032529114076</v>
      </c>
      <c r="B2562" s="29" t="s">
        <v>5295</v>
      </c>
      <c r="C2562" s="30" t="s">
        <v>842</v>
      </c>
      <c r="D2562" s="31" t="s">
        <v>5296</v>
      </c>
      <c r="E2562" s="51">
        <v>21</v>
      </c>
      <c r="F2562" s="32" t="s">
        <v>15</v>
      </c>
      <c r="G2562" s="32" t="s">
        <v>7410</v>
      </c>
      <c r="H2562" s="12"/>
      <c r="I2562" s="11">
        <f>Table1[[#This Row],[Qty]]*Table1[[#This Row],[Price]]</f>
        <v>0</v>
      </c>
    </row>
    <row r="2563" spans="1:9" x14ac:dyDescent="0.25">
      <c r="A2563" s="28">
        <v>8411061810590</v>
      </c>
      <c r="B2563" s="29" t="s">
        <v>1990</v>
      </c>
      <c r="C2563" s="30" t="s">
        <v>1991</v>
      </c>
      <c r="D2563" s="31" t="s">
        <v>1992</v>
      </c>
      <c r="E2563" s="51">
        <v>14.5</v>
      </c>
      <c r="F2563" s="32" t="s">
        <v>15</v>
      </c>
      <c r="G2563" s="32" t="s">
        <v>6356</v>
      </c>
      <c r="H2563" s="12"/>
      <c r="I2563" s="11">
        <f>Table1[[#This Row],[Qty]]*Table1[[#This Row],[Price]]</f>
        <v>0</v>
      </c>
    </row>
    <row r="2564" spans="1:9" x14ac:dyDescent="0.25">
      <c r="A2564" s="28">
        <v>8411061783368</v>
      </c>
      <c r="B2564" s="29" t="s">
        <v>2801</v>
      </c>
      <c r="C2564" s="30" t="s">
        <v>1991</v>
      </c>
      <c r="D2564" s="31" t="s">
        <v>2802</v>
      </c>
      <c r="E2564" s="51">
        <v>12</v>
      </c>
      <c r="F2564" s="32" t="s">
        <v>15</v>
      </c>
      <c r="G2564" s="32" t="s">
        <v>6611</v>
      </c>
      <c r="H2564" s="12"/>
      <c r="I2564" s="11">
        <f>Table1[[#This Row],[Qty]]*Table1[[#This Row],[Price]]</f>
        <v>0</v>
      </c>
    </row>
    <row r="2565" spans="1:9" x14ac:dyDescent="0.25">
      <c r="A2565" s="28">
        <v>810912032248</v>
      </c>
      <c r="B2565" s="29" t="s">
        <v>1583</v>
      </c>
      <c r="C2565" s="30" t="s">
        <v>1584</v>
      </c>
      <c r="D2565" s="31" t="s">
        <v>1585</v>
      </c>
      <c r="E2565" s="51">
        <v>28.5</v>
      </c>
      <c r="F2565" s="32" t="s">
        <v>15</v>
      </c>
      <c r="G2565" s="32">
        <v>0</v>
      </c>
      <c r="H2565" s="12"/>
      <c r="I2565" s="11">
        <f>Table1[[#This Row],[Qty]]*Table1[[#This Row],[Price]]</f>
        <v>0</v>
      </c>
    </row>
    <row r="2566" spans="1:9" x14ac:dyDescent="0.25">
      <c r="A2566" s="28">
        <v>810912033610</v>
      </c>
      <c r="B2566" s="29" t="s">
        <v>1945</v>
      </c>
      <c r="C2566" s="30" t="s">
        <v>1584</v>
      </c>
      <c r="D2566" s="31" t="s">
        <v>1946</v>
      </c>
      <c r="E2566" s="51">
        <v>15.5</v>
      </c>
      <c r="F2566" s="32" t="s">
        <v>15</v>
      </c>
      <c r="G2566" s="32">
        <v>0</v>
      </c>
      <c r="H2566" s="12"/>
      <c r="I2566" s="11">
        <f>Table1[[#This Row],[Qty]]*Table1[[#This Row],[Price]]</f>
        <v>0</v>
      </c>
    </row>
    <row r="2567" spans="1:9" x14ac:dyDescent="0.25">
      <c r="A2567" s="28">
        <v>6295124024290</v>
      </c>
      <c r="B2567" s="29" t="s">
        <v>1712</v>
      </c>
      <c r="C2567" s="30" t="s">
        <v>1713</v>
      </c>
      <c r="D2567" s="31" t="s">
        <v>1714</v>
      </c>
      <c r="E2567" s="51">
        <v>23.5</v>
      </c>
      <c r="F2567" s="32" t="s">
        <v>15</v>
      </c>
      <c r="G2567" s="32" t="s">
        <v>6280</v>
      </c>
      <c r="H2567" s="22"/>
      <c r="I2567" s="11">
        <f>Table1[[#This Row],[Qty]]*Table1[[#This Row],[Price]]</f>
        <v>0</v>
      </c>
    </row>
    <row r="2568" spans="1:9" x14ac:dyDescent="0.25">
      <c r="A2568" s="28">
        <v>6295124024832</v>
      </c>
      <c r="B2568" s="29" t="s">
        <v>1917</v>
      </c>
      <c r="C2568" s="30" t="s">
        <v>1713</v>
      </c>
      <c r="D2568" s="31" t="s">
        <v>1918</v>
      </c>
      <c r="E2568" s="51">
        <v>16.2</v>
      </c>
      <c r="F2568" s="32" t="s">
        <v>15</v>
      </c>
      <c r="G2568" s="32" t="s">
        <v>6336</v>
      </c>
      <c r="H2568" s="22"/>
      <c r="I2568" s="11">
        <f>Table1[[#This Row],[Qty]]*Table1[[#This Row],[Price]]</f>
        <v>0</v>
      </c>
    </row>
    <row r="2569" spans="1:9" x14ac:dyDescent="0.25">
      <c r="A2569" s="28">
        <v>6295124030475</v>
      </c>
      <c r="B2569" s="29" t="s">
        <v>1963</v>
      </c>
      <c r="C2569" s="30" t="s">
        <v>1713</v>
      </c>
      <c r="D2569" s="31" t="s">
        <v>1964</v>
      </c>
      <c r="E2569" s="51">
        <v>15.2</v>
      </c>
      <c r="F2569" s="32" t="s">
        <v>15</v>
      </c>
      <c r="G2569" s="32" t="s">
        <v>6349</v>
      </c>
      <c r="H2569" s="22"/>
      <c r="I2569" s="11">
        <f>Table1[[#This Row],[Qty]]*Table1[[#This Row],[Price]]</f>
        <v>0</v>
      </c>
    </row>
    <row r="2570" spans="1:9" x14ac:dyDescent="0.25">
      <c r="A2570" s="28">
        <v>6295124045608</v>
      </c>
      <c r="B2570" s="29" t="s">
        <v>4524</v>
      </c>
      <c r="C2570" s="30" t="s">
        <v>4525</v>
      </c>
      <c r="D2570" s="31" t="s">
        <v>4526</v>
      </c>
      <c r="E2570" s="51">
        <v>23</v>
      </c>
      <c r="F2570" s="32" t="s">
        <v>15</v>
      </c>
      <c r="G2570" s="32"/>
      <c r="H2570" s="22"/>
      <c r="I2570" s="11">
        <f>Table1[[#This Row],[Qty]]*Table1[[#This Row],[Price]]</f>
        <v>0</v>
      </c>
    </row>
    <row r="2571" spans="1:9" x14ac:dyDescent="0.25">
      <c r="A2571" s="28">
        <v>6295124045783</v>
      </c>
      <c r="B2571" s="29" t="s">
        <v>5155</v>
      </c>
      <c r="C2571" s="30" t="s">
        <v>4525</v>
      </c>
      <c r="D2571" s="31" t="s">
        <v>5156</v>
      </c>
      <c r="E2571" s="51">
        <v>19.5</v>
      </c>
      <c r="F2571" s="32" t="s">
        <v>15</v>
      </c>
      <c r="G2571" s="32"/>
      <c r="H2571" s="12"/>
      <c r="I2571" s="11">
        <f>Table1[[#This Row],[Qty]]*Table1[[#This Row],[Price]]</f>
        <v>0</v>
      </c>
    </row>
    <row r="2572" spans="1:9" x14ac:dyDescent="0.25">
      <c r="A2572" s="28">
        <v>4011700425501</v>
      </c>
      <c r="B2572" s="29" t="s">
        <v>4195</v>
      </c>
      <c r="C2572" s="30" t="s">
        <v>4196</v>
      </c>
      <c r="D2572" s="31" t="s">
        <v>4197</v>
      </c>
      <c r="E2572" s="51">
        <v>20.02</v>
      </c>
      <c r="F2572" s="32" t="s">
        <v>15</v>
      </c>
      <c r="G2572" s="32" t="s">
        <v>7238</v>
      </c>
      <c r="H2572" s="22"/>
      <c r="I2572" s="11">
        <f>Table1[[#This Row],[Qty]]*Table1[[#This Row],[Price]]</f>
        <v>0</v>
      </c>
    </row>
    <row r="2573" spans="1:9" x14ac:dyDescent="0.25">
      <c r="A2573" s="28">
        <v>3355992002554</v>
      </c>
      <c r="B2573" s="29" t="s">
        <v>1839</v>
      </c>
      <c r="C2573" s="30" t="s">
        <v>1840</v>
      </c>
      <c r="D2573" s="31" t="s">
        <v>1841</v>
      </c>
      <c r="E2573" s="51">
        <v>18.5</v>
      </c>
      <c r="F2573" s="32" t="s">
        <v>15</v>
      </c>
      <c r="G2573" s="32">
        <v>0</v>
      </c>
      <c r="H2573" s="12"/>
      <c r="I2573" s="11">
        <f>Table1[[#This Row],[Qty]]*Table1[[#This Row],[Price]]</f>
        <v>0</v>
      </c>
    </row>
    <row r="2574" spans="1:9" x14ac:dyDescent="0.25">
      <c r="A2574" s="28">
        <v>3355992000260</v>
      </c>
      <c r="B2574" s="29" t="s">
        <v>2053</v>
      </c>
      <c r="C2574" s="30" t="s">
        <v>1840</v>
      </c>
      <c r="D2574" s="31" t="s">
        <v>2054</v>
      </c>
      <c r="E2574" s="51">
        <v>13.75</v>
      </c>
      <c r="F2574" s="32" t="s">
        <v>15</v>
      </c>
      <c r="G2574" s="32" t="s">
        <v>6369</v>
      </c>
      <c r="H2574" s="22"/>
      <c r="I2574" s="11">
        <f>Table1[[#This Row],[Qty]]*Table1[[#This Row],[Price]]</f>
        <v>0</v>
      </c>
    </row>
    <row r="2575" spans="1:9" x14ac:dyDescent="0.25">
      <c r="A2575" s="28">
        <v>3355992004596</v>
      </c>
      <c r="B2575" s="29" t="s">
        <v>4742</v>
      </c>
      <c r="C2575" s="30" t="s">
        <v>1840</v>
      </c>
      <c r="D2575" s="31" t="s">
        <v>4743</v>
      </c>
      <c r="E2575" s="51">
        <v>21.4</v>
      </c>
      <c r="F2575" s="32" t="s">
        <v>15</v>
      </c>
      <c r="G2575" s="32">
        <v>0</v>
      </c>
      <c r="H2575" s="22"/>
      <c r="I2575" s="11">
        <f>Table1[[#This Row],[Qty]]*Table1[[#This Row],[Price]]</f>
        <v>0</v>
      </c>
    </row>
    <row r="2576" spans="1:9" x14ac:dyDescent="0.25">
      <c r="A2576" s="28">
        <v>3439600056655</v>
      </c>
      <c r="B2576" s="29" t="s">
        <v>137</v>
      </c>
      <c r="C2576" s="33" t="s">
        <v>138</v>
      </c>
      <c r="D2576" s="31" t="s">
        <v>139</v>
      </c>
      <c r="E2576" s="51">
        <v>51.95</v>
      </c>
      <c r="F2576" s="32" t="s">
        <v>15</v>
      </c>
      <c r="G2576" s="32" t="s">
        <v>5656</v>
      </c>
      <c r="H2576" s="22"/>
      <c r="I2576" s="11">
        <f>Table1[[#This Row],[Qty]]*Table1[[#This Row],[Price]]</f>
        <v>0</v>
      </c>
    </row>
    <row r="2577" spans="1:9" x14ac:dyDescent="0.25">
      <c r="A2577" s="28">
        <v>3614273764926</v>
      </c>
      <c r="B2577" s="29" t="s">
        <v>1243</v>
      </c>
      <c r="C2577" s="30" t="s">
        <v>138</v>
      </c>
      <c r="D2577" s="31" t="s">
        <v>1244</v>
      </c>
      <c r="E2577" s="51">
        <v>73.14</v>
      </c>
      <c r="F2577" s="32" t="s">
        <v>15</v>
      </c>
      <c r="G2577" s="32">
        <v>0</v>
      </c>
      <c r="H2577" s="14"/>
      <c r="I2577" s="11">
        <f>Table1[[#This Row],[Qty]]*Table1[[#This Row],[Price]]</f>
        <v>0</v>
      </c>
    </row>
    <row r="2578" spans="1:9" x14ac:dyDescent="0.25">
      <c r="A2578" s="28">
        <v>3439600048162</v>
      </c>
      <c r="B2578" s="29" t="s">
        <v>2805</v>
      </c>
      <c r="C2578" s="30" t="s">
        <v>138</v>
      </c>
      <c r="D2578" s="31" t="s">
        <v>2806</v>
      </c>
      <c r="E2578" s="51">
        <v>63.76</v>
      </c>
      <c r="F2578" s="32" t="s">
        <v>15</v>
      </c>
      <c r="G2578" s="32">
        <v>0</v>
      </c>
      <c r="H2578" s="12"/>
      <c r="I2578" s="11">
        <f>Table1[[#This Row],[Qty]]*Table1[[#This Row],[Price]]</f>
        <v>0</v>
      </c>
    </row>
    <row r="2579" spans="1:9" x14ac:dyDescent="0.25">
      <c r="A2579" s="48">
        <v>3439600056969</v>
      </c>
      <c r="B2579" s="41" t="s">
        <v>2807</v>
      </c>
      <c r="C2579" s="6" t="s">
        <v>138</v>
      </c>
      <c r="D2579" t="s">
        <v>2808</v>
      </c>
      <c r="E2579" s="47">
        <v>51.41</v>
      </c>
      <c r="F2579" s="6" t="s">
        <v>15</v>
      </c>
      <c r="G2579" s="6" t="s">
        <v>6612</v>
      </c>
      <c r="H2579" s="22"/>
      <c r="I2579" s="11">
        <f>Table1[[#This Row],[Qty]]*Table1[[#This Row],[Price]]</f>
        <v>0</v>
      </c>
    </row>
    <row r="2580" spans="1:9" x14ac:dyDescent="0.25">
      <c r="A2580" s="28">
        <v>3439600056921</v>
      </c>
      <c r="B2580" s="29" t="s">
        <v>3818</v>
      </c>
      <c r="C2580" s="30" t="s">
        <v>138</v>
      </c>
      <c r="D2580" s="31" t="s">
        <v>3819</v>
      </c>
      <c r="E2580" s="51">
        <v>40.5</v>
      </c>
      <c r="F2580" s="32" t="s">
        <v>15</v>
      </c>
      <c r="G2580" s="32" t="s">
        <v>7080</v>
      </c>
      <c r="H2580" s="14"/>
      <c r="I2580" s="11">
        <f>Table1[[#This Row],[Qty]]*Table1[[#This Row],[Price]]</f>
        <v>0</v>
      </c>
    </row>
    <row r="2581" spans="1:9" x14ac:dyDescent="0.25">
      <c r="A2581" s="28">
        <v>3439600056952</v>
      </c>
      <c r="B2581" s="29" t="s">
        <v>4906</v>
      </c>
      <c r="C2581" s="30" t="s">
        <v>138</v>
      </c>
      <c r="D2581" s="31" t="s">
        <v>4907</v>
      </c>
      <c r="E2581" s="51">
        <v>63.34</v>
      </c>
      <c r="F2581" s="32" t="s">
        <v>15</v>
      </c>
      <c r="G2581" s="32">
        <v>0</v>
      </c>
      <c r="H2581" s="22"/>
      <c r="I2581" s="11">
        <f>Table1[[#This Row],[Qty]]*Table1[[#This Row],[Price]]</f>
        <v>0</v>
      </c>
    </row>
    <row r="2582" spans="1:9" x14ac:dyDescent="0.25">
      <c r="A2582" s="28">
        <v>3439600040920</v>
      </c>
      <c r="B2582" s="29" t="s">
        <v>4890</v>
      </c>
      <c r="C2582" s="30" t="s">
        <v>138</v>
      </c>
      <c r="D2582" s="31" t="s">
        <v>4891</v>
      </c>
      <c r="E2582" s="51">
        <v>52.47</v>
      </c>
      <c r="F2582" s="32" t="s">
        <v>15</v>
      </c>
      <c r="G2582" s="32">
        <v>0</v>
      </c>
      <c r="H2582" s="12"/>
      <c r="I2582" s="11">
        <f>Table1[[#This Row],[Qty]]*Table1[[#This Row],[Price]]</f>
        <v>0</v>
      </c>
    </row>
    <row r="2583" spans="1:9" x14ac:dyDescent="0.25">
      <c r="A2583" s="28">
        <v>3439600056532</v>
      </c>
      <c r="B2583" s="29" t="s">
        <v>5362</v>
      </c>
      <c r="C2583" s="30" t="s">
        <v>138</v>
      </c>
      <c r="D2583" s="31" t="s">
        <v>5363</v>
      </c>
      <c r="E2583" s="51">
        <v>31.5</v>
      </c>
      <c r="F2583" s="32" t="s">
        <v>15</v>
      </c>
      <c r="G2583" s="32">
        <v>0</v>
      </c>
      <c r="H2583" s="12"/>
      <c r="I2583" s="11">
        <f>Table1[[#This Row],[Qty]]*Table1[[#This Row],[Price]]</f>
        <v>0</v>
      </c>
    </row>
    <row r="2584" spans="1:9" x14ac:dyDescent="0.25">
      <c r="A2584" s="28">
        <v>8016741962202</v>
      </c>
      <c r="B2584" s="29" t="s">
        <v>5486</v>
      </c>
      <c r="C2584" s="30" t="s">
        <v>5487</v>
      </c>
      <c r="D2584" s="31" t="s">
        <v>5488</v>
      </c>
      <c r="E2584" s="51">
        <v>77.91</v>
      </c>
      <c r="F2584" s="32" t="s">
        <v>15</v>
      </c>
      <c r="G2584" s="32">
        <v>0</v>
      </c>
      <c r="H2584" s="12"/>
      <c r="I2584" s="11">
        <f>Table1[[#This Row],[Qty]]*Table1[[#This Row],[Price]]</f>
        <v>0</v>
      </c>
    </row>
    <row r="2585" spans="1:9" x14ac:dyDescent="0.25">
      <c r="A2585" s="28">
        <v>888066117685</v>
      </c>
      <c r="B2585" s="29" t="s">
        <v>1199</v>
      </c>
      <c r="C2585" s="30" t="s">
        <v>1200</v>
      </c>
      <c r="D2585" s="31" t="s">
        <v>1201</v>
      </c>
      <c r="E2585" s="51">
        <v>91</v>
      </c>
      <c r="F2585" s="32" t="s">
        <v>15</v>
      </c>
      <c r="G2585" s="32">
        <v>0</v>
      </c>
      <c r="H2585" s="12"/>
      <c r="I2585" s="11">
        <f>Table1[[#This Row],[Qty]]*Table1[[#This Row],[Price]]</f>
        <v>0</v>
      </c>
    </row>
    <row r="2586" spans="1:9" x14ac:dyDescent="0.25">
      <c r="A2586" s="28">
        <v>888066117463</v>
      </c>
      <c r="B2586" s="29" t="s">
        <v>1216</v>
      </c>
      <c r="C2586" s="30" t="s">
        <v>1200</v>
      </c>
      <c r="D2586" s="31" t="s">
        <v>1217</v>
      </c>
      <c r="E2586" s="51">
        <v>79.5</v>
      </c>
      <c r="F2586" s="32" t="s">
        <v>15</v>
      </c>
      <c r="G2586" s="32">
        <v>0</v>
      </c>
      <c r="H2586" s="12"/>
      <c r="I2586" s="11">
        <f>Table1[[#This Row],[Qty]]*Table1[[#This Row],[Price]]</f>
        <v>0</v>
      </c>
    </row>
    <row r="2587" spans="1:9" x14ac:dyDescent="0.25">
      <c r="A2587" s="28">
        <v>888066000499</v>
      </c>
      <c r="B2587" s="29" t="s">
        <v>2803</v>
      </c>
      <c r="C2587" s="30" t="s">
        <v>1200</v>
      </c>
      <c r="D2587" s="31" t="s">
        <v>2804</v>
      </c>
      <c r="E2587" s="51">
        <v>159.5</v>
      </c>
      <c r="F2587" s="32" t="s">
        <v>15</v>
      </c>
      <c r="G2587" s="32">
        <v>0</v>
      </c>
      <c r="H2587" s="22"/>
      <c r="I2587" s="11">
        <f>Table1[[#This Row],[Qty]]*Table1[[#This Row],[Price]]</f>
        <v>0</v>
      </c>
    </row>
    <row r="2588" spans="1:9" x14ac:dyDescent="0.25">
      <c r="A2588" s="28">
        <v>888066000079</v>
      </c>
      <c r="B2588" s="29" t="s">
        <v>5489</v>
      </c>
      <c r="C2588" s="30" t="s">
        <v>1200</v>
      </c>
      <c r="D2588" s="31" t="s">
        <v>5490</v>
      </c>
      <c r="E2588" s="51">
        <v>110.5</v>
      </c>
      <c r="F2588" s="32" t="s">
        <v>15</v>
      </c>
      <c r="G2588" s="32" t="s">
        <v>7383</v>
      </c>
      <c r="H2588" s="12"/>
      <c r="I2588" s="11">
        <f>Table1[[#This Row],[Qty]]*Table1[[#This Row],[Price]]</f>
        <v>0</v>
      </c>
    </row>
    <row r="2589" spans="1:9" x14ac:dyDescent="0.25">
      <c r="A2589" s="28">
        <v>888066000062</v>
      </c>
      <c r="B2589" s="29" t="s">
        <v>4792</v>
      </c>
      <c r="C2589" s="30" t="s">
        <v>1200</v>
      </c>
      <c r="D2589" s="31" t="s">
        <v>4793</v>
      </c>
      <c r="E2589" s="51">
        <v>86.39</v>
      </c>
      <c r="F2589" s="32" t="s">
        <v>15</v>
      </c>
      <c r="G2589" s="32">
        <v>0</v>
      </c>
      <c r="H2589" s="12"/>
      <c r="I2589" s="11">
        <f>Table1[[#This Row],[Qty]]*Table1[[#This Row],[Price]]</f>
        <v>0</v>
      </c>
    </row>
    <row r="2590" spans="1:9" x14ac:dyDescent="0.25">
      <c r="A2590" s="48">
        <v>22548420126</v>
      </c>
      <c r="B2590" s="41" t="s">
        <v>1589</v>
      </c>
      <c r="C2590" s="6" t="s">
        <v>1014</v>
      </c>
      <c r="D2590" t="s">
        <v>7455</v>
      </c>
      <c r="E2590" s="47">
        <v>27</v>
      </c>
      <c r="F2590" s="6" t="s">
        <v>15</v>
      </c>
      <c r="G2590" s="6" t="s">
        <v>6249</v>
      </c>
      <c r="H2590" s="22"/>
      <c r="I2590" s="11">
        <f>Table1[[#This Row],[Qty]]*Table1[[#This Row],[Price]]</f>
        <v>0</v>
      </c>
    </row>
    <row r="2591" spans="1:9" x14ac:dyDescent="0.25">
      <c r="A2591" s="28">
        <v>8436603333344</v>
      </c>
      <c r="B2591" s="29" t="s">
        <v>269</v>
      </c>
      <c r="C2591" s="30" t="s">
        <v>183</v>
      </c>
      <c r="D2591" s="31" t="s">
        <v>270</v>
      </c>
      <c r="E2591" s="51">
        <v>28</v>
      </c>
      <c r="F2591" s="32" t="s">
        <v>15</v>
      </c>
      <c r="G2591" s="32" t="s">
        <v>5713</v>
      </c>
      <c r="H2591" s="12"/>
      <c r="I2591" s="11">
        <f>Table1[[#This Row],[Qty]]*Table1[[#This Row],[Price]]</f>
        <v>0</v>
      </c>
    </row>
    <row r="2592" spans="1:9" x14ac:dyDescent="0.25">
      <c r="A2592" s="28">
        <v>8436038834416</v>
      </c>
      <c r="B2592" s="29" t="s">
        <v>3929</v>
      </c>
      <c r="C2592" s="30" t="s">
        <v>183</v>
      </c>
      <c r="D2592" s="31" t="s">
        <v>3930</v>
      </c>
      <c r="E2592" s="51">
        <v>15</v>
      </c>
      <c r="F2592" s="32" t="s">
        <v>15</v>
      </c>
      <c r="G2592" s="32" t="s">
        <v>5757</v>
      </c>
      <c r="H2592" s="22"/>
      <c r="I2592" s="11">
        <f>Table1[[#This Row],[Qty]]*Table1[[#This Row],[Price]]</f>
        <v>0</v>
      </c>
    </row>
    <row r="2593" spans="1:9" x14ac:dyDescent="0.25">
      <c r="A2593" s="28">
        <v>8436550501148</v>
      </c>
      <c r="B2593" s="29" t="s">
        <v>1692</v>
      </c>
      <c r="C2593" s="30" t="s">
        <v>183</v>
      </c>
      <c r="D2593" s="31" t="s">
        <v>1693</v>
      </c>
      <c r="E2593" s="51">
        <v>24.5</v>
      </c>
      <c r="F2593" s="32" t="s">
        <v>15</v>
      </c>
      <c r="G2593" s="32">
        <v>0</v>
      </c>
      <c r="H2593" s="22"/>
      <c r="I2593" s="11">
        <f>Table1[[#This Row],[Qty]]*Table1[[#This Row],[Price]]</f>
        <v>0</v>
      </c>
    </row>
    <row r="2594" spans="1:9" x14ac:dyDescent="0.25">
      <c r="A2594" s="28">
        <v>8436550508734</v>
      </c>
      <c r="B2594" s="29" t="s">
        <v>1756</v>
      </c>
      <c r="C2594" s="30" t="s">
        <v>183</v>
      </c>
      <c r="D2594" s="31" t="s">
        <v>1757</v>
      </c>
      <c r="E2594" s="51">
        <v>27.5</v>
      </c>
      <c r="F2594" s="32" t="s">
        <v>15</v>
      </c>
      <c r="G2594" s="32">
        <v>0</v>
      </c>
      <c r="H2594" s="12"/>
      <c r="I2594" s="11">
        <f>Table1[[#This Row],[Qty]]*Table1[[#This Row],[Price]]</f>
        <v>0</v>
      </c>
    </row>
    <row r="2595" spans="1:9" x14ac:dyDescent="0.25">
      <c r="A2595" s="28">
        <v>8436550508918</v>
      </c>
      <c r="B2595" s="29" t="s">
        <v>3981</v>
      </c>
      <c r="C2595" s="30" t="s">
        <v>183</v>
      </c>
      <c r="D2595" s="31" t="s">
        <v>3982</v>
      </c>
      <c r="E2595" s="51">
        <v>41.5</v>
      </c>
      <c r="F2595" s="32" t="s">
        <v>15</v>
      </c>
      <c r="G2595" s="32" t="s">
        <v>7153</v>
      </c>
      <c r="H2595" s="12"/>
      <c r="I2595" s="11">
        <f>Table1[[#This Row],[Qty]]*Table1[[#This Row],[Price]]</f>
        <v>0</v>
      </c>
    </row>
    <row r="2596" spans="1:9" x14ac:dyDescent="0.25">
      <c r="A2596" s="28">
        <v>8436550507003</v>
      </c>
      <c r="B2596" s="29" t="s">
        <v>4494</v>
      </c>
      <c r="C2596" s="30" t="s">
        <v>183</v>
      </c>
      <c r="D2596" s="31" t="s">
        <v>4495</v>
      </c>
      <c r="E2596" s="51">
        <v>26</v>
      </c>
      <c r="F2596" s="32" t="s">
        <v>15</v>
      </c>
      <c r="G2596" s="32">
        <v>0</v>
      </c>
      <c r="H2596" s="12"/>
      <c r="I2596" s="11">
        <f>Table1[[#This Row],[Qty]]*Table1[[#This Row],[Price]]</f>
        <v>0</v>
      </c>
    </row>
    <row r="2597" spans="1:9" x14ac:dyDescent="0.25">
      <c r="A2597" s="28">
        <v>8433982018701</v>
      </c>
      <c r="B2597" s="29" t="s">
        <v>3985</v>
      </c>
      <c r="C2597" s="30" t="s">
        <v>517</v>
      </c>
      <c r="D2597" s="31" t="s">
        <v>3986</v>
      </c>
      <c r="E2597" s="51">
        <v>9</v>
      </c>
      <c r="F2597" s="32" t="s">
        <v>15</v>
      </c>
      <c r="G2597" s="32" t="s">
        <v>5756</v>
      </c>
      <c r="H2597" s="12"/>
      <c r="I2597" s="11">
        <f>Table1[[#This Row],[Qty]]*Table1[[#This Row],[Price]]</f>
        <v>0</v>
      </c>
    </row>
    <row r="2598" spans="1:9" x14ac:dyDescent="0.25">
      <c r="A2598" s="28">
        <v>715387810028</v>
      </c>
      <c r="B2598" s="29" t="s">
        <v>529</v>
      </c>
      <c r="C2598" s="30" t="s">
        <v>517</v>
      </c>
      <c r="D2598" s="31" t="s">
        <v>530</v>
      </c>
      <c r="E2598" s="51">
        <v>7.45</v>
      </c>
      <c r="F2598" s="32" t="s">
        <v>15</v>
      </c>
      <c r="G2598" s="32" t="s">
        <v>5872</v>
      </c>
      <c r="H2598" s="22"/>
      <c r="I2598" s="11">
        <f>Table1[[#This Row],[Qty]]*Table1[[#This Row],[Price]]</f>
        <v>0</v>
      </c>
    </row>
    <row r="2599" spans="1:9" x14ac:dyDescent="0.25">
      <c r="A2599" s="28">
        <v>3605473176725</v>
      </c>
      <c r="B2599" s="29" t="s">
        <v>779</v>
      </c>
      <c r="C2599" s="30" t="s">
        <v>517</v>
      </c>
      <c r="D2599" s="31" t="s">
        <v>780</v>
      </c>
      <c r="E2599" s="51">
        <v>7.5</v>
      </c>
      <c r="F2599" s="32" t="s">
        <v>15</v>
      </c>
      <c r="G2599" s="32" t="s">
        <v>5986</v>
      </c>
      <c r="H2599" s="12"/>
      <c r="I2599" s="11">
        <f>Table1[[#This Row],[Qty]]*Table1[[#This Row],[Price]]</f>
        <v>0</v>
      </c>
    </row>
    <row r="2600" spans="1:9" x14ac:dyDescent="0.25">
      <c r="A2600" s="28">
        <v>860004550303</v>
      </c>
      <c r="B2600" s="29" t="s">
        <v>1610</v>
      </c>
      <c r="C2600" s="30" t="s">
        <v>517</v>
      </c>
      <c r="D2600" s="31" t="s">
        <v>1611</v>
      </c>
      <c r="E2600" s="51">
        <v>27.5</v>
      </c>
      <c r="F2600" s="32" t="s">
        <v>15</v>
      </c>
      <c r="G2600" s="32">
        <v>0</v>
      </c>
      <c r="H2600" s="12"/>
      <c r="I2600" s="11">
        <f>Table1[[#This Row],[Qty]]*Table1[[#This Row],[Price]]</f>
        <v>0</v>
      </c>
    </row>
    <row r="2601" spans="1:9" x14ac:dyDescent="0.25">
      <c r="A2601" s="28">
        <v>8433982020575</v>
      </c>
      <c r="B2601" s="29" t="s">
        <v>2150</v>
      </c>
      <c r="C2601" s="30" t="s">
        <v>517</v>
      </c>
      <c r="D2601" s="31" t="s">
        <v>2151</v>
      </c>
      <c r="E2601" s="51">
        <v>11.25</v>
      </c>
      <c r="F2601" s="32" t="s">
        <v>15</v>
      </c>
      <c r="G2601" s="32">
        <v>0</v>
      </c>
      <c r="H2601" s="22"/>
      <c r="I2601" s="11">
        <f>Table1[[#This Row],[Qty]]*Table1[[#This Row],[Price]]</f>
        <v>0</v>
      </c>
    </row>
    <row r="2602" spans="1:9" x14ac:dyDescent="0.25">
      <c r="A2602" s="28">
        <v>8433982013201</v>
      </c>
      <c r="B2602" s="29" t="s">
        <v>2937</v>
      </c>
      <c r="C2602" s="30" t="s">
        <v>517</v>
      </c>
      <c r="D2602" s="31" t="s">
        <v>2820</v>
      </c>
      <c r="E2602" s="51">
        <v>10.72</v>
      </c>
      <c r="F2602" s="32" t="s">
        <v>15</v>
      </c>
      <c r="G2602" s="32">
        <v>0</v>
      </c>
      <c r="H2602" s="12"/>
      <c r="I2602" s="11">
        <f>Table1[[#This Row],[Qty]]*Table1[[#This Row],[Price]]</f>
        <v>0</v>
      </c>
    </row>
    <row r="2603" spans="1:9" x14ac:dyDescent="0.25">
      <c r="A2603" s="28">
        <v>860004550334</v>
      </c>
      <c r="B2603" s="29" t="s">
        <v>2944</v>
      </c>
      <c r="C2603" s="30" t="s">
        <v>517</v>
      </c>
      <c r="D2603" s="31" t="s">
        <v>2945</v>
      </c>
      <c r="E2603" s="51">
        <v>32.5</v>
      </c>
      <c r="F2603" s="32" t="s">
        <v>15</v>
      </c>
      <c r="G2603" s="32">
        <v>0</v>
      </c>
      <c r="H2603" s="22"/>
      <c r="I2603" s="11">
        <f>Table1[[#This Row],[Qty]]*Table1[[#This Row],[Price]]</f>
        <v>0</v>
      </c>
    </row>
    <row r="2604" spans="1:9" x14ac:dyDescent="0.25">
      <c r="A2604" s="28">
        <v>8433982002380</v>
      </c>
      <c r="B2604" s="29" t="s">
        <v>3070</v>
      </c>
      <c r="C2604" s="30" t="s">
        <v>517</v>
      </c>
      <c r="D2604" s="31" t="s">
        <v>3071</v>
      </c>
      <c r="E2604" s="51">
        <v>8</v>
      </c>
      <c r="F2604" s="32" t="s">
        <v>15</v>
      </c>
      <c r="G2604" s="32">
        <v>0</v>
      </c>
      <c r="H2604" s="14"/>
      <c r="I2604" s="11">
        <f>Table1[[#This Row],[Qty]]*Table1[[#This Row],[Price]]</f>
        <v>0</v>
      </c>
    </row>
    <row r="2605" spans="1:9" x14ac:dyDescent="0.25">
      <c r="A2605" s="28">
        <v>860004550327</v>
      </c>
      <c r="B2605" s="29" t="s">
        <v>3900</v>
      </c>
      <c r="C2605" s="30" t="s">
        <v>517</v>
      </c>
      <c r="D2605" s="31" t="s">
        <v>3901</v>
      </c>
      <c r="E2605" s="51">
        <v>30.5</v>
      </c>
      <c r="F2605" s="32" t="s">
        <v>15</v>
      </c>
      <c r="G2605" s="32" t="s">
        <v>7119</v>
      </c>
      <c r="H2605" s="22"/>
      <c r="I2605" s="11">
        <f>Table1[[#This Row],[Qty]]*Table1[[#This Row],[Price]]</f>
        <v>0</v>
      </c>
    </row>
    <row r="2606" spans="1:9" x14ac:dyDescent="0.25">
      <c r="A2606" s="28">
        <v>8433982016516</v>
      </c>
      <c r="B2606" s="29" t="s">
        <v>4941</v>
      </c>
      <c r="C2606" s="30" t="s">
        <v>517</v>
      </c>
      <c r="D2606" s="31" t="s">
        <v>4942</v>
      </c>
      <c r="E2606" s="51">
        <v>6.5</v>
      </c>
      <c r="F2606" s="32" t="s">
        <v>15</v>
      </c>
      <c r="G2606" s="32">
        <v>0</v>
      </c>
      <c r="H2606" s="22"/>
      <c r="I2606" s="11">
        <f>Table1[[#This Row],[Qty]]*Table1[[#This Row],[Price]]</f>
        <v>0</v>
      </c>
    </row>
    <row r="2607" spans="1:9" x14ac:dyDescent="0.25">
      <c r="A2607" s="28">
        <v>8433982000690</v>
      </c>
      <c r="B2607" s="29" t="s">
        <v>4939</v>
      </c>
      <c r="C2607" s="33" t="s">
        <v>517</v>
      </c>
      <c r="D2607" s="31" t="s">
        <v>4940</v>
      </c>
      <c r="E2607" s="51">
        <v>5.5</v>
      </c>
      <c r="F2607" s="32" t="s">
        <v>15</v>
      </c>
      <c r="G2607" s="32">
        <v>0</v>
      </c>
      <c r="H2607" s="22"/>
      <c r="I2607" s="11">
        <f>Table1[[#This Row],[Qty]]*Table1[[#This Row],[Price]]</f>
        <v>0</v>
      </c>
    </row>
    <row r="2608" spans="1:9" x14ac:dyDescent="0.25">
      <c r="A2608" s="28">
        <v>3614274320701</v>
      </c>
      <c r="B2608" s="29" t="s">
        <v>1195</v>
      </c>
      <c r="C2608" s="30" t="s">
        <v>629</v>
      </c>
      <c r="D2608" s="31" t="s">
        <v>1196</v>
      </c>
      <c r="E2608" s="51">
        <v>95.37</v>
      </c>
      <c r="F2608" s="32" t="s">
        <v>15</v>
      </c>
      <c r="G2608" s="32" t="s">
        <v>6163</v>
      </c>
      <c r="H2608" s="12"/>
      <c r="I2608" s="11">
        <f>Table1[[#This Row],[Qty]]*Table1[[#This Row],[Price]]</f>
        <v>0</v>
      </c>
    </row>
    <row r="2609" spans="1:9" x14ac:dyDescent="0.25">
      <c r="A2609" s="28">
        <v>3614273790857</v>
      </c>
      <c r="B2609" s="29" t="s">
        <v>1228</v>
      </c>
      <c r="C2609" s="30" t="s">
        <v>629</v>
      </c>
      <c r="D2609" s="31" t="s">
        <v>1229</v>
      </c>
      <c r="E2609" s="51">
        <v>76.540000000000006</v>
      </c>
      <c r="F2609" s="32" t="s">
        <v>15</v>
      </c>
      <c r="G2609" s="32">
        <v>0</v>
      </c>
      <c r="H2609" s="22"/>
      <c r="I2609" s="11">
        <f>Table1[[#This Row],[Qty]]*Table1[[#This Row],[Price]]</f>
        <v>0</v>
      </c>
    </row>
    <row r="2610" spans="1:9" x14ac:dyDescent="0.25">
      <c r="A2610" s="28">
        <v>3614272761438</v>
      </c>
      <c r="B2610" s="29" t="s">
        <v>1236</v>
      </c>
      <c r="C2610" s="33" t="s">
        <v>629</v>
      </c>
      <c r="D2610" s="31" t="s">
        <v>1237</v>
      </c>
      <c r="E2610" s="51">
        <v>74.58</v>
      </c>
      <c r="F2610" s="32" t="s">
        <v>15</v>
      </c>
      <c r="G2610" s="32">
        <v>0</v>
      </c>
      <c r="H2610" s="22"/>
      <c r="I2610" s="11">
        <f>Table1[[#This Row],[Qty]]*Table1[[#This Row],[Price]]</f>
        <v>0</v>
      </c>
    </row>
    <row r="2611" spans="1:9" x14ac:dyDescent="0.25">
      <c r="A2611" s="28">
        <v>3614273672122</v>
      </c>
      <c r="B2611" s="29" t="s">
        <v>1303</v>
      </c>
      <c r="C2611" s="30" t="s">
        <v>629</v>
      </c>
      <c r="D2611" s="31" t="s">
        <v>1304</v>
      </c>
      <c r="E2611" s="51">
        <v>62.01</v>
      </c>
      <c r="F2611" s="32" t="s">
        <v>15</v>
      </c>
      <c r="G2611" s="32" t="s">
        <v>6187</v>
      </c>
      <c r="H2611" s="12"/>
      <c r="I2611" s="11">
        <f>Table1[[#This Row],[Qty]]*Table1[[#This Row],[Price]]</f>
        <v>0</v>
      </c>
    </row>
    <row r="2612" spans="1:9" x14ac:dyDescent="0.25">
      <c r="A2612" s="28">
        <v>3614273073882</v>
      </c>
      <c r="B2612" s="29" t="s">
        <v>1309</v>
      </c>
      <c r="C2612" s="30" t="s">
        <v>629</v>
      </c>
      <c r="D2612" s="31" t="s">
        <v>1310</v>
      </c>
      <c r="E2612" s="51">
        <v>61.48</v>
      </c>
      <c r="F2612" s="32" t="s">
        <v>15</v>
      </c>
      <c r="G2612" s="32">
        <v>0</v>
      </c>
      <c r="H2612" s="12"/>
      <c r="I2612" s="11">
        <f>Table1[[#This Row],[Qty]]*Table1[[#This Row],[Price]]</f>
        <v>0</v>
      </c>
    </row>
    <row r="2613" spans="1:9" x14ac:dyDescent="0.25">
      <c r="A2613" s="28">
        <v>3614274024784</v>
      </c>
      <c r="B2613" s="29" t="s">
        <v>1335</v>
      </c>
      <c r="C2613" s="30" t="s">
        <v>629</v>
      </c>
      <c r="D2613" s="31" t="s">
        <v>1336</v>
      </c>
      <c r="E2613" s="51">
        <v>57.62</v>
      </c>
      <c r="F2613" s="32" t="s">
        <v>15</v>
      </c>
      <c r="G2613" s="32" t="s">
        <v>6193</v>
      </c>
      <c r="H2613" s="12"/>
      <c r="I2613" s="11">
        <f>Table1[[#This Row],[Qty]]*Table1[[#This Row],[Price]]</f>
        <v>0</v>
      </c>
    </row>
    <row r="2614" spans="1:9" x14ac:dyDescent="0.25">
      <c r="A2614" s="28">
        <v>3614272732230</v>
      </c>
      <c r="B2614" s="29" t="s">
        <v>1423</v>
      </c>
      <c r="C2614" s="30" t="s">
        <v>629</v>
      </c>
      <c r="D2614" s="31" t="s">
        <v>1424</v>
      </c>
      <c r="E2614" s="51">
        <v>45.44</v>
      </c>
      <c r="F2614" s="32" t="s">
        <v>15</v>
      </c>
      <c r="G2614" s="32">
        <v>0</v>
      </c>
      <c r="H2614" s="12"/>
      <c r="I2614" s="11">
        <f>Table1[[#This Row],[Qty]]*Table1[[#This Row],[Price]]</f>
        <v>0</v>
      </c>
    </row>
    <row r="2615" spans="1:9" x14ac:dyDescent="0.25">
      <c r="A2615" s="28">
        <v>3614274693454</v>
      </c>
      <c r="B2615" s="29" t="s">
        <v>3224</v>
      </c>
      <c r="C2615" s="30" t="s">
        <v>629</v>
      </c>
      <c r="D2615" s="31" t="s">
        <v>3225</v>
      </c>
      <c r="E2615" s="51">
        <v>31</v>
      </c>
      <c r="F2615" s="32" t="s">
        <v>15</v>
      </c>
      <c r="G2615" s="32" t="s">
        <v>6748</v>
      </c>
      <c r="H2615" s="12"/>
      <c r="I2615" s="11">
        <f>Table1[[#This Row],[Qty]]*Table1[[#This Row],[Price]]</f>
        <v>0</v>
      </c>
    </row>
    <row r="2616" spans="1:9" x14ac:dyDescent="0.25">
      <c r="A2616" s="28">
        <v>3614274024807</v>
      </c>
      <c r="B2616" s="29" t="s">
        <v>4258</v>
      </c>
      <c r="C2616" s="30" t="s">
        <v>629</v>
      </c>
      <c r="D2616" s="31" t="s">
        <v>4259</v>
      </c>
      <c r="E2616" s="51">
        <v>72.739999999999995</v>
      </c>
      <c r="F2616" s="32" t="s">
        <v>15</v>
      </c>
      <c r="G2616" s="32" t="s">
        <v>7263</v>
      </c>
      <c r="H2616" s="22"/>
      <c r="I2616" s="11">
        <f>Table1[[#This Row],[Qty]]*Table1[[#This Row],[Price]]</f>
        <v>0</v>
      </c>
    </row>
    <row r="2617" spans="1:9" x14ac:dyDescent="0.25">
      <c r="A2617" s="28">
        <v>688575001778</v>
      </c>
      <c r="B2617" s="29" t="s">
        <v>2841</v>
      </c>
      <c r="C2617" s="30" t="s">
        <v>2842</v>
      </c>
      <c r="D2617" s="31" t="s">
        <v>2843</v>
      </c>
      <c r="E2617" s="51">
        <v>19.45</v>
      </c>
      <c r="F2617" s="32" t="s">
        <v>15</v>
      </c>
      <c r="G2617" s="32" t="s">
        <v>6625</v>
      </c>
      <c r="H2617" s="22"/>
      <c r="I2617" s="11">
        <f>Table1[[#This Row],[Qty]]*Table1[[#This Row],[Price]]</f>
        <v>0</v>
      </c>
    </row>
    <row r="2618" spans="1:9" x14ac:dyDescent="0.25">
      <c r="A2618" s="28">
        <v>8011003890804</v>
      </c>
      <c r="B2618" s="29" t="s">
        <v>99</v>
      </c>
      <c r="C2618" s="30" t="s">
        <v>100</v>
      </c>
      <c r="D2618" s="31" t="s">
        <v>101</v>
      </c>
      <c r="E2618" s="51">
        <v>51</v>
      </c>
      <c r="F2618" s="32" t="s">
        <v>15</v>
      </c>
      <c r="G2618" s="32" t="s">
        <v>5640</v>
      </c>
      <c r="H2618" s="22"/>
      <c r="I2618" s="11">
        <f>Table1[[#This Row],[Qty]]*Table1[[#This Row],[Price]]</f>
        <v>0</v>
      </c>
    </row>
    <row r="2619" spans="1:9" x14ac:dyDescent="0.25">
      <c r="A2619" s="28">
        <v>8011003804566</v>
      </c>
      <c r="B2619" s="29" t="s">
        <v>180</v>
      </c>
      <c r="C2619" s="30" t="s">
        <v>100</v>
      </c>
      <c r="D2619" s="31" t="s">
        <v>181</v>
      </c>
      <c r="E2619" s="51">
        <v>40</v>
      </c>
      <c r="F2619" s="32" t="s">
        <v>15</v>
      </c>
      <c r="G2619" s="32" t="s">
        <v>5674</v>
      </c>
      <c r="H2619" s="22"/>
      <c r="I2619" s="11">
        <f>Table1[[#This Row],[Qty]]*Table1[[#This Row],[Price]]</f>
        <v>0</v>
      </c>
    </row>
    <row r="2620" spans="1:9" x14ac:dyDescent="0.25">
      <c r="A2620" s="28">
        <v>8011003876280</v>
      </c>
      <c r="B2620" s="29" t="s">
        <v>204</v>
      </c>
      <c r="C2620" s="33" t="s">
        <v>100</v>
      </c>
      <c r="D2620" s="31" t="s">
        <v>205</v>
      </c>
      <c r="E2620" s="51">
        <v>54</v>
      </c>
      <c r="F2620" s="32" t="s">
        <v>15</v>
      </c>
      <c r="G2620" s="32" t="s">
        <v>5684</v>
      </c>
      <c r="H2620" s="22"/>
      <c r="I2620" s="11">
        <f>Table1[[#This Row],[Qty]]*Table1[[#This Row],[Price]]</f>
        <v>0</v>
      </c>
    </row>
    <row r="2621" spans="1:9" x14ac:dyDescent="0.25">
      <c r="A2621" s="28">
        <v>8011003809196</v>
      </c>
      <c r="B2621" s="29" t="s">
        <v>888</v>
      </c>
      <c r="C2621" s="30" t="s">
        <v>100</v>
      </c>
      <c r="D2621" s="31" t="s">
        <v>889</v>
      </c>
      <c r="E2621" s="51">
        <v>28</v>
      </c>
      <c r="F2621" s="32" t="s">
        <v>15</v>
      </c>
      <c r="G2621" s="32">
        <v>0</v>
      </c>
      <c r="H2621" s="22"/>
      <c r="I2621" s="11">
        <f>Table1[[#This Row],[Qty]]*Table1[[#This Row],[Price]]</f>
        <v>0</v>
      </c>
    </row>
    <row r="2622" spans="1:9" x14ac:dyDescent="0.25">
      <c r="A2622" s="28">
        <v>8011003871230</v>
      </c>
      <c r="B2622" s="29" t="s">
        <v>1293</v>
      </c>
      <c r="C2622" s="30" t="s">
        <v>100</v>
      </c>
      <c r="D2622" s="31" t="s">
        <v>1294</v>
      </c>
      <c r="E2622" s="51">
        <v>65.19</v>
      </c>
      <c r="F2622" s="32" t="s">
        <v>15</v>
      </c>
      <c r="G2622" s="32" t="s">
        <v>6185</v>
      </c>
      <c r="H2622" s="12"/>
      <c r="I2622" s="11">
        <f>Table1[[#This Row],[Qty]]*Table1[[#This Row],[Price]]</f>
        <v>0</v>
      </c>
    </row>
    <row r="2623" spans="1:9" x14ac:dyDescent="0.25">
      <c r="A2623" s="28">
        <v>8011003801619</v>
      </c>
      <c r="B2623" s="29" t="s">
        <v>1379</v>
      </c>
      <c r="C2623" s="30" t="s">
        <v>100</v>
      </c>
      <c r="D2623" s="31" t="s">
        <v>1380</v>
      </c>
      <c r="E2623" s="51">
        <v>50.88</v>
      </c>
      <c r="F2623" s="32" t="s">
        <v>15</v>
      </c>
      <c r="G2623" s="32" t="s">
        <v>6201</v>
      </c>
      <c r="H2623" s="22"/>
      <c r="I2623" s="11">
        <f>Table1[[#This Row],[Qty]]*Table1[[#This Row],[Price]]</f>
        <v>0</v>
      </c>
    </row>
    <row r="2624" spans="1:9" x14ac:dyDescent="0.25">
      <c r="A2624" s="28">
        <v>8018365070462</v>
      </c>
      <c r="B2624" s="29" t="s">
        <v>1389</v>
      </c>
      <c r="C2624" s="30" t="s">
        <v>100</v>
      </c>
      <c r="D2624" s="31" t="s">
        <v>1390</v>
      </c>
      <c r="E2624" s="51">
        <v>50.35</v>
      </c>
      <c r="F2624" s="32" t="s">
        <v>15</v>
      </c>
      <c r="G2624" s="32" t="s">
        <v>6203</v>
      </c>
      <c r="H2624" s="12"/>
      <c r="I2624" s="11">
        <f>Table1[[#This Row],[Qty]]*Table1[[#This Row],[Price]]</f>
        <v>0</v>
      </c>
    </row>
    <row r="2625" spans="1:9" x14ac:dyDescent="0.25">
      <c r="A2625" s="28">
        <v>8011003803132</v>
      </c>
      <c r="B2625" s="29" t="s">
        <v>1429</v>
      </c>
      <c r="C2625" s="30" t="s">
        <v>100</v>
      </c>
      <c r="D2625" s="31" t="s">
        <v>1430</v>
      </c>
      <c r="E2625" s="51">
        <v>45.05</v>
      </c>
      <c r="F2625" s="32" t="s">
        <v>15</v>
      </c>
      <c r="G2625" s="32" t="s">
        <v>6209</v>
      </c>
      <c r="H2625" s="12"/>
      <c r="I2625" s="11">
        <f>Table1[[#This Row],[Qty]]*Table1[[#This Row],[Price]]</f>
        <v>0</v>
      </c>
    </row>
    <row r="2626" spans="1:9" x14ac:dyDescent="0.25">
      <c r="A2626" s="28">
        <v>8011003827343</v>
      </c>
      <c r="B2626" s="29" t="s">
        <v>1439</v>
      </c>
      <c r="C2626" s="30" t="s">
        <v>100</v>
      </c>
      <c r="D2626" s="31" t="s">
        <v>1440</v>
      </c>
      <c r="E2626" s="51">
        <v>43.5</v>
      </c>
      <c r="F2626" s="32" t="s">
        <v>15</v>
      </c>
      <c r="G2626" s="32" t="s">
        <v>6211</v>
      </c>
      <c r="H2626" s="13"/>
      <c r="I2626" s="11">
        <f>Table1[[#This Row],[Qty]]*Table1[[#This Row],[Price]]</f>
        <v>0</v>
      </c>
    </row>
    <row r="2627" spans="1:9" x14ac:dyDescent="0.25">
      <c r="A2627" s="28">
        <v>8018365071469</v>
      </c>
      <c r="B2627" s="29" t="s">
        <v>1463</v>
      </c>
      <c r="C2627" s="30" t="s">
        <v>100</v>
      </c>
      <c r="D2627" s="31" t="s">
        <v>1464</v>
      </c>
      <c r="E2627" s="51">
        <v>50.88</v>
      </c>
      <c r="F2627" s="32" t="s">
        <v>15</v>
      </c>
      <c r="G2627" s="32" t="s">
        <v>6219</v>
      </c>
      <c r="H2627" s="22"/>
      <c r="I2627" s="11">
        <f>Table1[[#This Row],[Qty]]*Table1[[#This Row],[Price]]</f>
        <v>0</v>
      </c>
    </row>
    <row r="2628" spans="1:9" x14ac:dyDescent="0.25">
      <c r="A2628" s="28">
        <v>8018365070264</v>
      </c>
      <c r="B2628" s="29" t="s">
        <v>1509</v>
      </c>
      <c r="C2628" s="30" t="s">
        <v>100</v>
      </c>
      <c r="D2628" s="31" t="s">
        <v>1510</v>
      </c>
      <c r="E2628" s="51">
        <v>35.369999999999997</v>
      </c>
      <c r="F2628" s="32" t="s">
        <v>15</v>
      </c>
      <c r="G2628" s="32" t="s">
        <v>6232</v>
      </c>
      <c r="H2628" s="22"/>
      <c r="I2628" s="11">
        <f>Table1[[#This Row],[Qty]]*Table1[[#This Row],[Price]]</f>
        <v>0</v>
      </c>
    </row>
    <row r="2629" spans="1:9" x14ac:dyDescent="0.25">
      <c r="A2629" s="28">
        <v>8011003823512</v>
      </c>
      <c r="B2629" s="29" t="s">
        <v>1644</v>
      </c>
      <c r="C2629" s="30" t="s">
        <v>100</v>
      </c>
      <c r="D2629" s="31" t="s">
        <v>1645</v>
      </c>
      <c r="E2629" s="51">
        <v>26.5</v>
      </c>
      <c r="F2629" s="32" t="s">
        <v>15</v>
      </c>
      <c r="G2629" s="32">
        <v>0</v>
      </c>
      <c r="H2629" s="12"/>
      <c r="I2629" s="11">
        <f>Table1[[#This Row],[Qty]]*Table1[[#This Row],[Price]]</f>
        <v>0</v>
      </c>
    </row>
    <row r="2630" spans="1:9" x14ac:dyDescent="0.25">
      <c r="A2630" s="28">
        <v>8011003995950</v>
      </c>
      <c r="B2630" s="29" t="s">
        <v>1654</v>
      </c>
      <c r="C2630" s="30" t="s">
        <v>100</v>
      </c>
      <c r="D2630" s="31" t="s">
        <v>1655</v>
      </c>
      <c r="E2630" s="51">
        <v>26.5</v>
      </c>
      <c r="F2630" s="32" t="s">
        <v>15</v>
      </c>
      <c r="G2630" s="32" t="s">
        <v>6264</v>
      </c>
      <c r="H2630" s="12"/>
      <c r="I2630" s="11">
        <f>Table1[[#This Row],[Qty]]*Table1[[#This Row],[Price]]</f>
        <v>0</v>
      </c>
    </row>
    <row r="2631" spans="1:9" x14ac:dyDescent="0.25">
      <c r="A2631" s="28">
        <v>8018365071162</v>
      </c>
      <c r="B2631" s="29" t="s">
        <v>1700</v>
      </c>
      <c r="C2631" s="33" t="s">
        <v>100</v>
      </c>
      <c r="D2631" s="31" t="s">
        <v>1701</v>
      </c>
      <c r="E2631" s="51">
        <v>24.25</v>
      </c>
      <c r="F2631" s="32" t="s">
        <v>15</v>
      </c>
      <c r="G2631" s="32" t="s">
        <v>6276</v>
      </c>
      <c r="H2631" s="22"/>
      <c r="I2631" s="11">
        <f>Table1[[#This Row],[Qty]]*Table1[[#This Row],[Price]]</f>
        <v>0</v>
      </c>
    </row>
    <row r="2632" spans="1:9" x14ac:dyDescent="0.25">
      <c r="A2632" s="28">
        <v>8018365140103</v>
      </c>
      <c r="B2632" s="29" t="s">
        <v>1733</v>
      </c>
      <c r="C2632" s="30" t="s">
        <v>100</v>
      </c>
      <c r="D2632" s="31" t="s">
        <v>1734</v>
      </c>
      <c r="E2632" s="51">
        <v>22.5</v>
      </c>
      <c r="F2632" s="32" t="s">
        <v>15</v>
      </c>
      <c r="G2632" s="32" t="s">
        <v>6286</v>
      </c>
      <c r="H2632" s="22"/>
      <c r="I2632" s="11">
        <f>Table1[[#This Row],[Qty]]*Table1[[#This Row],[Price]]</f>
        <v>0</v>
      </c>
    </row>
    <row r="2633" spans="1:9" x14ac:dyDescent="0.25">
      <c r="A2633" s="28">
        <v>8018365500013</v>
      </c>
      <c r="B2633" s="29" t="s">
        <v>1827</v>
      </c>
      <c r="C2633" s="30" t="s">
        <v>100</v>
      </c>
      <c r="D2633" s="31" t="s">
        <v>1828</v>
      </c>
      <c r="E2633" s="51">
        <v>19.25</v>
      </c>
      <c r="F2633" s="32" t="s">
        <v>15</v>
      </c>
      <c r="G2633" s="32" t="s">
        <v>6309</v>
      </c>
      <c r="H2633" s="12"/>
      <c r="I2633" s="11">
        <f>Table1[[#This Row],[Qty]]*Table1[[#This Row],[Price]]</f>
        <v>0</v>
      </c>
    </row>
    <row r="2634" spans="1:9" x14ac:dyDescent="0.25">
      <c r="A2634" s="28">
        <v>8011003823598</v>
      </c>
      <c r="B2634" s="29" t="s">
        <v>2272</v>
      </c>
      <c r="C2634" s="30" t="s">
        <v>100</v>
      </c>
      <c r="D2634" s="31" t="s">
        <v>2273</v>
      </c>
      <c r="E2634" s="51">
        <v>6.35</v>
      </c>
      <c r="F2634" s="32" t="s">
        <v>15</v>
      </c>
      <c r="G2634" s="32" t="s">
        <v>6401</v>
      </c>
      <c r="H2634" s="22"/>
      <c r="I2634" s="11">
        <f>Table1[[#This Row],[Qty]]*Table1[[#This Row],[Price]]</f>
        <v>0</v>
      </c>
    </row>
    <row r="2635" spans="1:9" x14ac:dyDescent="0.25">
      <c r="A2635" s="28">
        <v>8011003809264</v>
      </c>
      <c r="B2635" s="29" t="s">
        <v>2276</v>
      </c>
      <c r="C2635" s="30" t="s">
        <v>100</v>
      </c>
      <c r="D2635" s="31" t="s">
        <v>2277</v>
      </c>
      <c r="E2635" s="51">
        <v>5.8</v>
      </c>
      <c r="F2635" s="32" t="s">
        <v>15</v>
      </c>
      <c r="G2635" s="32" t="s">
        <v>6402</v>
      </c>
      <c r="H2635" s="12"/>
      <c r="I2635" s="11">
        <f>Table1[[#This Row],[Qty]]*Table1[[#This Row],[Price]]</f>
        <v>0</v>
      </c>
    </row>
    <row r="2636" spans="1:9" x14ac:dyDescent="0.25">
      <c r="A2636" s="28">
        <v>8011003996032</v>
      </c>
      <c r="B2636" s="29" t="s">
        <v>2282</v>
      </c>
      <c r="C2636" s="30" t="s">
        <v>100</v>
      </c>
      <c r="D2636" s="31" t="s">
        <v>2283</v>
      </c>
      <c r="E2636" s="51">
        <v>5.75</v>
      </c>
      <c r="F2636" s="32" t="s">
        <v>15</v>
      </c>
      <c r="G2636" s="32" t="s">
        <v>6404</v>
      </c>
      <c r="H2636" s="14"/>
      <c r="I2636" s="11">
        <f>Table1[[#This Row],[Qty]]*Table1[[#This Row],[Price]]</f>
        <v>0</v>
      </c>
    </row>
    <row r="2637" spans="1:9" x14ac:dyDescent="0.25">
      <c r="A2637" s="28">
        <v>8011003825752</v>
      </c>
      <c r="B2637" s="29" t="s">
        <v>2284</v>
      </c>
      <c r="C2637" s="30" t="s">
        <v>100</v>
      </c>
      <c r="D2637" s="31" t="s">
        <v>2285</v>
      </c>
      <c r="E2637" s="51">
        <v>5.65</v>
      </c>
      <c r="F2637" s="32" t="s">
        <v>15</v>
      </c>
      <c r="G2637" s="32" t="s">
        <v>6405</v>
      </c>
      <c r="H2637" s="22"/>
      <c r="I2637" s="11">
        <f>Table1[[#This Row],[Qty]]*Table1[[#This Row],[Price]]</f>
        <v>0</v>
      </c>
    </row>
    <row r="2638" spans="1:9" x14ac:dyDescent="0.25">
      <c r="A2638" s="28">
        <v>8011003809240</v>
      </c>
      <c r="B2638" s="29" t="s">
        <v>2373</v>
      </c>
      <c r="C2638" s="30" t="s">
        <v>100</v>
      </c>
      <c r="D2638" s="31" t="s">
        <v>2374</v>
      </c>
      <c r="E2638" s="51">
        <v>30.15</v>
      </c>
      <c r="F2638" s="32" t="s">
        <v>15</v>
      </c>
      <c r="G2638" s="32" t="s">
        <v>6433</v>
      </c>
      <c r="H2638" s="12"/>
      <c r="I2638" s="11">
        <f>Table1[[#This Row],[Qty]]*Table1[[#This Row],[Price]]</f>
        <v>0</v>
      </c>
    </row>
    <row r="2639" spans="1:9" x14ac:dyDescent="0.25">
      <c r="A2639" s="28">
        <v>8011003900039</v>
      </c>
      <c r="B2639" s="29" t="s">
        <v>2723</v>
      </c>
      <c r="C2639" s="30" t="s">
        <v>100</v>
      </c>
      <c r="D2639" s="31" t="s">
        <v>2724</v>
      </c>
      <c r="E2639" s="51">
        <v>58.04</v>
      </c>
      <c r="F2639" s="32" t="s">
        <v>15</v>
      </c>
      <c r="G2639" s="32" t="s">
        <v>6588</v>
      </c>
      <c r="H2639" s="22"/>
      <c r="I2639" s="11">
        <f>Table1[[#This Row],[Qty]]*Table1[[#This Row],[Price]]</f>
        <v>0</v>
      </c>
    </row>
    <row r="2640" spans="1:9" x14ac:dyDescent="0.25">
      <c r="A2640" s="28">
        <v>8011003809202</v>
      </c>
      <c r="B2640" s="29" t="s">
        <v>2825</v>
      </c>
      <c r="C2640" s="30" t="s">
        <v>100</v>
      </c>
      <c r="D2640" s="31" t="s">
        <v>2826</v>
      </c>
      <c r="E2640" s="51">
        <v>32</v>
      </c>
      <c r="F2640" s="32" t="s">
        <v>15</v>
      </c>
      <c r="G2640" s="32" t="s">
        <v>6621</v>
      </c>
      <c r="H2640" s="12"/>
      <c r="I2640" s="11">
        <f>Table1[[#This Row],[Qty]]*Table1[[#This Row],[Price]]</f>
        <v>0</v>
      </c>
    </row>
    <row r="2641" spans="1:9" x14ac:dyDescent="0.25">
      <c r="A2641" s="28">
        <v>8011003845347</v>
      </c>
      <c r="B2641" s="29" t="s">
        <v>2827</v>
      </c>
      <c r="C2641" s="30" t="s">
        <v>100</v>
      </c>
      <c r="D2641" s="31" t="s">
        <v>2828</v>
      </c>
      <c r="E2641" s="51">
        <v>36.5</v>
      </c>
      <c r="F2641" s="32" t="s">
        <v>15</v>
      </c>
      <c r="G2641" s="32" t="s">
        <v>6622</v>
      </c>
      <c r="H2641" s="12"/>
      <c r="I2641" s="11">
        <f>Table1[[#This Row],[Qty]]*Table1[[#This Row],[Price]]</f>
        <v>0</v>
      </c>
    </row>
    <row r="2642" spans="1:9" x14ac:dyDescent="0.25">
      <c r="A2642" s="28">
        <v>8011003861903</v>
      </c>
      <c r="B2642" s="29" t="s">
        <v>2829</v>
      </c>
      <c r="C2642" s="30" t="s">
        <v>100</v>
      </c>
      <c r="D2642" s="31" t="s">
        <v>2830</v>
      </c>
      <c r="E2642" s="51">
        <v>32</v>
      </c>
      <c r="F2642" s="32" t="s">
        <v>15</v>
      </c>
      <c r="G2642" s="32">
        <v>0</v>
      </c>
      <c r="H2642" s="12"/>
      <c r="I2642" s="11">
        <f>Table1[[#This Row],[Qty]]*Table1[[#This Row],[Price]]</f>
        <v>0</v>
      </c>
    </row>
    <row r="2643" spans="1:9" x14ac:dyDescent="0.25">
      <c r="A2643" s="28">
        <v>8011003995967</v>
      </c>
      <c r="B2643" s="29" t="s">
        <v>2831</v>
      </c>
      <c r="C2643" s="30" t="s">
        <v>100</v>
      </c>
      <c r="D2643" s="31" t="s">
        <v>2832</v>
      </c>
      <c r="E2643" s="51">
        <v>37.5</v>
      </c>
      <c r="F2643" s="32" t="s">
        <v>15</v>
      </c>
      <c r="G2643" s="32" t="s">
        <v>6623</v>
      </c>
      <c r="H2643" s="12"/>
      <c r="I2643" s="11">
        <f>Table1[[#This Row],[Qty]]*Table1[[#This Row],[Price]]</f>
        <v>0</v>
      </c>
    </row>
    <row r="2644" spans="1:9" x14ac:dyDescent="0.25">
      <c r="A2644" s="28">
        <v>8011003993826</v>
      </c>
      <c r="B2644" s="29" t="s">
        <v>2839</v>
      </c>
      <c r="C2644" s="30" t="s">
        <v>100</v>
      </c>
      <c r="D2644" s="31" t="s">
        <v>2840</v>
      </c>
      <c r="E2644" s="51">
        <v>47.17</v>
      </c>
      <c r="F2644" s="32" t="s">
        <v>15</v>
      </c>
      <c r="G2644" s="32" t="s">
        <v>6624</v>
      </c>
      <c r="H2644" s="22"/>
      <c r="I2644" s="11">
        <f>Table1[[#This Row],[Qty]]*Table1[[#This Row],[Price]]</f>
        <v>0</v>
      </c>
    </row>
    <row r="2645" spans="1:9" x14ac:dyDescent="0.25">
      <c r="A2645" s="28">
        <v>8011003870189</v>
      </c>
      <c r="B2645" s="29" t="s">
        <v>3100</v>
      </c>
      <c r="C2645" s="30" t="s">
        <v>100</v>
      </c>
      <c r="D2645" s="31" t="s">
        <v>3101</v>
      </c>
      <c r="E2645" s="51">
        <v>34.5</v>
      </c>
      <c r="F2645" s="32" t="s">
        <v>15</v>
      </c>
      <c r="G2645" s="32" t="s">
        <v>6694</v>
      </c>
      <c r="H2645" s="22"/>
      <c r="I2645" s="11">
        <f>Table1[[#This Row],[Qty]]*Table1[[#This Row],[Price]]</f>
        <v>0</v>
      </c>
    </row>
    <row r="2646" spans="1:9" x14ac:dyDescent="0.25">
      <c r="A2646" s="28">
        <v>8011003870226</v>
      </c>
      <c r="B2646" s="29" t="s">
        <v>3102</v>
      </c>
      <c r="C2646" s="30" t="s">
        <v>100</v>
      </c>
      <c r="D2646" s="31" t="s">
        <v>3103</v>
      </c>
      <c r="E2646" s="51">
        <v>38</v>
      </c>
      <c r="F2646" s="32" t="s">
        <v>15</v>
      </c>
      <c r="G2646" s="32" t="s">
        <v>6695</v>
      </c>
      <c r="H2646" s="22"/>
      <c r="I2646" s="11">
        <f>Table1[[#This Row],[Qty]]*Table1[[#This Row],[Price]]</f>
        <v>0</v>
      </c>
    </row>
    <row r="2647" spans="1:9" x14ac:dyDescent="0.25">
      <c r="A2647" s="28">
        <v>8011003870233</v>
      </c>
      <c r="B2647" s="29" t="s">
        <v>3104</v>
      </c>
      <c r="C2647" s="33" t="s">
        <v>100</v>
      </c>
      <c r="D2647" s="31" t="s">
        <v>3105</v>
      </c>
      <c r="E2647" s="51">
        <v>51.94</v>
      </c>
      <c r="F2647" s="32" t="s">
        <v>15</v>
      </c>
      <c r="G2647" s="32" t="s">
        <v>6696</v>
      </c>
      <c r="H2647" s="22"/>
      <c r="I2647" s="11">
        <f>Table1[[#This Row],[Qty]]*Table1[[#This Row],[Price]]</f>
        <v>0</v>
      </c>
    </row>
    <row r="2648" spans="1:9" x14ac:dyDescent="0.25">
      <c r="A2648" s="28">
        <v>8011003870264</v>
      </c>
      <c r="B2648" s="29" t="s">
        <v>3106</v>
      </c>
      <c r="C2648" s="30" t="s">
        <v>100</v>
      </c>
      <c r="D2648" s="31" t="s">
        <v>3107</v>
      </c>
      <c r="E2648" s="51">
        <v>39.5</v>
      </c>
      <c r="F2648" s="32" t="s">
        <v>15</v>
      </c>
      <c r="G2648" s="32" t="s">
        <v>6697</v>
      </c>
      <c r="H2648" s="22"/>
      <c r="I2648" s="11">
        <f>Table1[[#This Row],[Qty]]*Table1[[#This Row],[Price]]</f>
        <v>0</v>
      </c>
    </row>
    <row r="2649" spans="1:9" x14ac:dyDescent="0.25">
      <c r="A2649" s="28">
        <v>8011003870806</v>
      </c>
      <c r="B2649" s="29" t="s">
        <v>3108</v>
      </c>
      <c r="C2649" s="30" t="s">
        <v>100</v>
      </c>
      <c r="D2649" s="31" t="s">
        <v>3109</v>
      </c>
      <c r="E2649" s="51">
        <v>34.5</v>
      </c>
      <c r="F2649" s="32" t="s">
        <v>15</v>
      </c>
      <c r="G2649" s="32" t="s">
        <v>6698</v>
      </c>
      <c r="H2649" s="22"/>
      <c r="I2649" s="11">
        <f>Table1[[#This Row],[Qty]]*Table1[[#This Row],[Price]]</f>
        <v>0</v>
      </c>
    </row>
    <row r="2650" spans="1:9" x14ac:dyDescent="0.25">
      <c r="A2650" s="28">
        <v>8011003818112</v>
      </c>
      <c r="B2650" s="29" t="s">
        <v>3884</v>
      </c>
      <c r="C2650" s="30" t="s">
        <v>100</v>
      </c>
      <c r="D2650" s="31" t="s">
        <v>3885</v>
      </c>
      <c r="E2650" s="51">
        <v>48.5</v>
      </c>
      <c r="F2650" s="32" t="s">
        <v>15</v>
      </c>
      <c r="G2650" s="32" t="s">
        <v>7112</v>
      </c>
      <c r="H2650" s="12"/>
      <c r="I2650" s="11">
        <f>Table1[[#This Row],[Qty]]*Table1[[#This Row],[Price]]</f>
        <v>0</v>
      </c>
    </row>
    <row r="2651" spans="1:9" x14ac:dyDescent="0.25">
      <c r="A2651" s="28">
        <v>8011003891078</v>
      </c>
      <c r="B2651" s="29" t="s">
        <v>3921</v>
      </c>
      <c r="C2651" s="30" t="s">
        <v>100</v>
      </c>
      <c r="D2651" s="31" t="s">
        <v>3922</v>
      </c>
      <c r="E2651" s="51">
        <v>6.25</v>
      </c>
      <c r="F2651" s="32" t="s">
        <v>15</v>
      </c>
      <c r="G2651" s="32" t="s">
        <v>7128</v>
      </c>
      <c r="H2651" s="12"/>
      <c r="I2651" s="11">
        <f>Table1[[#This Row],[Qty]]*Table1[[#This Row],[Price]]</f>
        <v>0</v>
      </c>
    </row>
    <row r="2652" spans="1:9" x14ac:dyDescent="0.25">
      <c r="A2652" s="28">
        <v>8011003858552</v>
      </c>
      <c r="B2652" s="29" t="s">
        <v>4254</v>
      </c>
      <c r="C2652" s="30" t="s">
        <v>100</v>
      </c>
      <c r="D2652" s="31" t="s">
        <v>4255</v>
      </c>
      <c r="E2652" s="51">
        <v>47.39</v>
      </c>
      <c r="F2652" s="32" t="s">
        <v>15</v>
      </c>
      <c r="G2652" s="32" t="s">
        <v>7261</v>
      </c>
      <c r="H2652" s="22"/>
      <c r="I2652" s="11">
        <f>Table1[[#This Row],[Qty]]*Table1[[#This Row],[Price]]</f>
        <v>0</v>
      </c>
    </row>
    <row r="2653" spans="1:9" x14ac:dyDescent="0.25">
      <c r="A2653" s="28">
        <v>8018365500020</v>
      </c>
      <c r="B2653" s="29" t="s">
        <v>4529</v>
      </c>
      <c r="C2653" s="30" t="s">
        <v>100</v>
      </c>
      <c r="D2653" s="31" t="s">
        <v>4530</v>
      </c>
      <c r="E2653" s="51">
        <v>45.05</v>
      </c>
      <c r="F2653" s="32" t="s">
        <v>15</v>
      </c>
      <c r="G2653" s="32" t="s">
        <v>7386</v>
      </c>
      <c r="H2653" s="12"/>
      <c r="I2653" s="11">
        <f>Table1[[#This Row],[Qty]]*Table1[[#This Row],[Price]]</f>
        <v>0</v>
      </c>
    </row>
    <row r="2654" spans="1:9" x14ac:dyDescent="0.25">
      <c r="A2654" s="48">
        <v>8018365250260</v>
      </c>
      <c r="B2654" s="41" t="s">
        <v>4764</v>
      </c>
      <c r="C2654" s="6" t="s">
        <v>100</v>
      </c>
      <c r="D2654" t="s">
        <v>4765</v>
      </c>
      <c r="E2654" s="52">
        <v>30</v>
      </c>
      <c r="F2654" s="49" t="s">
        <v>15</v>
      </c>
      <c r="G2654" s="49" t="s">
        <v>7399</v>
      </c>
      <c r="H2654" s="22"/>
      <c r="I2654" s="11">
        <f>Table1[[#This Row],[Qty]]*Table1[[#This Row],[Price]]</f>
        <v>0</v>
      </c>
    </row>
    <row r="2655" spans="1:9" x14ac:dyDescent="0.25">
      <c r="A2655" s="28">
        <v>8011003996735</v>
      </c>
      <c r="B2655" s="29" t="s">
        <v>5419</v>
      </c>
      <c r="C2655" s="30" t="s">
        <v>100</v>
      </c>
      <c r="D2655" s="31" t="s">
        <v>5420</v>
      </c>
      <c r="E2655" s="51">
        <v>17</v>
      </c>
      <c r="F2655" s="32" t="s">
        <v>15</v>
      </c>
      <c r="G2655" s="32">
        <v>0</v>
      </c>
      <c r="H2655" s="12"/>
      <c r="I2655" s="11">
        <f>Table1[[#This Row],[Qty]]*Table1[[#This Row],[Price]]</f>
        <v>0</v>
      </c>
    </row>
    <row r="2656" spans="1:9" x14ac:dyDescent="0.25">
      <c r="A2656" s="28">
        <v>8018365250277</v>
      </c>
      <c r="B2656" s="29" t="s">
        <v>4762</v>
      </c>
      <c r="C2656" s="30" t="s">
        <v>100</v>
      </c>
      <c r="D2656" s="31" t="s">
        <v>4763</v>
      </c>
      <c r="E2656" s="51">
        <v>16</v>
      </c>
      <c r="F2656" s="32" t="s">
        <v>15</v>
      </c>
      <c r="G2656" s="32">
        <v>0</v>
      </c>
      <c r="H2656" s="22"/>
      <c r="I2656" s="11">
        <f>Table1[[#This Row],[Qty]]*Table1[[#This Row],[Price]]</f>
        <v>0</v>
      </c>
    </row>
    <row r="2657" spans="1:9" x14ac:dyDescent="0.25">
      <c r="A2657" s="28">
        <v>8018365500266</v>
      </c>
      <c r="B2657" s="29" t="s">
        <v>4760</v>
      </c>
      <c r="C2657" s="30" t="s">
        <v>100</v>
      </c>
      <c r="D2657" s="31" t="s">
        <v>4761</v>
      </c>
      <c r="E2657" s="51">
        <v>12.45</v>
      </c>
      <c r="F2657" s="32" t="s">
        <v>15</v>
      </c>
      <c r="G2657" s="32">
        <v>0</v>
      </c>
      <c r="H2657" s="12"/>
      <c r="I2657" s="11">
        <f>Table1[[#This Row],[Qty]]*Table1[[#This Row],[Price]]</f>
        <v>0</v>
      </c>
    </row>
    <row r="2658" spans="1:9" x14ac:dyDescent="0.25">
      <c r="A2658" s="28">
        <v>8018365250468</v>
      </c>
      <c r="B2658" s="29" t="s">
        <v>5321</v>
      </c>
      <c r="C2658" s="30" t="s">
        <v>100</v>
      </c>
      <c r="D2658" s="31" t="s">
        <v>5322</v>
      </c>
      <c r="E2658" s="51">
        <v>11.75</v>
      </c>
      <c r="F2658" s="32" t="s">
        <v>15</v>
      </c>
      <c r="G2658" s="32" t="s">
        <v>7429</v>
      </c>
      <c r="H2658" s="14"/>
      <c r="I2658" s="11">
        <f>Table1[[#This Row],[Qty]]*Table1[[#This Row],[Price]]</f>
        <v>0</v>
      </c>
    </row>
    <row r="2659" spans="1:9" x14ac:dyDescent="0.25">
      <c r="A2659" s="28">
        <v>667548099219</v>
      </c>
      <c r="B2659" s="29" t="s">
        <v>3263</v>
      </c>
      <c r="C2659" s="30" t="s">
        <v>3261</v>
      </c>
      <c r="D2659" s="31" t="s">
        <v>3264</v>
      </c>
      <c r="E2659" s="51">
        <v>12</v>
      </c>
      <c r="F2659" s="32" t="s">
        <v>15</v>
      </c>
      <c r="G2659" s="32">
        <v>0</v>
      </c>
      <c r="H2659" s="22"/>
      <c r="I2659" s="11">
        <f>Table1[[#This Row],[Qty]]*Table1[[#This Row],[Price]]</f>
        <v>0</v>
      </c>
    </row>
    <row r="2660" spans="1:9" x14ac:dyDescent="0.25">
      <c r="A2660" s="28">
        <v>7611160217196</v>
      </c>
      <c r="B2660" s="29" t="s">
        <v>460</v>
      </c>
      <c r="C2660" s="30" t="s">
        <v>461</v>
      </c>
      <c r="D2660" s="31" t="s">
        <v>462</v>
      </c>
      <c r="E2660" s="51">
        <v>18</v>
      </c>
      <c r="F2660" s="32" t="s">
        <v>15</v>
      </c>
      <c r="G2660" s="32" t="s">
        <v>5841</v>
      </c>
      <c r="H2660" s="12"/>
      <c r="I2660" s="11">
        <f>Table1[[#This Row],[Qty]]*Table1[[#This Row],[Price]]</f>
        <v>0</v>
      </c>
    </row>
    <row r="2661" spans="1:9" x14ac:dyDescent="0.25">
      <c r="A2661" s="28">
        <v>7611160127600</v>
      </c>
      <c r="B2661" s="29" t="s">
        <v>600</v>
      </c>
      <c r="C2661" s="30" t="s">
        <v>461</v>
      </c>
      <c r="D2661" s="31" t="s">
        <v>601</v>
      </c>
      <c r="E2661" s="51">
        <v>22</v>
      </c>
      <c r="F2661" s="32" t="s">
        <v>15</v>
      </c>
      <c r="G2661" s="32" t="s">
        <v>5904</v>
      </c>
      <c r="H2661" s="22"/>
      <c r="I2661" s="11">
        <f>Table1[[#This Row],[Qty]]*Table1[[#This Row],[Price]]</f>
        <v>0</v>
      </c>
    </row>
    <row r="2662" spans="1:9" x14ac:dyDescent="0.25">
      <c r="A2662" s="28">
        <v>7611160127679</v>
      </c>
      <c r="B2662" s="29" t="s">
        <v>681</v>
      </c>
      <c r="C2662" s="30" t="s">
        <v>461</v>
      </c>
      <c r="D2662" s="31" t="s">
        <v>682</v>
      </c>
      <c r="E2662" s="51">
        <v>8.5500000000000007</v>
      </c>
      <c r="F2662" s="32" t="s">
        <v>15</v>
      </c>
      <c r="G2662" s="32" t="s">
        <v>5940</v>
      </c>
      <c r="H2662" s="22"/>
      <c r="I2662" s="11">
        <f>Table1[[#This Row],[Qty]]*Table1[[#This Row],[Price]]</f>
        <v>0</v>
      </c>
    </row>
    <row r="2663" spans="1:9" x14ac:dyDescent="0.25">
      <c r="A2663" s="28">
        <v>7611160127686</v>
      </c>
      <c r="B2663" s="29" t="s">
        <v>773</v>
      </c>
      <c r="C2663" s="30" t="s">
        <v>461</v>
      </c>
      <c r="D2663" s="31" t="s">
        <v>774</v>
      </c>
      <c r="E2663" s="51">
        <v>12.5</v>
      </c>
      <c r="F2663" s="32" t="s">
        <v>15</v>
      </c>
      <c r="G2663" s="32" t="s">
        <v>5983</v>
      </c>
      <c r="H2663" s="12"/>
      <c r="I2663" s="11">
        <f>Table1[[#This Row],[Qty]]*Table1[[#This Row],[Price]]</f>
        <v>0</v>
      </c>
    </row>
    <row r="2664" spans="1:9" x14ac:dyDescent="0.25">
      <c r="A2664" s="28">
        <v>7611160127631</v>
      </c>
      <c r="B2664" s="29" t="s">
        <v>1854</v>
      </c>
      <c r="C2664" s="30" t="s">
        <v>461</v>
      </c>
      <c r="D2664" s="31" t="s">
        <v>1855</v>
      </c>
      <c r="E2664" s="51">
        <v>18</v>
      </c>
      <c r="F2664" s="32" t="s">
        <v>15</v>
      </c>
      <c r="G2664" s="32" t="s">
        <v>6314</v>
      </c>
      <c r="H2664" s="22"/>
      <c r="I2664" s="11">
        <f>Table1[[#This Row],[Qty]]*Table1[[#This Row],[Price]]</f>
        <v>0</v>
      </c>
    </row>
    <row r="2665" spans="1:9" x14ac:dyDescent="0.25">
      <c r="A2665" s="28">
        <v>7611160127570</v>
      </c>
      <c r="B2665" s="29" t="s">
        <v>1895</v>
      </c>
      <c r="C2665" s="33" t="s">
        <v>461</v>
      </c>
      <c r="D2665" s="31" t="s">
        <v>1896</v>
      </c>
      <c r="E2665" s="51">
        <v>25.96</v>
      </c>
      <c r="F2665" s="32" t="s">
        <v>15</v>
      </c>
      <c r="G2665" s="32" t="s">
        <v>6330</v>
      </c>
      <c r="H2665" s="22"/>
      <c r="I2665" s="11">
        <f>Table1[[#This Row],[Qty]]*Table1[[#This Row],[Price]]</f>
        <v>0</v>
      </c>
    </row>
    <row r="2666" spans="1:9" x14ac:dyDescent="0.25">
      <c r="A2666" s="28">
        <v>7630042400419</v>
      </c>
      <c r="B2666" s="29" t="s">
        <v>2021</v>
      </c>
      <c r="C2666" s="30" t="s">
        <v>461</v>
      </c>
      <c r="D2666" s="31" t="s">
        <v>2022</v>
      </c>
      <c r="E2666" s="51">
        <v>13.5</v>
      </c>
      <c r="F2666" s="32" t="s">
        <v>15</v>
      </c>
      <c r="G2666" s="32">
        <v>0</v>
      </c>
      <c r="H2666" s="12"/>
      <c r="I2666" s="11">
        <f>Table1[[#This Row],[Qty]]*Table1[[#This Row],[Price]]</f>
        <v>0</v>
      </c>
    </row>
    <row r="2667" spans="1:9" x14ac:dyDescent="0.25">
      <c r="A2667" s="28">
        <v>7611160127655</v>
      </c>
      <c r="B2667" s="29" t="s">
        <v>2082</v>
      </c>
      <c r="C2667" s="30" t="s">
        <v>461</v>
      </c>
      <c r="D2667" s="31" t="s">
        <v>2083</v>
      </c>
      <c r="E2667" s="51">
        <v>12.25</v>
      </c>
      <c r="F2667" s="32" t="s">
        <v>15</v>
      </c>
      <c r="G2667" s="32">
        <v>0</v>
      </c>
      <c r="H2667" s="22"/>
      <c r="I2667" s="11">
        <f>Table1[[#This Row],[Qty]]*Table1[[#This Row],[Price]]</f>
        <v>0</v>
      </c>
    </row>
    <row r="2668" spans="1:9" x14ac:dyDescent="0.25">
      <c r="A2668" s="28">
        <v>7611160127716</v>
      </c>
      <c r="B2668" s="29" t="s">
        <v>2086</v>
      </c>
      <c r="C2668" s="30" t="s">
        <v>461</v>
      </c>
      <c r="D2668" s="31" t="s">
        <v>2087</v>
      </c>
      <c r="E2668" s="51">
        <v>12</v>
      </c>
      <c r="F2668" s="32" t="s">
        <v>15</v>
      </c>
      <c r="G2668" s="32">
        <v>0</v>
      </c>
      <c r="H2668" s="22"/>
      <c r="I2668" s="11">
        <f>Table1[[#This Row],[Qty]]*Table1[[#This Row],[Price]]</f>
        <v>0</v>
      </c>
    </row>
    <row r="2669" spans="1:9" x14ac:dyDescent="0.25">
      <c r="A2669" s="28">
        <v>7611160127587</v>
      </c>
      <c r="B2669" s="29" t="s">
        <v>2844</v>
      </c>
      <c r="C2669" s="30" t="s">
        <v>461</v>
      </c>
      <c r="D2669" s="31" t="s">
        <v>2845</v>
      </c>
      <c r="E2669" s="51">
        <v>12.9</v>
      </c>
      <c r="F2669" s="32" t="s">
        <v>15</v>
      </c>
      <c r="G2669" s="32">
        <v>0</v>
      </c>
      <c r="H2669" s="12"/>
      <c r="I2669" s="11">
        <f>Table1[[#This Row],[Qty]]*Table1[[#This Row],[Price]]</f>
        <v>0</v>
      </c>
    </row>
    <row r="2670" spans="1:9" x14ac:dyDescent="0.25">
      <c r="A2670" s="28">
        <v>7611160211767</v>
      </c>
      <c r="B2670" s="29" t="s">
        <v>2846</v>
      </c>
      <c r="C2670" s="30" t="s">
        <v>461</v>
      </c>
      <c r="D2670" s="31" t="s">
        <v>2847</v>
      </c>
      <c r="E2670" s="51">
        <v>7.82</v>
      </c>
      <c r="F2670" s="32" t="s">
        <v>15</v>
      </c>
      <c r="G2670" s="32" t="s">
        <v>6626</v>
      </c>
      <c r="H2670" s="12"/>
      <c r="I2670" s="11">
        <f>Table1[[#This Row],[Qty]]*Table1[[#This Row],[Price]]</f>
        <v>0</v>
      </c>
    </row>
    <row r="2671" spans="1:9" x14ac:dyDescent="0.25">
      <c r="A2671" s="28">
        <v>7630042401331</v>
      </c>
      <c r="B2671" s="29" t="s">
        <v>4758</v>
      </c>
      <c r="C2671" s="30" t="s">
        <v>461</v>
      </c>
      <c r="D2671" s="31" t="s">
        <v>4759</v>
      </c>
      <c r="E2671" s="51">
        <v>28</v>
      </c>
      <c r="F2671" s="32" t="s">
        <v>15</v>
      </c>
      <c r="G2671" s="32">
        <v>0</v>
      </c>
      <c r="H2671" s="14"/>
      <c r="I2671" s="11">
        <f>Table1[[#This Row],[Qty]]*Table1[[#This Row],[Price]]</f>
        <v>0</v>
      </c>
    </row>
    <row r="2672" spans="1:9" x14ac:dyDescent="0.25">
      <c r="A2672" s="28">
        <v>7611160127761</v>
      </c>
      <c r="B2672" s="29" t="s">
        <v>4964</v>
      </c>
      <c r="C2672" s="30" t="s">
        <v>461</v>
      </c>
      <c r="D2672" s="31" t="s">
        <v>4965</v>
      </c>
      <c r="E2672" s="51">
        <v>8.5</v>
      </c>
      <c r="F2672" s="32" t="s">
        <v>15</v>
      </c>
      <c r="G2672" s="32">
        <v>0</v>
      </c>
      <c r="H2672" s="12"/>
      <c r="I2672" s="11">
        <f>Table1[[#This Row],[Qty]]*Table1[[#This Row],[Price]]</f>
        <v>0</v>
      </c>
    </row>
    <row r="2673" spans="1:9" x14ac:dyDescent="0.25">
      <c r="A2673" s="48">
        <v>7611160127785</v>
      </c>
      <c r="B2673" s="41" t="s">
        <v>4956</v>
      </c>
      <c r="C2673" s="6" t="s">
        <v>461</v>
      </c>
      <c r="D2673" t="s">
        <v>4957</v>
      </c>
      <c r="E2673" s="52">
        <v>7.5</v>
      </c>
      <c r="F2673" s="49" t="s">
        <v>15</v>
      </c>
      <c r="G2673" s="49">
        <v>0</v>
      </c>
      <c r="H2673" s="22"/>
      <c r="I2673" s="11">
        <f>Table1[[#This Row],[Qty]]*Table1[[#This Row],[Price]]</f>
        <v>0</v>
      </c>
    </row>
    <row r="2674" spans="1:9" x14ac:dyDescent="0.25">
      <c r="A2674" s="28">
        <v>3614273308229</v>
      </c>
      <c r="B2674" s="29" t="s">
        <v>2833</v>
      </c>
      <c r="C2674" s="30" t="s">
        <v>64</v>
      </c>
      <c r="D2674" s="31" t="s">
        <v>2834</v>
      </c>
      <c r="E2674" s="51">
        <v>56.18</v>
      </c>
      <c r="F2674" s="32" t="s">
        <v>15</v>
      </c>
      <c r="G2674" s="32">
        <v>0</v>
      </c>
      <c r="H2674" s="12"/>
      <c r="I2674" s="11">
        <f>Table1[[#This Row],[Qty]]*Table1[[#This Row],[Price]]</f>
        <v>0</v>
      </c>
    </row>
    <row r="2675" spans="1:9" x14ac:dyDescent="0.25">
      <c r="A2675" s="28">
        <v>3605521515629</v>
      </c>
      <c r="B2675" s="29" t="s">
        <v>2835</v>
      </c>
      <c r="C2675" s="30" t="s">
        <v>64</v>
      </c>
      <c r="D2675" s="31" t="s">
        <v>2836</v>
      </c>
      <c r="E2675" s="51">
        <v>30.45</v>
      </c>
      <c r="F2675" s="32" t="s">
        <v>15</v>
      </c>
      <c r="G2675" s="32">
        <v>0</v>
      </c>
      <c r="H2675" s="22"/>
      <c r="I2675" s="11">
        <f>Table1[[#This Row],[Qty]]*Table1[[#This Row],[Price]]</f>
        <v>0</v>
      </c>
    </row>
    <row r="2676" spans="1:9" x14ac:dyDescent="0.25">
      <c r="A2676" s="28">
        <v>3605521820891</v>
      </c>
      <c r="B2676" s="29" t="s">
        <v>2837</v>
      </c>
      <c r="C2676" s="30" t="s">
        <v>64</v>
      </c>
      <c r="D2676" s="31" t="s">
        <v>2838</v>
      </c>
      <c r="E2676" s="51">
        <v>64.66</v>
      </c>
      <c r="F2676" s="32" t="s">
        <v>15</v>
      </c>
      <c r="G2676" s="32">
        <v>0</v>
      </c>
      <c r="H2676" s="22"/>
      <c r="I2676" s="11">
        <f>Table1[[#This Row],[Qty]]*Table1[[#This Row],[Price]]</f>
        <v>0</v>
      </c>
    </row>
    <row r="2677" spans="1:9" x14ac:dyDescent="0.25">
      <c r="A2677" s="28">
        <v>3614273622639</v>
      </c>
      <c r="B2677" s="29" t="s">
        <v>4916</v>
      </c>
      <c r="C2677" s="30" t="s">
        <v>64</v>
      </c>
      <c r="D2677" s="31" t="s">
        <v>4917</v>
      </c>
      <c r="E2677" s="51">
        <v>92.5</v>
      </c>
      <c r="F2677" s="32" t="s">
        <v>15</v>
      </c>
      <c r="G2677" s="32">
        <v>0</v>
      </c>
      <c r="H2677" s="22"/>
      <c r="I2677" s="11">
        <f>Table1[[#This Row],[Qty]]*Table1[[#This Row],[Price]]</f>
        <v>0</v>
      </c>
    </row>
    <row r="2678" spans="1:9" x14ac:dyDescent="0.25">
      <c r="A2678" s="28">
        <v>3614272872387</v>
      </c>
      <c r="B2678" s="29" t="s">
        <v>4787</v>
      </c>
      <c r="C2678" s="30" t="s">
        <v>64</v>
      </c>
      <c r="D2678" s="31" t="s">
        <v>4788</v>
      </c>
      <c r="E2678" s="51">
        <v>78.97</v>
      </c>
      <c r="F2678" s="32" t="s">
        <v>15</v>
      </c>
      <c r="G2678" s="32">
        <v>0</v>
      </c>
      <c r="H2678" s="22"/>
      <c r="I2678" s="11">
        <f>Table1[[#This Row],[Qty]]*Table1[[#This Row],[Price]]</f>
        <v>0</v>
      </c>
    </row>
    <row r="2679" spans="1:9" x14ac:dyDescent="0.25">
      <c r="A2679" s="28">
        <v>3614273854092</v>
      </c>
      <c r="B2679" s="29" t="s">
        <v>5239</v>
      </c>
      <c r="C2679" s="30" t="s">
        <v>64</v>
      </c>
      <c r="D2679" s="31" t="s">
        <v>5240</v>
      </c>
      <c r="E2679" s="51">
        <v>74.2</v>
      </c>
      <c r="F2679" s="32" t="s">
        <v>15</v>
      </c>
      <c r="G2679" s="32">
        <v>0</v>
      </c>
      <c r="H2679" s="12"/>
      <c r="I2679" s="11">
        <f>Table1[[#This Row],[Qty]]*Table1[[#This Row],[Price]]</f>
        <v>0</v>
      </c>
    </row>
    <row r="2680" spans="1:9" x14ac:dyDescent="0.25">
      <c r="A2680" s="28">
        <v>3614273662567</v>
      </c>
      <c r="B2680" s="29" t="s">
        <v>4541</v>
      </c>
      <c r="C2680" s="30" t="s">
        <v>64</v>
      </c>
      <c r="D2680" s="31" t="s">
        <v>4542</v>
      </c>
      <c r="E2680" s="51">
        <v>60.95</v>
      </c>
      <c r="F2680" s="32" t="s">
        <v>15</v>
      </c>
      <c r="G2680" s="32"/>
      <c r="H2680" s="12"/>
      <c r="I2680" s="11">
        <f>Table1[[#This Row],[Qty]]*Table1[[#This Row],[Price]]</f>
        <v>0</v>
      </c>
    </row>
    <row r="2681" spans="1:9" x14ac:dyDescent="0.25">
      <c r="A2681" s="28">
        <v>3605520293405</v>
      </c>
      <c r="B2681" s="29" t="s">
        <v>5484</v>
      </c>
      <c r="C2681" s="30" t="s">
        <v>64</v>
      </c>
      <c r="D2681" s="31" t="s">
        <v>5485</v>
      </c>
      <c r="E2681" s="51">
        <v>56.39</v>
      </c>
      <c r="F2681" s="32" t="s">
        <v>15</v>
      </c>
      <c r="G2681" s="32">
        <v>0</v>
      </c>
      <c r="H2681" s="12"/>
      <c r="I2681" s="11">
        <f>Table1[[#This Row],[Qty]]*Table1[[#This Row],[Price]]</f>
        <v>0</v>
      </c>
    </row>
    <row r="2682" spans="1:9" x14ac:dyDescent="0.25">
      <c r="A2682" s="48">
        <v>3360374000011</v>
      </c>
      <c r="B2682" s="41" t="s">
        <v>4779</v>
      </c>
      <c r="C2682" s="6" t="s">
        <v>64</v>
      </c>
      <c r="D2682" t="s">
        <v>4780</v>
      </c>
      <c r="E2682" s="47">
        <v>50.35</v>
      </c>
      <c r="F2682" s="6" t="s">
        <v>15</v>
      </c>
      <c r="G2682" s="6" t="s">
        <v>7385</v>
      </c>
      <c r="H2682" s="22"/>
      <c r="I2682" s="11">
        <f>Table1[[#This Row],[Qty]]*Table1[[#This Row],[Price]]</f>
        <v>0</v>
      </c>
    </row>
    <row r="2683" spans="1:9" x14ac:dyDescent="0.25">
      <c r="A2683" s="28">
        <v>3614273662543</v>
      </c>
      <c r="B2683" s="29" t="s">
        <v>4885</v>
      </c>
      <c r="C2683" s="30" t="s">
        <v>64</v>
      </c>
      <c r="D2683" s="31" t="s">
        <v>4886</v>
      </c>
      <c r="E2683" s="51">
        <v>42</v>
      </c>
      <c r="F2683" s="32" t="s">
        <v>15</v>
      </c>
      <c r="G2683" s="32">
        <v>0</v>
      </c>
      <c r="H2683" s="12"/>
      <c r="I2683" s="11">
        <f>Table1[[#This Row],[Qty]]*Table1[[#This Row],[Price]]</f>
        <v>0</v>
      </c>
    </row>
    <row r="2684" spans="1:9" x14ac:dyDescent="0.25">
      <c r="A2684" s="28">
        <v>3614273662581</v>
      </c>
      <c r="B2684" s="29" t="s">
        <v>5215</v>
      </c>
      <c r="C2684" s="30" t="s">
        <v>64</v>
      </c>
      <c r="D2684" s="31" t="s">
        <v>5216</v>
      </c>
      <c r="E2684" s="51">
        <v>42</v>
      </c>
      <c r="F2684" s="32" t="s">
        <v>15</v>
      </c>
      <c r="G2684" s="32">
        <v>0</v>
      </c>
      <c r="H2684" s="12"/>
      <c r="I2684" s="11">
        <f>Table1[[#This Row],[Qty]]*Table1[[#This Row],[Price]]</f>
        <v>0</v>
      </c>
    </row>
    <row r="2685" spans="1:9" x14ac:dyDescent="0.25">
      <c r="A2685" s="28">
        <v>3605521879905</v>
      </c>
      <c r="B2685" s="29" t="s">
        <v>4894</v>
      </c>
      <c r="C2685" s="30" t="s">
        <v>64</v>
      </c>
      <c r="D2685" s="31" t="s">
        <v>4895</v>
      </c>
      <c r="E2685" s="51">
        <v>39</v>
      </c>
      <c r="F2685" s="32" t="s">
        <v>15</v>
      </c>
      <c r="G2685" s="32">
        <v>0</v>
      </c>
      <c r="H2685" s="22"/>
      <c r="I2685" s="11">
        <f>Table1[[#This Row],[Qty]]*Table1[[#This Row],[Price]]</f>
        <v>0</v>
      </c>
    </row>
    <row r="2686" spans="1:9" x14ac:dyDescent="0.25">
      <c r="A2686" s="28">
        <v>3614273665988</v>
      </c>
      <c r="B2686" s="29" t="s">
        <v>4606</v>
      </c>
      <c r="C2686" s="33" t="s">
        <v>64</v>
      </c>
      <c r="D2686" s="31" t="s">
        <v>4607</v>
      </c>
      <c r="E2686" s="51">
        <v>17.5</v>
      </c>
      <c r="F2686" s="32" t="s">
        <v>15</v>
      </c>
      <c r="G2686" s="32"/>
      <c r="H2686" s="22"/>
      <c r="I2686" s="11">
        <f>Table1[[#This Row],[Qty]]*Table1[[#This Row],[Price]]</f>
        <v>0</v>
      </c>
    </row>
    <row r="2687" spans="1:9" x14ac:dyDescent="0.25">
      <c r="A2687" s="28">
        <v>3614273984423</v>
      </c>
      <c r="B2687" s="29" t="s">
        <v>5094</v>
      </c>
      <c r="C2687" s="33" t="s">
        <v>64</v>
      </c>
      <c r="D2687" s="31" t="s">
        <v>5095</v>
      </c>
      <c r="E2687" s="51">
        <v>14.5</v>
      </c>
      <c r="F2687" s="32" t="s">
        <v>15</v>
      </c>
      <c r="G2687" s="32"/>
      <c r="H2687" s="22"/>
      <c r="I2687" s="11">
        <f>Table1[[#This Row],[Qty]]*Table1[[#This Row],[Price]]</f>
        <v>0</v>
      </c>
    </row>
    <row r="2688" spans="1:9" x14ac:dyDescent="0.25">
      <c r="A2688" s="28">
        <v>608940582107</v>
      </c>
      <c r="B2688" s="29" t="s">
        <v>5444</v>
      </c>
      <c r="C2688" s="30" t="s">
        <v>5445</v>
      </c>
      <c r="D2688" s="31" t="s">
        <v>5446</v>
      </c>
      <c r="E2688" s="51">
        <v>29</v>
      </c>
      <c r="F2688" s="32" t="s">
        <v>15</v>
      </c>
      <c r="G2688" s="32">
        <v>0</v>
      </c>
      <c r="H2688" s="12"/>
      <c r="I2688" s="11">
        <f>Table1[[#This Row],[Qty]]*Table1[[#This Row],[Price]]</f>
        <v>0</v>
      </c>
    </row>
    <row r="2689" spans="1:9" x14ac:dyDescent="0.25">
      <c r="A2689" s="28">
        <v>6290362342311</v>
      </c>
      <c r="B2689" s="29" t="s">
        <v>4626</v>
      </c>
      <c r="C2689" s="30" t="s">
        <v>4474</v>
      </c>
      <c r="D2689" s="31" t="s">
        <v>4627</v>
      </c>
      <c r="E2689" s="51">
        <v>13.5</v>
      </c>
      <c r="F2689" s="32" t="s">
        <v>15</v>
      </c>
      <c r="G2689" s="32"/>
      <c r="H2689" s="22"/>
      <c r="I2689" s="11">
        <f>Table1[[#This Row],[Qty]]*Table1[[#This Row],[Price]]</f>
        <v>0</v>
      </c>
    </row>
    <row r="2690" spans="1:9" x14ac:dyDescent="0.25">
      <c r="A2690" s="28">
        <v>6290362342175</v>
      </c>
      <c r="B2690" s="29" t="s">
        <v>4473</v>
      </c>
      <c r="C2690" s="30" t="s">
        <v>4474</v>
      </c>
      <c r="D2690" s="31" t="s">
        <v>4475</v>
      </c>
      <c r="E2690" s="51">
        <v>12.5</v>
      </c>
      <c r="F2690" s="32" t="s">
        <v>15</v>
      </c>
      <c r="G2690" s="32"/>
      <c r="H2690" s="22"/>
      <c r="I2690" s="11">
        <f>Table1[[#This Row],[Qty]]*Table1[[#This Row],[Price]]</f>
        <v>0</v>
      </c>
    </row>
    <row r="2691" spans="1:9" x14ac:dyDescent="0.25">
      <c r="A2691" s="28">
        <v>6290360595948</v>
      </c>
      <c r="B2691" s="29" t="s">
        <v>4476</v>
      </c>
      <c r="C2691" s="30" t="s">
        <v>4474</v>
      </c>
      <c r="D2691" s="31" t="s">
        <v>4477</v>
      </c>
      <c r="E2691" s="51">
        <v>12.5</v>
      </c>
      <c r="F2691" s="32" t="s">
        <v>15</v>
      </c>
      <c r="G2691" s="32"/>
      <c r="H2691" s="22"/>
      <c r="I2691" s="11">
        <f>Table1[[#This Row],[Qty]]*Table1[[#This Row],[Price]]</f>
        <v>0</v>
      </c>
    </row>
    <row r="2692" spans="1:9" x14ac:dyDescent="0.25">
      <c r="A2692" s="28">
        <v>6290362342113</v>
      </c>
      <c r="B2692" s="29" t="s">
        <v>4478</v>
      </c>
      <c r="C2692" s="30" t="s">
        <v>4474</v>
      </c>
      <c r="D2692" s="31" t="s">
        <v>4479</v>
      </c>
      <c r="E2692" s="51">
        <v>12.5</v>
      </c>
      <c r="F2692" s="32" t="s">
        <v>15</v>
      </c>
      <c r="G2692" s="32"/>
      <c r="H2692" s="12"/>
      <c r="I2692" s="11">
        <f>Table1[[#This Row],[Qty]]*Table1[[#This Row],[Price]]</f>
        <v>0</v>
      </c>
    </row>
    <row r="2693" spans="1:9" x14ac:dyDescent="0.25">
      <c r="A2693" s="28">
        <v>6290362341642</v>
      </c>
      <c r="B2693" s="29" t="s">
        <v>4480</v>
      </c>
      <c r="C2693" s="30" t="s">
        <v>4474</v>
      </c>
      <c r="D2693" s="31" t="s">
        <v>4481</v>
      </c>
      <c r="E2693" s="51">
        <v>12.5</v>
      </c>
      <c r="F2693" s="32" t="s">
        <v>15</v>
      </c>
      <c r="G2693" s="32"/>
      <c r="H2693" s="12"/>
      <c r="I2693" s="11">
        <f>Table1[[#This Row],[Qty]]*Table1[[#This Row],[Price]]</f>
        <v>0</v>
      </c>
    </row>
    <row r="2694" spans="1:9" x14ac:dyDescent="0.25">
      <c r="A2694" s="28">
        <v>6291108738450</v>
      </c>
      <c r="B2694" s="29" t="s">
        <v>4492</v>
      </c>
      <c r="C2694" s="30" t="s">
        <v>4474</v>
      </c>
      <c r="D2694" s="31" t="s">
        <v>4493</v>
      </c>
      <c r="E2694" s="51">
        <v>12.5</v>
      </c>
      <c r="F2694" s="32" t="s">
        <v>15</v>
      </c>
      <c r="G2694" s="32"/>
      <c r="H2694" s="12"/>
      <c r="I2694" s="11">
        <f>Table1[[#This Row],[Qty]]*Table1[[#This Row],[Price]]</f>
        <v>0</v>
      </c>
    </row>
    <row r="2695" spans="1:9" x14ac:dyDescent="0.25">
      <c r="A2695" s="28">
        <v>6291107453842</v>
      </c>
      <c r="B2695" s="29" t="s">
        <v>4809</v>
      </c>
      <c r="C2695" s="30" t="s">
        <v>4474</v>
      </c>
      <c r="D2695" s="31" t="s">
        <v>4810</v>
      </c>
      <c r="E2695" s="51">
        <v>7.95</v>
      </c>
      <c r="F2695" s="32" t="s">
        <v>15</v>
      </c>
      <c r="G2695" s="32"/>
      <c r="H2695" s="12"/>
      <c r="I2695" s="11">
        <f>Table1[[#This Row],[Qty]]*Table1[[#This Row],[Price]]</f>
        <v>0</v>
      </c>
    </row>
    <row r="2696" spans="1:9" x14ac:dyDescent="0.25">
      <c r="A2696" s="28">
        <v>8436581941999</v>
      </c>
      <c r="B2696" s="29" t="s">
        <v>4966</v>
      </c>
      <c r="C2696" s="30" t="s">
        <v>4967</v>
      </c>
      <c r="D2696" s="31" t="s">
        <v>4968</v>
      </c>
      <c r="E2696" s="51">
        <v>8.5</v>
      </c>
      <c r="F2696" s="32" t="s">
        <v>15</v>
      </c>
      <c r="G2696" s="32">
        <v>0</v>
      </c>
      <c r="H2696" s="22"/>
      <c r="I2696" s="11">
        <f>Table1[[#This Row],[Qty]]*Table1[[#This Row],[Price]]</f>
        <v>0</v>
      </c>
    </row>
    <row r="2697" spans="1:9" x14ac:dyDescent="0.25">
      <c r="A2697" s="28">
        <v>8033488155070</v>
      </c>
      <c r="B2697" s="29" t="s">
        <v>2848</v>
      </c>
      <c r="C2697" s="30" t="s">
        <v>304</v>
      </c>
      <c r="D2697" s="31" t="s">
        <v>2849</v>
      </c>
      <c r="E2697" s="51">
        <v>149.5</v>
      </c>
      <c r="F2697" s="32" t="s">
        <v>15</v>
      </c>
      <c r="G2697" s="32" t="s">
        <v>6627</v>
      </c>
      <c r="H2697" s="22"/>
      <c r="I2697" s="11">
        <f>Table1[[#This Row],[Qty]]*Table1[[#This Row],[Price]]</f>
        <v>0</v>
      </c>
    </row>
    <row r="2698" spans="1:9" x14ac:dyDescent="0.25">
      <c r="A2698" s="28">
        <v>8054320902379</v>
      </c>
      <c r="B2698" s="29" t="s">
        <v>2850</v>
      </c>
      <c r="C2698" s="30" t="s">
        <v>304</v>
      </c>
      <c r="D2698" s="31" t="s">
        <v>2851</v>
      </c>
      <c r="E2698" s="51">
        <v>164</v>
      </c>
      <c r="F2698" s="32" t="s">
        <v>15</v>
      </c>
      <c r="G2698" s="32">
        <v>0</v>
      </c>
      <c r="H2698" s="22"/>
      <c r="I2698" s="11">
        <f>Table1[[#This Row],[Qty]]*Table1[[#This Row],[Price]]</f>
        <v>0</v>
      </c>
    </row>
    <row r="2699" spans="1:9" x14ac:dyDescent="0.25">
      <c r="A2699" s="28">
        <v>8033488151553</v>
      </c>
      <c r="B2699" s="29" t="s">
        <v>5396</v>
      </c>
      <c r="C2699" s="30" t="s">
        <v>304</v>
      </c>
      <c r="D2699" s="31" t="s">
        <v>5397</v>
      </c>
      <c r="E2699" s="51">
        <v>8</v>
      </c>
      <c r="F2699" s="32" t="s">
        <v>15</v>
      </c>
      <c r="G2699" s="32">
        <v>0</v>
      </c>
      <c r="H2699" s="13"/>
      <c r="I2699" s="11">
        <f>Table1[[#This Row],[Qty]]*Table1[[#This Row],[Price]]</f>
        <v>0</v>
      </c>
    </row>
    <row r="2700" spans="1:9" x14ac:dyDescent="0.25">
      <c r="A2700" s="48">
        <v>5038580018158</v>
      </c>
      <c r="B2700" s="41" t="s">
        <v>2253</v>
      </c>
      <c r="C2700" s="6" t="s">
        <v>2254</v>
      </c>
      <c r="D2700" t="s">
        <v>2255</v>
      </c>
      <c r="E2700" s="47">
        <v>7</v>
      </c>
      <c r="F2700" s="6" t="s">
        <v>15</v>
      </c>
      <c r="G2700" s="6">
        <v>0</v>
      </c>
      <c r="H2700" s="22"/>
      <c r="I2700" s="11">
        <f>Table1[[#This Row],[Qty]]*Table1[[#This Row],[Price]]</f>
        <v>0</v>
      </c>
    </row>
    <row r="2701" spans="1:9" x14ac:dyDescent="0.25">
      <c r="A2701" s="28">
        <v>3614273776127</v>
      </c>
      <c r="B2701" s="29" t="s">
        <v>991</v>
      </c>
      <c r="C2701" s="30" t="s">
        <v>644</v>
      </c>
      <c r="D2701" s="31" t="s">
        <v>992</v>
      </c>
      <c r="E2701" s="51">
        <v>94.5</v>
      </c>
      <c r="F2701" s="32" t="s">
        <v>15</v>
      </c>
      <c r="G2701" s="32" t="s">
        <v>6080</v>
      </c>
      <c r="H2701" s="12"/>
      <c r="I2701" s="11">
        <f>Table1[[#This Row],[Qty]]*Table1[[#This Row],[Price]]</f>
        <v>0</v>
      </c>
    </row>
    <row r="2702" spans="1:9" x14ac:dyDescent="0.25">
      <c r="A2702" s="28">
        <v>3614273128971</v>
      </c>
      <c r="B2702" s="29" t="s">
        <v>1183</v>
      </c>
      <c r="C2702" s="30" t="s">
        <v>644</v>
      </c>
      <c r="D2702" s="31" t="s">
        <v>1184</v>
      </c>
      <c r="E2702" s="51">
        <v>114</v>
      </c>
      <c r="F2702" s="32" t="s">
        <v>15</v>
      </c>
      <c r="G2702" s="32" t="s">
        <v>6157</v>
      </c>
      <c r="H2702" s="22"/>
      <c r="I2702" s="11">
        <f>Table1[[#This Row],[Qty]]*Table1[[#This Row],[Price]]</f>
        <v>0</v>
      </c>
    </row>
    <row r="2703" spans="1:9" x14ac:dyDescent="0.25">
      <c r="A2703" s="28">
        <v>3614273258180</v>
      </c>
      <c r="B2703" s="29" t="s">
        <v>1226</v>
      </c>
      <c r="C2703" s="30" t="s">
        <v>644</v>
      </c>
      <c r="D2703" s="31" t="s">
        <v>1227</v>
      </c>
      <c r="E2703" s="51">
        <v>76.849999999999994</v>
      </c>
      <c r="F2703" s="32" t="s">
        <v>15</v>
      </c>
      <c r="G2703" s="32">
        <v>0</v>
      </c>
      <c r="H2703" s="22"/>
      <c r="I2703" s="11">
        <f>Table1[[#This Row],[Qty]]*Table1[[#This Row],[Price]]</f>
        <v>0</v>
      </c>
    </row>
    <row r="2704" spans="1:9" x14ac:dyDescent="0.25">
      <c r="A2704" s="28">
        <v>3365440375079</v>
      </c>
      <c r="B2704" s="29" t="s">
        <v>1371</v>
      </c>
      <c r="C2704" s="30" t="s">
        <v>644</v>
      </c>
      <c r="D2704" s="31" t="s">
        <v>1372</v>
      </c>
      <c r="E2704" s="51">
        <v>51.68</v>
      </c>
      <c r="F2704" s="32" t="s">
        <v>15</v>
      </c>
      <c r="G2704" s="32" t="s">
        <v>6200</v>
      </c>
      <c r="H2704" s="12"/>
      <c r="I2704" s="11">
        <f>Table1[[#This Row],[Qty]]*Table1[[#This Row],[Price]]</f>
        <v>0</v>
      </c>
    </row>
    <row r="2705" spans="1:9" x14ac:dyDescent="0.25">
      <c r="A2705" s="28">
        <v>3365440003842</v>
      </c>
      <c r="B2705" s="29" t="s">
        <v>1465</v>
      </c>
      <c r="C2705" s="30" t="s">
        <v>644</v>
      </c>
      <c r="D2705" s="31" t="s">
        <v>1466</v>
      </c>
      <c r="E2705" s="51">
        <v>40</v>
      </c>
      <c r="F2705" s="32" t="s">
        <v>15</v>
      </c>
      <c r="G2705" s="32" t="s">
        <v>6220</v>
      </c>
      <c r="H2705" s="12"/>
      <c r="I2705" s="11">
        <f>Table1[[#This Row],[Qty]]*Table1[[#This Row],[Price]]</f>
        <v>0</v>
      </c>
    </row>
    <row r="2706" spans="1:9" x14ac:dyDescent="0.25">
      <c r="A2706" s="28">
        <v>3614272050341</v>
      </c>
      <c r="B2706" s="29" t="s">
        <v>2852</v>
      </c>
      <c r="C2706" s="30" t="s">
        <v>644</v>
      </c>
      <c r="D2706" s="31" t="s">
        <v>2853</v>
      </c>
      <c r="E2706" s="51">
        <v>53.8</v>
      </c>
      <c r="F2706" s="32" t="s">
        <v>15</v>
      </c>
      <c r="G2706" s="32" t="s">
        <v>6628</v>
      </c>
      <c r="H2706" s="12"/>
      <c r="I2706" s="11">
        <f>Table1[[#This Row],[Qty]]*Table1[[#This Row],[Price]]</f>
        <v>0</v>
      </c>
    </row>
    <row r="2707" spans="1:9" x14ac:dyDescent="0.25">
      <c r="A2707" s="28">
        <v>3365440787971</v>
      </c>
      <c r="B2707" s="29" t="s">
        <v>2854</v>
      </c>
      <c r="C2707" s="30" t="s">
        <v>644</v>
      </c>
      <c r="D2707" s="31" t="s">
        <v>2855</v>
      </c>
      <c r="E2707" s="51">
        <v>86.92</v>
      </c>
      <c r="F2707" s="32" t="s">
        <v>15</v>
      </c>
      <c r="G2707" s="32" t="s">
        <v>6629</v>
      </c>
      <c r="H2707" s="12"/>
      <c r="I2707" s="11">
        <f>Table1[[#This Row],[Qty]]*Table1[[#This Row],[Price]]</f>
        <v>0</v>
      </c>
    </row>
    <row r="2708" spans="1:9" x14ac:dyDescent="0.25">
      <c r="A2708" s="28">
        <v>3365440332522</v>
      </c>
      <c r="B2708" s="29" t="s">
        <v>3110</v>
      </c>
      <c r="C2708" s="30" t="s">
        <v>644</v>
      </c>
      <c r="D2708" s="31" t="s">
        <v>3111</v>
      </c>
      <c r="E2708" s="51">
        <v>69.959999999999994</v>
      </c>
      <c r="F2708" s="32" t="s">
        <v>15</v>
      </c>
      <c r="G2708" s="32" t="s">
        <v>6699</v>
      </c>
      <c r="H2708" s="22"/>
      <c r="I2708" s="11">
        <f>Table1[[#This Row],[Qty]]*Table1[[#This Row],[Price]]</f>
        <v>0</v>
      </c>
    </row>
    <row r="2709" spans="1:9" x14ac:dyDescent="0.25">
      <c r="A2709" s="28">
        <v>3365440003866</v>
      </c>
      <c r="B2709" s="29" t="s">
        <v>3842</v>
      </c>
      <c r="C2709" s="30" t="s">
        <v>644</v>
      </c>
      <c r="D2709" s="31" t="s">
        <v>3843</v>
      </c>
      <c r="E2709" s="51">
        <v>37.76</v>
      </c>
      <c r="F2709" s="32" t="s">
        <v>15</v>
      </c>
      <c r="G2709" s="32" t="s">
        <v>7092</v>
      </c>
      <c r="H2709" s="12"/>
      <c r="I2709" s="11">
        <f>Table1[[#This Row],[Qty]]*Table1[[#This Row],[Price]]</f>
        <v>0</v>
      </c>
    </row>
    <row r="2710" spans="1:9" x14ac:dyDescent="0.25">
      <c r="A2710" s="28">
        <v>3365440621053</v>
      </c>
      <c r="B2710" s="29" t="s">
        <v>5237</v>
      </c>
      <c r="C2710" s="30" t="s">
        <v>644</v>
      </c>
      <c r="D2710" s="31" t="s">
        <v>5238</v>
      </c>
      <c r="E2710" s="51">
        <v>93</v>
      </c>
      <c r="F2710" s="32" t="s">
        <v>15</v>
      </c>
      <c r="G2710" s="32">
        <v>0</v>
      </c>
      <c r="H2710" s="22"/>
      <c r="I2710" s="11">
        <f>Table1[[#This Row],[Qty]]*Table1[[#This Row],[Price]]</f>
        <v>0</v>
      </c>
    </row>
    <row r="2711" spans="1:9" x14ac:dyDescent="0.25">
      <c r="A2711" s="28">
        <v>3365440316546</v>
      </c>
      <c r="B2711" s="29" t="s">
        <v>4774</v>
      </c>
      <c r="C2711" s="30" t="s">
        <v>644</v>
      </c>
      <c r="D2711" s="31" t="s">
        <v>4775</v>
      </c>
      <c r="E2711" s="51">
        <v>52.47</v>
      </c>
      <c r="F2711" s="32" t="s">
        <v>15</v>
      </c>
      <c r="G2711" s="32">
        <v>0</v>
      </c>
      <c r="H2711" s="12"/>
      <c r="I2711" s="11">
        <f>Table1[[#This Row],[Qty]]*Table1[[#This Row],[Price]]</f>
        <v>0</v>
      </c>
    </row>
    <row r="2712" spans="1:9" x14ac:dyDescent="0.25">
      <c r="A2712" s="28">
        <v>3365440002173</v>
      </c>
      <c r="B2712" s="29" t="s">
        <v>5366</v>
      </c>
      <c r="C2712" s="30" t="s">
        <v>644</v>
      </c>
      <c r="D2712" s="31" t="s">
        <v>5367</v>
      </c>
      <c r="E2712" s="51">
        <v>19.75</v>
      </c>
      <c r="F2712" s="32" t="s">
        <v>15</v>
      </c>
      <c r="G2712" s="32">
        <v>0</v>
      </c>
      <c r="H2712" s="14"/>
      <c r="I2712" s="11">
        <f>Table1[[#This Row],[Qty]]*Table1[[#This Row],[Price]]</f>
        <v>0</v>
      </c>
    </row>
    <row r="2713" spans="1:9" x14ac:dyDescent="0.25">
      <c r="A2713" s="28">
        <v>6423080732526</v>
      </c>
      <c r="B2713" s="29" t="s">
        <v>252</v>
      </c>
      <c r="C2713" s="30" t="s">
        <v>253</v>
      </c>
      <c r="D2713" s="31" t="s">
        <v>254</v>
      </c>
      <c r="E2713" s="51">
        <v>9</v>
      </c>
      <c r="F2713" s="32" t="s">
        <v>15</v>
      </c>
      <c r="G2713" s="32" t="s">
        <v>5706</v>
      </c>
      <c r="H2713" s="12"/>
      <c r="I2713" s="11">
        <f>Table1[[#This Row],[Qty]]*Table1[[#This Row],[Price]]</f>
        <v>0</v>
      </c>
    </row>
    <row r="2714" spans="1:9" x14ac:dyDescent="0.25">
      <c r="A2714" s="28">
        <v>6291108731611</v>
      </c>
      <c r="B2714" s="29" t="s">
        <v>735</v>
      </c>
      <c r="C2714" s="30" t="s">
        <v>253</v>
      </c>
      <c r="D2714" s="31" t="s">
        <v>736</v>
      </c>
      <c r="E2714" s="51">
        <v>20.25</v>
      </c>
      <c r="F2714" s="32" t="s">
        <v>15</v>
      </c>
      <c r="G2714" s="32" t="s">
        <v>5965</v>
      </c>
      <c r="H2714" s="14"/>
      <c r="I2714" s="11">
        <f>Table1[[#This Row],[Qty]]*Table1[[#This Row],[Price]]</f>
        <v>0</v>
      </c>
    </row>
    <row r="2715" spans="1:9" x14ac:dyDescent="0.25">
      <c r="A2715" s="28">
        <v>6423080732403</v>
      </c>
      <c r="B2715" s="29" t="s">
        <v>1993</v>
      </c>
      <c r="C2715" s="33" t="s">
        <v>253</v>
      </c>
      <c r="D2715" s="31" t="s">
        <v>1994</v>
      </c>
      <c r="E2715" s="51">
        <v>14.5</v>
      </c>
      <c r="F2715" s="32" t="s">
        <v>15</v>
      </c>
      <c r="G2715" s="32">
        <v>0</v>
      </c>
      <c r="H2715" s="22"/>
      <c r="I2715" s="11">
        <f>Table1[[#This Row],[Qty]]*Table1[[#This Row],[Price]]</f>
        <v>0</v>
      </c>
    </row>
    <row r="2716" spans="1:9" x14ac:dyDescent="0.25">
      <c r="A2716" s="28">
        <v>6423080727584</v>
      </c>
      <c r="B2716" s="29" t="s">
        <v>2907</v>
      </c>
      <c r="C2716" s="33" t="s">
        <v>253</v>
      </c>
      <c r="D2716" s="31" t="s">
        <v>2908</v>
      </c>
      <c r="E2716" s="51">
        <v>15</v>
      </c>
      <c r="F2716" s="32" t="s">
        <v>15</v>
      </c>
      <c r="G2716" s="32">
        <v>0</v>
      </c>
      <c r="H2716" s="22"/>
      <c r="I2716" s="11">
        <f>Table1[[#This Row],[Qty]]*Table1[[#This Row],[Price]]</f>
        <v>0</v>
      </c>
    </row>
    <row r="2717" spans="1:9" x14ac:dyDescent="0.25">
      <c r="A2717" s="28">
        <v>6423080727591</v>
      </c>
      <c r="B2717" s="29" t="s">
        <v>2909</v>
      </c>
      <c r="C2717" s="30" t="s">
        <v>253</v>
      </c>
      <c r="D2717" s="31" t="s">
        <v>2910</v>
      </c>
      <c r="E2717" s="51">
        <v>15</v>
      </c>
      <c r="F2717" s="32" t="s">
        <v>15</v>
      </c>
      <c r="G2717" s="32">
        <v>0</v>
      </c>
      <c r="H2717" s="12"/>
      <c r="I2717" s="11">
        <f>Table1[[#This Row],[Qty]]*Table1[[#This Row],[Price]]</f>
        <v>0</v>
      </c>
    </row>
    <row r="2718" spans="1:9" x14ac:dyDescent="0.25">
      <c r="A2718" s="28">
        <v>6423080727621</v>
      </c>
      <c r="B2718" s="29" t="s">
        <v>3710</v>
      </c>
      <c r="C2718" s="30" t="s">
        <v>253</v>
      </c>
      <c r="D2718" s="31" t="s">
        <v>3711</v>
      </c>
      <c r="E2718" s="51">
        <v>13.25</v>
      </c>
      <c r="F2718" s="32" t="s">
        <v>15</v>
      </c>
      <c r="G2718" s="32" t="s">
        <v>7027</v>
      </c>
      <c r="H2718" s="12"/>
      <c r="I2718" s="11">
        <f>Table1[[#This Row],[Qty]]*Table1[[#This Row],[Price]]</f>
        <v>0</v>
      </c>
    </row>
    <row r="2719" spans="1:9" x14ac:dyDescent="0.25">
      <c r="A2719" s="28">
        <v>6290171075639</v>
      </c>
      <c r="B2719" s="29" t="s">
        <v>126</v>
      </c>
      <c r="C2719" s="30" t="s">
        <v>127</v>
      </c>
      <c r="D2719" s="31" t="s">
        <v>128</v>
      </c>
      <c r="E2719" s="51">
        <v>14.5</v>
      </c>
      <c r="F2719" s="32" t="s">
        <v>15</v>
      </c>
      <c r="G2719" s="32" t="s">
        <v>5652</v>
      </c>
      <c r="H2719" s="12"/>
      <c r="I2719" s="11">
        <f>Table1[[#This Row],[Qty]]*Table1[[#This Row],[Price]]</f>
        <v>0</v>
      </c>
    </row>
    <row r="2720" spans="1:9" x14ac:dyDescent="0.25">
      <c r="A2720" s="28">
        <v>6290171072904</v>
      </c>
      <c r="B2720" s="29" t="s">
        <v>1018</v>
      </c>
      <c r="C2720" s="30" t="s">
        <v>127</v>
      </c>
      <c r="D2720" s="31" t="s">
        <v>1019</v>
      </c>
      <c r="E2720" s="51">
        <v>11.5</v>
      </c>
      <c r="F2720" s="32" t="s">
        <v>15</v>
      </c>
      <c r="G2720" s="32" t="s">
        <v>6092</v>
      </c>
      <c r="H2720" s="12"/>
      <c r="I2720" s="11">
        <f>Table1[[#This Row],[Qty]]*Table1[[#This Row],[Price]]</f>
        <v>0</v>
      </c>
    </row>
    <row r="2721" spans="1:9" x14ac:dyDescent="0.25">
      <c r="A2721" s="28">
        <v>6290171075172</v>
      </c>
      <c r="B2721" s="29" t="s">
        <v>1866</v>
      </c>
      <c r="C2721" s="30" t="s">
        <v>127</v>
      </c>
      <c r="D2721" s="31" t="s">
        <v>1867</v>
      </c>
      <c r="E2721" s="51">
        <v>19.010000000000002</v>
      </c>
      <c r="F2721" s="32" t="s">
        <v>15</v>
      </c>
      <c r="G2721" s="32" t="s">
        <v>6318</v>
      </c>
      <c r="H2721" s="22"/>
      <c r="I2721" s="11">
        <f>Table1[[#This Row],[Qty]]*Table1[[#This Row],[Price]]</f>
        <v>0</v>
      </c>
    </row>
    <row r="2722" spans="1:9" x14ac:dyDescent="0.25">
      <c r="A2722" s="28">
        <v>6290171072867</v>
      </c>
      <c r="B2722" s="29" t="s">
        <v>2049</v>
      </c>
      <c r="C2722" s="30" t="s">
        <v>127</v>
      </c>
      <c r="D2722" s="31" t="s">
        <v>2050</v>
      </c>
      <c r="E2722" s="51">
        <v>13</v>
      </c>
      <c r="F2722" s="32" t="s">
        <v>15</v>
      </c>
      <c r="G2722" s="32" t="s">
        <v>6368</v>
      </c>
      <c r="H2722" s="22"/>
      <c r="I2722" s="11">
        <f>Table1[[#This Row],[Qty]]*Table1[[#This Row],[Price]]</f>
        <v>0</v>
      </c>
    </row>
    <row r="2723" spans="1:9" x14ac:dyDescent="0.25">
      <c r="A2723" s="28">
        <v>6290171071068</v>
      </c>
      <c r="B2723" s="29" t="s">
        <v>2394</v>
      </c>
      <c r="C2723" s="30" t="s">
        <v>127</v>
      </c>
      <c r="D2723" s="31" t="s">
        <v>2395</v>
      </c>
      <c r="E2723" s="51">
        <v>14.85</v>
      </c>
      <c r="F2723" s="32" t="s">
        <v>15</v>
      </c>
      <c r="G2723" s="32" t="s">
        <v>6444</v>
      </c>
      <c r="H2723" s="12"/>
      <c r="I2723" s="11">
        <f>Table1[[#This Row],[Qty]]*Table1[[#This Row],[Price]]</f>
        <v>0</v>
      </c>
    </row>
    <row r="2724" spans="1:9" x14ac:dyDescent="0.25">
      <c r="A2724" s="28">
        <v>6290171074182</v>
      </c>
      <c r="B2724" s="29" t="s">
        <v>2456</v>
      </c>
      <c r="C2724" s="30" t="s">
        <v>127</v>
      </c>
      <c r="D2724" s="31" t="s">
        <v>2457</v>
      </c>
      <c r="E2724" s="51">
        <v>14.5</v>
      </c>
      <c r="F2724" s="32" t="s">
        <v>15</v>
      </c>
      <c r="G2724" s="32" t="s">
        <v>6470</v>
      </c>
      <c r="H2724" s="22"/>
      <c r="I2724" s="11">
        <f>Table1[[#This Row],[Qty]]*Table1[[#This Row],[Price]]</f>
        <v>0</v>
      </c>
    </row>
    <row r="2725" spans="1:9" x14ac:dyDescent="0.25">
      <c r="A2725" s="28">
        <v>6290171074465</v>
      </c>
      <c r="B2725" s="29" t="s">
        <v>2458</v>
      </c>
      <c r="C2725" s="30" t="s">
        <v>127</v>
      </c>
      <c r="D2725" s="31" t="s">
        <v>2459</v>
      </c>
      <c r="E2725" s="51">
        <v>15</v>
      </c>
      <c r="F2725" s="32" t="s">
        <v>15</v>
      </c>
      <c r="G2725" s="32" t="s">
        <v>6471</v>
      </c>
      <c r="H2725" s="12"/>
      <c r="I2725" s="11">
        <f>Table1[[#This Row],[Qty]]*Table1[[#This Row],[Price]]</f>
        <v>0</v>
      </c>
    </row>
    <row r="2726" spans="1:9" x14ac:dyDescent="0.25">
      <c r="A2726" s="28">
        <v>6290171074175</v>
      </c>
      <c r="B2726" s="29" t="s">
        <v>2460</v>
      </c>
      <c r="C2726" s="30" t="s">
        <v>127</v>
      </c>
      <c r="D2726" s="31" t="s">
        <v>2461</v>
      </c>
      <c r="E2726" s="51">
        <v>15</v>
      </c>
      <c r="F2726" s="32" t="s">
        <v>15</v>
      </c>
      <c r="G2726" s="32" t="s">
        <v>6472</v>
      </c>
      <c r="H2726" s="12"/>
      <c r="I2726" s="11">
        <f>Table1[[#This Row],[Qty]]*Table1[[#This Row],[Price]]</f>
        <v>0</v>
      </c>
    </row>
    <row r="2727" spans="1:9" x14ac:dyDescent="0.25">
      <c r="A2727" s="28">
        <v>6290171077510</v>
      </c>
      <c r="B2727" s="29" t="s">
        <v>5526</v>
      </c>
      <c r="C2727" s="30" t="s">
        <v>127</v>
      </c>
      <c r="D2727" s="31" t="s">
        <v>5527</v>
      </c>
      <c r="E2727" s="51">
        <v>19</v>
      </c>
      <c r="F2727" s="32" t="s">
        <v>15</v>
      </c>
      <c r="G2727" s="32" t="s">
        <v>6981</v>
      </c>
      <c r="H2727" s="12"/>
      <c r="I2727" s="11">
        <f>Table1[[#This Row],[Qty]]*Table1[[#This Row],[Price]]</f>
        <v>0</v>
      </c>
    </row>
    <row r="2728" spans="1:9" x14ac:dyDescent="0.25">
      <c r="A2728" s="28">
        <v>6290171072218</v>
      </c>
      <c r="B2728" s="29" t="s">
        <v>3698</v>
      </c>
      <c r="C2728" s="30" t="s">
        <v>127</v>
      </c>
      <c r="D2728" s="31" t="s">
        <v>3699</v>
      </c>
      <c r="E2728" s="51">
        <v>11.69</v>
      </c>
      <c r="F2728" s="32" t="s">
        <v>15</v>
      </c>
      <c r="G2728" s="32" t="s">
        <v>7021</v>
      </c>
      <c r="H2728" s="22"/>
      <c r="I2728" s="11">
        <f>Table1[[#This Row],[Qty]]*Table1[[#This Row],[Price]]</f>
        <v>0</v>
      </c>
    </row>
    <row r="2729" spans="1:9" x14ac:dyDescent="0.25">
      <c r="A2729" s="48">
        <v>6290171070269</v>
      </c>
      <c r="B2729" s="41" t="s">
        <v>3706</v>
      </c>
      <c r="C2729" s="6" t="s">
        <v>127</v>
      </c>
      <c r="D2729" t="s">
        <v>3707</v>
      </c>
      <c r="E2729" s="47">
        <v>11.69</v>
      </c>
      <c r="F2729" s="6" t="s">
        <v>15</v>
      </c>
      <c r="G2729" s="6" t="s">
        <v>7025</v>
      </c>
      <c r="H2729" s="22"/>
      <c r="I2729" s="11">
        <f>Table1[[#This Row],[Qty]]*Table1[[#This Row],[Price]]</f>
        <v>0</v>
      </c>
    </row>
    <row r="2730" spans="1:9" x14ac:dyDescent="0.25">
      <c r="A2730" s="28">
        <v>6290171075622</v>
      </c>
      <c r="B2730" s="29" t="s">
        <v>3854</v>
      </c>
      <c r="C2730" s="30" t="s">
        <v>127</v>
      </c>
      <c r="D2730" s="31" t="s">
        <v>3855</v>
      </c>
      <c r="E2730" s="51">
        <v>15.09</v>
      </c>
      <c r="F2730" s="32" t="s">
        <v>15</v>
      </c>
      <c r="G2730" s="32" t="s">
        <v>7098</v>
      </c>
      <c r="H2730" s="12"/>
      <c r="I2730" s="11">
        <f>Table1[[#This Row],[Qty]]*Table1[[#This Row],[Price]]</f>
        <v>0</v>
      </c>
    </row>
    <row r="2731" spans="1:9" x14ac:dyDescent="0.25">
      <c r="A2731" s="28">
        <v>6290171074151</v>
      </c>
      <c r="B2731" s="29" t="s">
        <v>5411</v>
      </c>
      <c r="C2731" s="30" t="s">
        <v>127</v>
      </c>
      <c r="D2731" s="31" t="s">
        <v>5412</v>
      </c>
      <c r="E2731" s="51">
        <v>15</v>
      </c>
      <c r="F2731" s="32" t="s">
        <v>15</v>
      </c>
      <c r="G2731" s="32">
        <v>0</v>
      </c>
      <c r="H2731" s="12"/>
      <c r="I2731" s="11">
        <f>Table1[[#This Row],[Qty]]*Table1[[#This Row],[Price]]</f>
        <v>0</v>
      </c>
    </row>
    <row r="2732" spans="1:9" x14ac:dyDescent="0.25">
      <c r="A2732" s="28">
        <v>6290171072874</v>
      </c>
      <c r="B2732" s="29" t="s">
        <v>5047</v>
      </c>
      <c r="C2732" s="30" t="s">
        <v>127</v>
      </c>
      <c r="D2732" s="31" t="s">
        <v>5048</v>
      </c>
      <c r="E2732" s="51">
        <v>13</v>
      </c>
      <c r="F2732" s="32" t="s">
        <v>15</v>
      </c>
      <c r="G2732" s="32">
        <v>0</v>
      </c>
      <c r="H2732" s="22"/>
      <c r="I2732" s="11">
        <f>Table1[[#This Row],[Qty]]*Table1[[#This Row],[Price]]</f>
        <v>0</v>
      </c>
    </row>
    <row r="2733" spans="1:9" x14ac:dyDescent="0.25">
      <c r="A2733" s="28">
        <v>6290171073482</v>
      </c>
      <c r="B2733" s="29" t="s">
        <v>5045</v>
      </c>
      <c r="C2733" s="30" t="s">
        <v>127</v>
      </c>
      <c r="D2733" s="31" t="s">
        <v>5046</v>
      </c>
      <c r="E2733" s="51">
        <v>12.45</v>
      </c>
      <c r="F2733" s="32" t="s">
        <v>15</v>
      </c>
      <c r="G2733" s="32">
        <v>0</v>
      </c>
      <c r="H2733" s="22"/>
      <c r="I2733" s="11">
        <f>Table1[[#This Row],[Qty]]*Table1[[#This Row],[Price]]</f>
        <v>0</v>
      </c>
    </row>
    <row r="2734" spans="1:9" x14ac:dyDescent="0.25">
      <c r="A2734" s="28">
        <v>6290171074458</v>
      </c>
      <c r="B2734" s="29" t="s">
        <v>5012</v>
      </c>
      <c r="C2734" s="30" t="s">
        <v>127</v>
      </c>
      <c r="D2734" s="31" t="s">
        <v>5013</v>
      </c>
      <c r="E2734" s="51">
        <v>11.5</v>
      </c>
      <c r="F2734" s="32" t="s">
        <v>15</v>
      </c>
      <c r="G2734" s="32">
        <v>0</v>
      </c>
      <c r="H2734" s="22"/>
      <c r="I2734" s="11">
        <f>Table1[[#This Row],[Qty]]*Table1[[#This Row],[Price]]</f>
        <v>0</v>
      </c>
    </row>
    <row r="2735" spans="1:9" x14ac:dyDescent="0.25">
      <c r="A2735" s="28">
        <v>697118100557</v>
      </c>
      <c r="B2735" s="29" t="s">
        <v>2228</v>
      </c>
      <c r="C2735" s="30" t="s">
        <v>2229</v>
      </c>
      <c r="D2735" s="31" t="s">
        <v>2230</v>
      </c>
      <c r="E2735" s="51">
        <v>7.5</v>
      </c>
      <c r="F2735" s="32" t="s">
        <v>15</v>
      </c>
      <c r="G2735" s="32">
        <v>0</v>
      </c>
      <c r="H2735" s="12"/>
      <c r="I2735" s="11">
        <f>Table1[[#This Row],[Qty]]*Table1[[#This Row],[Price]]</f>
        <v>0</v>
      </c>
    </row>
    <row r="2736" spans="1:9" x14ac:dyDescent="0.25">
      <c r="A2736" s="5"/>
      <c r="B2736" s="35"/>
      <c r="E2736" s="46"/>
      <c r="F2736" s="7"/>
      <c r="G2736" s="7"/>
      <c r="H2736" s="9">
        <f>SUBTOTAL(109,Table1[Qty])</f>
        <v>0</v>
      </c>
      <c r="I2736" s="10"/>
    </row>
  </sheetData>
  <sheetProtection autoFilter="0"/>
  <mergeCells count="2">
    <mergeCell ref="A7:I7"/>
    <mergeCell ref="H1:I1"/>
  </mergeCells>
  <phoneticPr fontId="7" type="noConversion"/>
  <conditionalFormatting sqref="D9:D2735">
    <cfRule type="containsText" dxfId="8" priority="1" operator="containsText" text="No Cellophane">
      <formula>NOT(ISERROR(SEARCH("No Cellophane",D9)))</formula>
    </cfRule>
  </conditionalFormatting>
  <pageMargins left="0.33333333333333298" right="1.0416666666666701E-2" top="0.75" bottom="0.75" header="0.3" footer="0.3"/>
  <pageSetup paperSize="8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d63477-986e-47dc-bd06-b11261a1fb7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0A53A85B9C174A9D54BA9D985D378A" ma:contentTypeVersion="11" ma:contentTypeDescription="Create a new document." ma:contentTypeScope="" ma:versionID="98f888365bc587abcd6bab0995abfb88">
  <xsd:schema xmlns:xsd="http://www.w3.org/2001/XMLSchema" xmlns:xs="http://www.w3.org/2001/XMLSchema" xmlns:p="http://schemas.microsoft.com/office/2006/metadata/properties" xmlns:ns2="51d63477-986e-47dc-bd06-b11261a1fb72" targetNamespace="http://schemas.microsoft.com/office/2006/metadata/properties" ma:root="true" ma:fieldsID="8f265c16c01eb6a77a6001c4ac5020f4" ns2:_="">
    <xsd:import namespace="51d63477-986e-47dc-bd06-b11261a1fb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63477-986e-47dc-bd06-b11261a1fb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91c566a-854b-44fb-9c53-2756bb1b7e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C788D3-E1A6-42CB-A639-6C9B255DA4D1}">
  <ds:schemaRefs>
    <ds:schemaRef ds:uri="51d63477-986e-47dc-bd06-b11261a1fb72"/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E57B753-3E8F-4098-9502-75EC03DF33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d63477-986e-47dc-bd06-b11261a1fb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76626B-A5D6-46CF-A73F-9786C263D04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56d32b8-7160-4433-96c7-d95a9990e975}" enabled="0" method="" siteId="{b56d32b8-7160-4433-96c7-d95a9990e9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Rebeca Paredes</cp:lastModifiedBy>
  <dcterms:created xsi:type="dcterms:W3CDTF">2023-03-10T15:19:59Z</dcterms:created>
  <dcterms:modified xsi:type="dcterms:W3CDTF">2026-07-02T12:43:55Z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0x0101007A0A53A85B9C174A9D54BA9D985D378A</vt:lpwstr>
  </property>
  <property fmtid="{D5CDD505-2E9C-101B-9397-08002B2CF9AE}" pid="3" name="MediaServiceImageTags">
    <vt:lpwstr/>
  </property>
</Properties>
</file>